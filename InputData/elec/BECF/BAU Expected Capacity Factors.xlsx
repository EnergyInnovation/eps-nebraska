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820" windowHeight="14020" tabRatio="600" firstSheet="3" activeTab="8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NREL ATB" sheetId="2" state="visible" r:id="rId2"/>
    <sheet xmlns:r="http://schemas.openxmlformats.org/officeDocument/2006/relationships" name="Wind By State" sheetId="3" state="visible" r:id="rId3"/>
    <sheet xmlns:r="http://schemas.openxmlformats.org/officeDocument/2006/relationships" name="Solar by State" sheetId="4" state="visible" r:id="rId4"/>
    <sheet xmlns:r="http://schemas.openxmlformats.org/officeDocument/2006/relationships" name="Table 4.8.B" sheetId="5" state="visible" r:id="rId5"/>
    <sheet xmlns:r="http://schemas.openxmlformats.org/officeDocument/2006/relationships" name="Gridlab Cap Factors" sheetId="6" state="visible" r:id="rId6"/>
    <sheet xmlns:r="http://schemas.openxmlformats.org/officeDocument/2006/relationships" name="BECF-pre-ret" sheetId="7" state="visible" r:id="rId7"/>
    <sheet xmlns:r="http://schemas.openxmlformats.org/officeDocument/2006/relationships" name="BECF-pre-nonret" sheetId="8" state="visible" r:id="rId8"/>
    <sheet xmlns:r="http://schemas.openxmlformats.org/officeDocument/2006/relationships" name="BECF-new" sheetId="9" state="visible" r:id="rId9"/>
  </sheets>
  <definedNames>
    <definedName name="cities">'Solar by State'!$B$61:$B$65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#,##0.0"/>
    <numFmt numFmtId="167" formatCode="#,##0.0%"/>
    <numFmt numFmtId="168" formatCode="0.000"/>
    <numFmt numFmtId="169" formatCode="0.0000"/>
  </numFmts>
  <fonts count="20">
    <font>
      <name val="Arial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Arial"/>
      <family val="2"/>
      <color theme="10"/>
      <sz val="11"/>
      <u val="single"/>
    </font>
    <font>
      <name val="Arial"/>
      <family val="2"/>
      <b val="1"/>
      <sz val="11"/>
    </font>
    <font>
      <name val="Arial"/>
      <family val="2"/>
      <color rgb="FF000000"/>
      <sz val="11"/>
    </font>
    <font>
      <name val="Arial"/>
      <family val="2"/>
      <color rgb="FF0000FF"/>
      <sz val="11"/>
      <u val="single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66CC"/>
      <sz val="12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Tahoma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rgb="FF403F41"/>
      <sz val="11"/>
    </font>
    <font>
      <name val="Calibri"/>
      <family val="2"/>
      <b val="1"/>
      <color rgb="FF000000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D3DFEE"/>
        <bgColor rgb="FFD3DFEE"/>
      </patternFill>
    </fill>
    <fill>
      <patternFill patternType="solid">
        <fgColor rgb="FFFFFFFF"/>
        <bgColor rgb="FFFFFFFF"/>
      </patternFill>
    </fill>
    <fill>
      <patternFill patternType="solid">
        <fgColor rgb="FFCFEAF7"/>
        <bgColor rgb="FFCFEAF7"/>
      </patternFill>
    </fill>
    <fill>
      <patternFill patternType="solid">
        <fgColor rgb="FFEBF2FA"/>
        <bgColor rgb="FFEBF2FA"/>
      </patternFill>
    </fill>
    <fill>
      <patternFill patternType="solid">
        <fgColor theme="2" tint="-0.1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D8D8D8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 style="medium">
        <color rgb="FFBFBFBF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/>
      <top/>
      <bottom style="medium">
        <color rgb="FF4F81BD"/>
      </bottom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1" fontId="1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 vertical="top"/>
    </xf>
    <xf numFmtId="0" fontId="8" fillId="0" borderId="2" pivotButton="0" quotePrefix="0" xfId="0"/>
    <xf numFmtId="9" fontId="8" fillId="3" borderId="3" pivotButton="0" quotePrefix="0" xfId="0"/>
    <xf numFmtId="9" fontId="8" fillId="3" borderId="4" pivotButton="0" quotePrefix="0" xfId="0"/>
    <xf numFmtId="0" fontId="8" fillId="0" borderId="5" pivotButton="0" quotePrefix="0" xfId="0"/>
    <xf numFmtId="9" fontId="8" fillId="3" borderId="6" pivotButton="0" quotePrefix="0" xfId="0"/>
    <xf numFmtId="0" fontId="9" fillId="0" borderId="0" pivotButton="0" quotePrefix="0" xfId="0"/>
    <xf numFmtId="164" fontId="2" fillId="0" borderId="0" pivotButton="0" quotePrefix="0" xfId="0"/>
    <xf numFmtId="0" fontId="9" fillId="2" borderId="1" pivotButton="0" quotePrefix="0" xfId="0"/>
    <xf numFmtId="9" fontId="8" fillId="3" borderId="7" pivotButton="0" quotePrefix="0" xfId="0"/>
    <xf numFmtId="9" fontId="8" fillId="3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9" fillId="4" borderId="11" pivotButton="0" quotePrefix="0" xfId="0"/>
    <xf numFmtId="0" fontId="9" fillId="4" borderId="1" pivotButton="0" quotePrefix="0" xfId="0"/>
    <xf numFmtId="0" fontId="8" fillId="5" borderId="13" applyAlignment="1" pivotButton="0" quotePrefix="0" xfId="0">
      <alignment horizontal="center" vertical="center" wrapText="1"/>
    </xf>
    <xf numFmtId="165" fontId="8" fillId="5" borderId="13" applyAlignment="1" pivotButton="0" quotePrefix="0" xfId="0">
      <alignment horizontal="center" vertical="center" wrapText="1"/>
    </xf>
    <xf numFmtId="1" fontId="8" fillId="5" borderId="14" applyAlignment="1" pivotButton="0" quotePrefix="0" xfId="0">
      <alignment horizontal="center" vertical="center" wrapText="1"/>
    </xf>
    <xf numFmtId="9" fontId="2" fillId="0" borderId="0" pivotButton="0" quotePrefix="0" xfId="0"/>
    <xf numFmtId="0" fontId="8" fillId="0" borderId="15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1" fontId="8" fillId="0" borderId="16" applyAlignment="1" pivotButton="0" quotePrefix="0" xfId="0">
      <alignment horizontal="center" vertical="center" wrapText="1"/>
    </xf>
    <xf numFmtId="0" fontId="8" fillId="5" borderId="17" applyAlignment="1" pivotButton="0" quotePrefix="0" xfId="0">
      <alignment horizontal="center" vertical="center" wrapText="1"/>
    </xf>
    <xf numFmtId="165" fontId="8" fillId="5" borderId="17" applyAlignment="1" pivotButton="0" quotePrefix="0" xfId="0">
      <alignment horizontal="center" vertical="center" wrapText="1"/>
    </xf>
    <xf numFmtId="1" fontId="8" fillId="5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8" fillId="0" borderId="19" applyAlignment="1" pivotButton="0" quotePrefix="0" xfId="0">
      <alignment horizontal="center" vertical="center" wrapText="1"/>
    </xf>
    <xf numFmtId="165" fontId="8" fillId="0" borderId="19" applyAlignment="1" pivotButton="0" quotePrefix="0" xfId="0">
      <alignment horizontal="center" vertical="center" wrapText="1"/>
    </xf>
    <xf numFmtId="1" fontId="8" fillId="0" borderId="12" applyAlignment="1" pivotButton="0" quotePrefix="0" xfId="0">
      <alignment horizontal="center" vertical="center" wrapText="1"/>
    </xf>
    <xf numFmtId="0" fontId="8" fillId="5" borderId="20" applyAlignment="1" pivotButton="0" quotePrefix="0" xfId="0">
      <alignment horizontal="center" vertical="center" wrapText="1"/>
    </xf>
    <xf numFmtId="0" fontId="8" fillId="5" borderId="21" applyAlignment="1" pivotButton="0" quotePrefix="0" xfId="0">
      <alignment horizontal="center" vertical="center" wrapText="1"/>
    </xf>
    <xf numFmtId="3" fontId="8" fillId="5" borderId="22" applyAlignment="1" pivotButton="0" quotePrefix="0" xfId="0">
      <alignment horizontal="center" vertical="center" wrapText="1"/>
    </xf>
    <xf numFmtId="164" fontId="8" fillId="3" borderId="7" pivotButton="0" quotePrefix="0" xfId="0"/>
    <xf numFmtId="164" fontId="8" fillId="3" borderId="4" pivotButton="0" quotePrefix="0" xfId="0"/>
    <xf numFmtId="164" fontId="8" fillId="3" borderId="8" pivotButton="0" quotePrefix="0" xfId="0"/>
    <xf numFmtId="9" fontId="3" fillId="0" borderId="0" pivotButton="0" quotePrefix="0" xfId="0"/>
    <xf numFmtId="0" fontId="8" fillId="0" borderId="0" applyAlignment="1" pivotButton="0" quotePrefix="0" xfId="0">
      <alignment wrapText="1"/>
    </xf>
    <xf numFmtId="0" fontId="2" fillId="6" borderId="1" pivotButton="0" quotePrefix="0" xfId="0"/>
    <xf numFmtId="166" fontId="11" fillId="7" borderId="24" applyAlignment="1" pivotButton="0" quotePrefix="0" xfId="0">
      <alignment horizontal="right" wrapText="1"/>
    </xf>
    <xf numFmtId="167" fontId="11" fillId="7" borderId="24" applyAlignment="1" pivotButton="0" quotePrefix="0" xfId="0">
      <alignment horizontal="right" wrapText="1"/>
    </xf>
    <xf numFmtId="0" fontId="12" fillId="0" borderId="24" applyAlignment="1" pivotButton="0" quotePrefix="0" xfId="0">
      <alignment horizontal="right" wrapText="1"/>
    </xf>
    <xf numFmtId="166" fontId="12" fillId="0" borderId="24" applyAlignment="1" pivotButton="0" quotePrefix="0" xfId="0">
      <alignment horizontal="right" wrapText="1"/>
    </xf>
    <xf numFmtId="167" fontId="12" fillId="0" borderId="24" applyAlignment="1" pivotButton="0" quotePrefix="0" xfId="0">
      <alignment horizontal="right" wrapText="1"/>
    </xf>
    <xf numFmtId="0" fontId="1" fillId="0" borderId="0" applyAlignment="1" pivotButton="0" quotePrefix="0" xfId="0">
      <alignment wrapText="1"/>
    </xf>
    <xf numFmtId="168" fontId="2" fillId="0" borderId="0" pivotButton="0" quotePrefix="0" xfId="0"/>
    <xf numFmtId="0" fontId="14" fillId="0" borderId="0" pivotButton="0" quotePrefix="0" xfId="0"/>
    <xf numFmtId="0" fontId="15" fillId="0" borderId="23" pivotButton="0" quotePrefix="0" xfId="0"/>
    <xf numFmtId="0" fontId="16" fillId="0" borderId="24" applyAlignment="1" pivotButton="0" quotePrefix="0" xfId="0">
      <alignment horizontal="center" vertical="center"/>
    </xf>
    <xf numFmtId="0" fontId="16" fillId="0" borderId="28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1" fontId="18" fillId="0" borderId="29" applyAlignment="1" pivotButton="0" quotePrefix="0" xfId="0">
      <alignment horizontal="center" vertical="center"/>
    </xf>
    <xf numFmtId="0" fontId="2" fillId="0" borderId="23" pivotButton="0" quotePrefix="0" xfId="0"/>
    <xf numFmtId="0" fontId="4" fillId="0" borderId="23" pivotButton="0" quotePrefix="0" xfId="0"/>
    <xf numFmtId="0" fontId="19" fillId="0" borderId="0" pivotButton="0" quotePrefix="0" xfId="0"/>
    <xf numFmtId="0" fontId="16" fillId="0" borderId="27" applyAlignment="1" pivotButton="0" quotePrefix="0" xfId="0">
      <alignment horizontal="center" vertical="center"/>
    </xf>
    <xf numFmtId="0" fontId="17" fillId="0" borderId="26" pivotButton="0" quotePrefix="0" xfId="0"/>
    <xf numFmtId="0" fontId="17" fillId="0" borderId="25" pivotButton="0" quotePrefix="0" xfId="0"/>
    <xf numFmtId="0" fontId="14" fillId="0" borderId="23" pivotButton="0" quotePrefix="0" xfId="0"/>
    <xf numFmtId="169" fontId="0" fillId="0" borderId="0" pivotButton="0" quotePrefix="0" xfId="0"/>
    <xf numFmtId="0" fontId="0" fillId="0" borderId="0" pivotButton="0" quotePrefix="0" xfId="0"/>
    <xf numFmtId="168" fontId="2" fillId="9" borderId="0" pivotButton="0" quotePrefix="0" xfId="0"/>
    <xf numFmtId="0" fontId="11" fillId="7" borderId="24" applyAlignment="1" pivotButton="0" quotePrefix="0" xfId="0">
      <alignment horizontal="center" wrapText="1"/>
    </xf>
    <xf numFmtId="0" fontId="0" fillId="0" borderId="23" pivotButton="0" quotePrefix="0" xfId="0"/>
    <xf numFmtId="0" fontId="8" fillId="0" borderId="2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7" borderId="24" applyAlignment="1" pivotButton="0" quotePrefix="0" xfId="0">
      <alignment horizontal="center" wrapText="1"/>
    </xf>
    <xf numFmtId="0" fontId="0" fillId="0" borderId="25" pivotButton="0" quotePrefix="0" xfId="0"/>
    <xf numFmtId="0" fontId="10" fillId="6" borderId="23" applyAlignment="1" pivotButton="0" quotePrefix="0" xfId="0">
      <alignment horizontal="left" wrapText="1"/>
    </xf>
    <xf numFmtId="0" fontId="0" fillId="0" borderId="0" pivotButton="0" quotePrefix="0" xfId="0"/>
    <xf numFmtId="0" fontId="0" fillId="0" borderId="26" pivotButton="0" quotePrefix="0" xfId="0"/>
    <xf numFmtId="0" fontId="12" fillId="8" borderId="23" applyAlignment="1" pivotButton="0" quotePrefix="0" xfId="0">
      <alignment horizontal="left" wrapText="1"/>
    </xf>
    <xf numFmtId="0" fontId="13" fillId="6" borderId="23" applyAlignment="1" pivotButton="0" quotePrefix="0" xfId="0">
      <alignment horizontal="left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eia.gov/electricity/annual/" TargetMode="External" Id="rId1"/><Relationship Type="http://schemas.openxmlformats.org/officeDocument/2006/relationships/hyperlink" Target="https://atb.nrel.gov/" TargetMode="External" Id="rId2"/><Relationship Type="http://schemas.openxmlformats.org/officeDocument/2006/relationships/hyperlink" Target="https://www.eia.gov/electricity/" TargetMode="External" Id="rId3"/><Relationship Type="http://schemas.openxmlformats.org/officeDocument/2006/relationships/hyperlink" Target="https://github.com/RMI-Web/state-policy-simulator/blob/master/derive_metrics/elec/BECF.py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indexchange.energy.gov/maps-data/3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topLeftCell="A23" workbookViewId="0">
      <selection activeCell="C40" sqref="C40"/>
    </sheetView>
  </sheetViews>
  <sheetFormatPr baseColWidth="10" defaultColWidth="12.6640625" defaultRowHeight="15" customHeight="1"/>
  <cols>
    <col width="27.83203125" customWidth="1" style="82" min="1" max="1"/>
    <col width="72" customWidth="1" style="82" min="2" max="2"/>
    <col width="7.6640625" customWidth="1" style="82" min="3" max="26"/>
  </cols>
  <sheetData>
    <row r="1" ht="14.5" customHeight="1" s="82">
      <c r="A1" s="1" t="inlineStr">
        <is>
          <t>BAU Expected Capacity Factors</t>
        </is>
      </c>
      <c r="B1" s="2" t="inlineStr">
        <is>
          <t>Nebraska</t>
        </is>
      </c>
      <c r="C1" s="86" t="n">
        <v>44307</v>
      </c>
    </row>
    <row r="2" ht="14.5" customHeight="1" s="82">
      <c r="B2" s="2">
        <f>LOOKUP(B1,I10:J59,J10:J59)</f>
        <v/>
      </c>
    </row>
    <row r="3" ht="14.5" customHeight="1" s="82">
      <c r="A3" s="1" t="inlineStr">
        <is>
          <t>Source:</t>
        </is>
      </c>
      <c r="B3" s="3" t="inlineStr">
        <is>
          <t>Existing Capacity Factors, Except for Coal, Solar PV, and Onshore Wind (and capacity factor for newly built Nuclear)</t>
        </is>
      </c>
      <c r="D3" s="4" t="inlineStr">
        <is>
          <t>Existing and New Offshore Wind, New Solar Thermal Capacity Factors; Trends for New Solar PV and Onshore Wind Capacity Factors</t>
        </is>
      </c>
      <c r="E3" s="5" t="n"/>
      <c r="F3" s="5" t="n"/>
      <c r="G3" s="5" t="n"/>
      <c r="H3" s="5" t="n"/>
      <c r="I3" s="5" t="n"/>
      <c r="J3" s="5" t="n"/>
    </row>
    <row r="4" ht="14.5" customHeight="1" s="82">
      <c r="B4" s="10" t="inlineStr">
        <is>
          <t>Energy Information Administration</t>
        </is>
      </c>
      <c r="D4" s="10" t="inlineStr">
        <is>
          <t>National Renewable Energy Lab</t>
        </is>
      </c>
    </row>
    <row r="5" ht="14.5" customHeight="1" s="82">
      <c r="B5" s="6" t="n">
        <v>2019</v>
      </c>
      <c r="D5" s="6" t="n">
        <v>2020</v>
      </c>
    </row>
    <row r="6" ht="14.5" customHeight="1" s="82">
      <c r="B6" s="10" t="inlineStr">
        <is>
          <t>Electric Power Annual 2018</t>
        </is>
      </c>
      <c r="D6" s="10" t="inlineStr">
        <is>
          <t>Annual Technology Baseline (ATB) Spreadsheet - 2020 Final</t>
        </is>
      </c>
    </row>
    <row r="7" ht="14" customHeight="1" s="82">
      <c r="B7" s="7" t="inlineStr">
        <is>
          <t>http://www.eia.gov/electricity/annual/</t>
        </is>
      </c>
      <c r="D7" s="7" t="inlineStr">
        <is>
          <t>https://atb.nrel.gov/</t>
        </is>
      </c>
    </row>
    <row r="8" ht="14.5" customHeight="1" s="82">
      <c r="B8" s="10" t="inlineStr">
        <is>
          <t>Tables 4.8.A and 4.8.B</t>
        </is>
      </c>
    </row>
    <row r="9" ht="14.5" customHeight="1" s="82">
      <c r="B9" s="2" t="n"/>
    </row>
    <row r="10" ht="14.5" customHeight="1" s="82">
      <c r="B10" s="3" t="inlineStr">
        <is>
          <t>Existing Capacity Factor for Hard Coal, Lignite, Solar PV, and Onshore Wind</t>
        </is>
      </c>
      <c r="I10" s="59" t="inlineStr">
        <is>
          <t>Alabama</t>
        </is>
      </c>
      <c r="J10" s="59" t="inlineStr">
        <is>
          <t>AL</t>
        </is>
      </c>
    </row>
    <row r="11" ht="14.5" customHeight="1" s="82">
      <c r="B11" s="10" t="inlineStr">
        <is>
          <t>Energy Information Administration</t>
        </is>
      </c>
      <c r="I11" s="59" t="inlineStr">
        <is>
          <t>Alaska</t>
        </is>
      </c>
      <c r="J11" s="59" t="inlineStr">
        <is>
          <t>AK</t>
        </is>
      </c>
    </row>
    <row r="12" ht="14.5" customHeight="1" s="82">
      <c r="B12" s="6" t="n">
        <v>2020</v>
      </c>
      <c r="I12" s="59" t="inlineStr">
        <is>
          <t>Arizona</t>
        </is>
      </c>
      <c r="J12" s="59" t="inlineStr">
        <is>
          <t>AZ</t>
        </is>
      </c>
    </row>
    <row r="13" ht="14.5" customHeight="1" s="82">
      <c r="B13" s="10" t="inlineStr">
        <is>
          <t>Forms 860 and 923</t>
        </is>
      </c>
      <c r="I13" s="59" t="inlineStr">
        <is>
          <t>Arkansas</t>
        </is>
      </c>
      <c r="J13" s="59" t="inlineStr">
        <is>
          <t>AR</t>
        </is>
      </c>
    </row>
    <row r="14" ht="14" customHeight="1" s="82">
      <c r="B14" s="7" t="inlineStr">
        <is>
          <t>https://www.eia.gov/electricity/</t>
        </is>
      </c>
      <c r="I14" s="59" t="inlineStr">
        <is>
          <t>California</t>
        </is>
      </c>
      <c r="J14" s="59" t="inlineStr">
        <is>
          <t>CA</t>
        </is>
      </c>
    </row>
    <row r="15" ht="14.5" customHeight="1" s="82">
      <c r="B15" s="10" t="inlineStr">
        <is>
          <t>Form 860: 3_1_Generator_Y2018 (Operable tab) and Form 923: EIA923_Schedules_2_3_4_5_M_12_2018, (Page 1 Generator and Fuel Data tab)</t>
        </is>
      </c>
      <c r="I15" s="59" t="inlineStr">
        <is>
          <t>Colorado</t>
        </is>
      </c>
      <c r="J15" s="59" t="inlineStr">
        <is>
          <t>CO</t>
        </is>
      </c>
    </row>
    <row r="16" ht="14.5" customHeight="1" s="82">
      <c r="B16" s="2" t="n"/>
      <c r="I16" s="59" t="inlineStr">
        <is>
          <t>Connecticut</t>
        </is>
      </c>
      <c r="J16" s="59" t="inlineStr">
        <is>
          <t>CT</t>
        </is>
      </c>
    </row>
    <row r="17" ht="14.5" customHeight="1" s="82">
      <c r="B17" s="3" t="inlineStr">
        <is>
          <t>Gridlab 2035 Study</t>
        </is>
      </c>
      <c r="I17" s="59" t="inlineStr">
        <is>
          <t>Delaware</t>
        </is>
      </c>
      <c r="J17" s="59" t="inlineStr">
        <is>
          <t>DE</t>
        </is>
      </c>
    </row>
    <row r="18" ht="14.5" customHeight="1" s="82">
      <c r="B18" s="2" t="inlineStr">
        <is>
          <t>Berkley and Gridab</t>
        </is>
      </c>
      <c r="I18" s="59" t="inlineStr">
        <is>
          <t>Florida</t>
        </is>
      </c>
      <c r="J18" s="59" t="inlineStr">
        <is>
          <t>FL</t>
        </is>
      </c>
    </row>
    <row r="19" ht="14.5" customHeight="1" s="82">
      <c r="B19" s="2" t="n">
        <v>2020</v>
      </c>
      <c r="I19" s="59" t="inlineStr">
        <is>
          <t>Georgia</t>
        </is>
      </c>
      <c r="J19" s="59" t="inlineStr">
        <is>
          <t>GA</t>
        </is>
      </c>
    </row>
    <row r="20" ht="14.5" customHeight="1" s="82">
      <c r="B20" s="2" t="inlineStr">
        <is>
          <t>Regional and State Generation Capacity</t>
        </is>
      </c>
      <c r="I20" s="59" t="inlineStr">
        <is>
          <t>Hawaii</t>
        </is>
      </c>
      <c r="J20" s="59" t="inlineStr">
        <is>
          <t>HI</t>
        </is>
      </c>
    </row>
    <row r="21" ht="15.75" customHeight="1" s="82">
      <c r="B21" s="2" t="inlineStr">
        <is>
          <t>https://www.2035report.com/downloads/</t>
        </is>
      </c>
      <c r="I21" s="59" t="inlineStr">
        <is>
          <t>Idaho</t>
        </is>
      </c>
      <c r="J21" s="59" t="inlineStr">
        <is>
          <t>ID</t>
        </is>
      </c>
    </row>
    <row r="22" ht="15.75" customHeight="1" s="82">
      <c r="B22" s="2" t="n"/>
      <c r="I22" s="59" t="inlineStr">
        <is>
          <t>Illinois</t>
        </is>
      </c>
      <c r="J22" s="59" t="inlineStr">
        <is>
          <t>IL</t>
        </is>
      </c>
    </row>
    <row r="23" ht="15.75" customHeight="1" s="82">
      <c r="B23" s="2" t="n"/>
      <c r="I23" s="59" t="inlineStr">
        <is>
          <t>Indiana</t>
        </is>
      </c>
      <c r="J23" s="59" t="inlineStr">
        <is>
          <t>IN</t>
        </is>
      </c>
    </row>
    <row r="24" ht="15.75" customHeight="1" s="82">
      <c r="B24" s="2" t="n"/>
      <c r="I24" s="59" t="inlineStr">
        <is>
          <t>Iowa</t>
        </is>
      </c>
      <c r="J24" s="59" t="inlineStr">
        <is>
          <t>IA</t>
        </is>
      </c>
    </row>
    <row r="25" ht="15.75" customHeight="1" s="82">
      <c r="B25" s="2" t="n"/>
      <c r="I25" s="59" t="inlineStr">
        <is>
          <t>Kansas</t>
        </is>
      </c>
      <c r="J25" s="59" t="inlineStr">
        <is>
          <t>KS</t>
        </is>
      </c>
    </row>
    <row r="26" ht="15.75" customHeight="1" s="82">
      <c r="B26" s="2" t="n"/>
      <c r="I26" s="59" t="inlineStr">
        <is>
          <t>Kentucky</t>
        </is>
      </c>
      <c r="J26" s="59" t="inlineStr">
        <is>
          <t>KY</t>
        </is>
      </c>
    </row>
    <row r="27" ht="15.75" customHeight="1" s="82">
      <c r="A27" s="1" t="inlineStr">
        <is>
          <t>Notes</t>
        </is>
      </c>
      <c r="B27" s="2" t="n"/>
      <c r="I27" s="59" t="inlineStr">
        <is>
          <t>Louisiana</t>
        </is>
      </c>
      <c r="J27" s="59" t="inlineStr">
        <is>
          <t>LA</t>
        </is>
      </c>
    </row>
    <row r="28" ht="15.75" customHeight="1" s="82">
      <c r="A28" s="10" t="inlineStr">
        <is>
          <t xml:space="preserve">This variable represents the capacity factors that electricity suppliers expect to run each type of </t>
        </is>
      </c>
      <c r="B28" s="2" t="n"/>
      <c r="I28" s="59" t="inlineStr">
        <is>
          <t>Maine</t>
        </is>
      </c>
      <c r="J28" s="59" t="inlineStr">
        <is>
          <t>ME</t>
        </is>
      </c>
    </row>
    <row r="29" ht="15.75" customHeight="1" s="82">
      <c r="A29" s="10" t="inlineStr">
        <is>
          <t xml:space="preserve">power plant. Given the choice, an electricity supplier would sooner build a new nonpeaker power </t>
        </is>
      </c>
      <c r="B29" s="2" t="n"/>
      <c r="I29" s="59" t="inlineStr">
        <is>
          <t>Maryland</t>
        </is>
      </c>
      <c r="J29" s="59" t="inlineStr">
        <is>
          <t>MD</t>
        </is>
      </c>
    </row>
    <row r="30" ht="15.75" customHeight="1" s="82">
      <c r="A30" s="10" t="inlineStr">
        <is>
          <t>plant than attempt to rely on running a nonpeaker plant at greater than its Expected Capacity Factor.</t>
        </is>
      </c>
      <c r="B30" s="2" t="n"/>
      <c r="I30" s="59" t="inlineStr">
        <is>
          <t>Massachusetts</t>
        </is>
      </c>
      <c r="J30" s="59" t="inlineStr">
        <is>
          <t>MA</t>
        </is>
      </c>
    </row>
    <row r="31" ht="15.75" customHeight="1" s="82">
      <c r="A31" s="1" t="n"/>
      <c r="B31" s="2" t="n"/>
      <c r="I31" s="59" t="inlineStr">
        <is>
          <t>Michigan</t>
        </is>
      </c>
      <c r="J31" s="59" t="inlineStr">
        <is>
          <t>MI</t>
        </is>
      </c>
    </row>
    <row r="32" ht="15.75" customHeight="1" s="82">
      <c r="A32" s="10" t="inlineStr">
        <is>
          <t xml:space="preserve">For all sources other than nuclear, onshore/offshore wind, solar PV, we assume a 10% improvement in the </t>
        </is>
      </c>
      <c r="B32" s="2" t="n"/>
      <c r="I32" s="59" t="inlineStr">
        <is>
          <t>Minnesota</t>
        </is>
      </c>
      <c r="J32" s="59" t="inlineStr">
        <is>
          <t>MN</t>
        </is>
      </c>
    </row>
    <row r="33" ht="15.75" customHeight="1" s="82">
      <c r="A33" s="10" t="inlineStr">
        <is>
          <t>target capacity factor of new units relative to the observed capacity factor of existing units.</t>
        </is>
      </c>
      <c r="B33" s="2" t="n"/>
      <c r="I33" s="59" t="inlineStr">
        <is>
          <t>Mississippi</t>
        </is>
      </c>
      <c r="J33" s="59" t="inlineStr">
        <is>
          <t>MS</t>
        </is>
      </c>
    </row>
    <row r="34" ht="15.75" customHeight="1" s="82">
      <c r="A34" s="10" t="inlineStr">
        <is>
          <t>This is meant to account for improvements in efficiency (e.g. heat rate) that are likely to make the unit</t>
        </is>
      </c>
      <c r="B34" s="2" t="n"/>
      <c r="I34" s="59" t="inlineStr">
        <is>
          <t>Missouri</t>
        </is>
      </c>
      <c r="J34" s="59" t="inlineStr">
        <is>
          <t>MO</t>
        </is>
      </c>
    </row>
    <row r="35" ht="15.75" customHeight="1" s="82">
      <c r="A35" s="10" t="inlineStr">
        <is>
          <t>more cost-effective to run, and therefore likely to increase the amount it is dispatched.</t>
        </is>
      </c>
      <c r="B35" s="2" t="n"/>
      <c r="I35" s="59" t="inlineStr">
        <is>
          <t>Montana</t>
        </is>
      </c>
      <c r="J35" s="59" t="inlineStr">
        <is>
          <t>MT</t>
        </is>
      </c>
    </row>
    <row r="36" ht="15.75" customHeight="1" s="82">
      <c r="B36" s="2" t="n"/>
      <c r="I36" s="59" t="inlineStr">
        <is>
          <t>Nebraska</t>
        </is>
      </c>
      <c r="J36" s="59" t="inlineStr">
        <is>
          <t>NE</t>
        </is>
      </c>
    </row>
    <row r="37" ht="15.75" customHeight="1" s="82">
      <c r="A37" s="10" t="inlineStr">
        <is>
          <t>For onshore/offshore wind, solar PV, and solar thermal we take capacity factors for new resources from the NREL ATB.</t>
        </is>
      </c>
      <c r="B37" s="2" t="n"/>
      <c r="I37" s="59" t="inlineStr">
        <is>
          <t>Nevada</t>
        </is>
      </c>
      <c r="J37" s="59" t="inlineStr">
        <is>
          <t>NV</t>
        </is>
      </c>
    </row>
    <row r="38" ht="15.75" customHeight="1" s="82">
      <c r="A38" s="10" t="inlineStr">
        <is>
          <t xml:space="preserve">These types of plants tend to be limited by resources rather than dispatch cost. For onshore and offshore wind, </t>
        </is>
      </c>
      <c r="B38" s="2" t="n"/>
      <c r="I38" s="59" t="inlineStr">
        <is>
          <t>New Hampshire</t>
        </is>
      </c>
      <c r="J38" s="59" t="inlineStr">
        <is>
          <t>NH</t>
        </is>
      </c>
    </row>
    <row r="39" ht="15.75" customHeight="1" s="82">
      <c r="A39" s="10" t="inlineStr">
        <is>
          <t>we average based on a subset of the ATB classes.</t>
        </is>
      </c>
      <c r="B39" s="2" t="n"/>
      <c r="I39" s="59" t="inlineStr">
        <is>
          <t>New Jersey</t>
        </is>
      </c>
      <c r="J39" s="59" t="inlineStr">
        <is>
          <t>NJ</t>
        </is>
      </c>
    </row>
    <row r="40" ht="15.75" customHeight="1" s="82">
      <c r="B40" s="2" t="n"/>
      <c r="I40" s="59" t="inlineStr">
        <is>
          <t>New Mexico</t>
        </is>
      </c>
      <c r="J40" s="59" t="inlineStr">
        <is>
          <t>NM</t>
        </is>
      </c>
    </row>
    <row r="41" ht="15.75" customHeight="1" s="82">
      <c r="A41" s="10" t="inlineStr">
        <is>
          <t xml:space="preserve">For nuclear, we assume that new plants will operate at the same level of efficiency as existing plants, </t>
        </is>
      </c>
      <c r="B41" s="2" t="n"/>
      <c r="I41" s="59" t="inlineStr">
        <is>
          <t>New York</t>
        </is>
      </c>
      <c r="J41" s="59" t="inlineStr">
        <is>
          <t>NY</t>
        </is>
      </c>
    </row>
    <row r="42" ht="15.75" customHeight="1" s="82">
      <c r="A42" s="10" t="inlineStr">
        <is>
          <t>as the primary cause for the difference between 100% and the observed capacity factor is due to maintenance</t>
        </is>
      </c>
      <c r="B42" s="2" t="n"/>
      <c r="I42" s="59" t="inlineStr">
        <is>
          <t>North Carolina</t>
        </is>
      </c>
      <c r="J42" s="59" t="inlineStr">
        <is>
          <t>NC</t>
        </is>
      </c>
    </row>
    <row r="43" ht="15.75" customHeight="1" s="82">
      <c r="A43" s="10" t="inlineStr">
        <is>
          <t>and outages rather than dispatch costs.</t>
        </is>
      </c>
      <c r="B43" s="2" t="n"/>
      <c r="I43" s="59" t="inlineStr">
        <is>
          <t>North Dakota</t>
        </is>
      </c>
      <c r="J43" s="59" t="inlineStr">
        <is>
          <t>ND</t>
        </is>
      </c>
    </row>
    <row r="44" ht="15.75" customHeight="1" s="82">
      <c r="B44" s="2" t="n"/>
      <c r="I44" s="59" t="inlineStr">
        <is>
          <t>Ohio</t>
        </is>
      </c>
      <c r="J44" s="59" t="inlineStr">
        <is>
          <t>OH</t>
        </is>
      </c>
    </row>
    <row r="45" ht="15.75" customHeight="1" s="82">
      <c r="A45" s="10" t="inlineStr">
        <is>
          <t>For coal we use data from Form 860 and Form 923 to develop separate capacity factors for lignite and</t>
        </is>
      </c>
      <c r="B45" s="2" t="n"/>
      <c r="I45" s="59" t="inlineStr">
        <is>
          <t>Oklahoma</t>
        </is>
      </c>
      <c r="J45" s="59" t="inlineStr">
        <is>
          <t>OK</t>
        </is>
      </c>
    </row>
    <row r="46" ht="15.75" customHeight="1" s="82">
      <c r="A46" s="10" t="inlineStr">
        <is>
          <t>non-lignite coal plants.</t>
        </is>
      </c>
      <c r="B46" s="2" t="n"/>
      <c r="I46" s="59" t="inlineStr">
        <is>
          <t>Oregon</t>
        </is>
      </c>
      <c r="J46" s="59" t="inlineStr">
        <is>
          <t>OR</t>
        </is>
      </c>
    </row>
    <row r="47" ht="15.75" customHeight="1" s="82">
      <c r="B47" s="2" t="n"/>
      <c r="I47" s="59" t="inlineStr">
        <is>
          <t>Pennsylvania</t>
        </is>
      </c>
      <c r="J47" s="59" t="inlineStr">
        <is>
          <t>PA</t>
        </is>
      </c>
    </row>
    <row r="48" ht="15.75" customHeight="1" s="82">
      <c r="A48" s="8" t="inlineStr">
        <is>
          <t>State Downscaling</t>
        </is>
      </c>
      <c r="B48" s="2" t="n"/>
      <c r="I48" s="59" t="inlineStr">
        <is>
          <t>Rhode Island</t>
        </is>
      </c>
      <c r="J48" s="59" t="inlineStr">
        <is>
          <t>RI</t>
        </is>
      </c>
    </row>
    <row r="49" ht="15.75" customHeight="1" s="82">
      <c r="A49" s="9" t="inlineStr">
        <is>
          <t>Combine plant level data from EIA-923 and EIA-860</t>
        </is>
      </c>
      <c r="B49" s="2" t="n"/>
      <c r="I49" s="59" t="inlineStr">
        <is>
          <t>South Carolina</t>
        </is>
      </c>
      <c r="J49" s="59" t="inlineStr">
        <is>
          <t>SC</t>
        </is>
      </c>
    </row>
    <row r="50" ht="15.75" customHeight="1" s="82">
      <c r="A50" s="9" t="inlineStr">
        <is>
          <t>Calculate capacity factor</t>
        </is>
      </c>
      <c r="B50" s="2" t="n"/>
      <c r="I50" s="59" t="inlineStr">
        <is>
          <t>South Dakota</t>
        </is>
      </c>
      <c r="J50" s="59" t="inlineStr">
        <is>
          <t>SD</t>
        </is>
      </c>
    </row>
    <row r="51" ht="15.75" customHeight="1" s="82">
      <c r="A51" s="9" t="inlineStr">
        <is>
          <t>Summarize to the state’s census division level</t>
        </is>
      </c>
      <c r="B51" s="2" t="n"/>
      <c r="I51" s="59" t="inlineStr">
        <is>
          <t>Tennessee</t>
        </is>
      </c>
      <c r="J51" s="59" t="inlineStr">
        <is>
          <t>TN</t>
        </is>
      </c>
    </row>
    <row r="52" ht="15.75" customHeight="1" s="82">
      <c r="A52" s="10" t="inlineStr">
        <is>
          <t>Script:</t>
        </is>
      </c>
      <c r="B52" s="2" t="n"/>
      <c r="I52" s="59" t="inlineStr">
        <is>
          <t>Texas</t>
        </is>
      </c>
      <c r="J52" s="59" t="inlineStr">
        <is>
          <t>TX</t>
        </is>
      </c>
    </row>
    <row r="53" ht="15.75" customHeight="1" s="82">
      <c r="A53" s="11" t="inlineStr">
        <is>
          <t>https://github.com/RMI-Web/state-policy-simulator/blob/master/derive_metrics/elec/BECF.py</t>
        </is>
      </c>
      <c r="B53" s="2" t="n"/>
      <c r="I53" s="59" t="inlineStr">
        <is>
          <t>Utah</t>
        </is>
      </c>
      <c r="J53" s="59" t="inlineStr">
        <is>
          <t>UT</t>
        </is>
      </c>
    </row>
    <row r="54" ht="15.75" customHeight="1" s="82">
      <c r="B54" s="2" t="n"/>
      <c r="I54" s="59" t="inlineStr">
        <is>
          <t>Vermont</t>
        </is>
      </c>
      <c r="J54" s="59" t="inlineStr">
        <is>
          <t>VT</t>
        </is>
      </c>
    </row>
    <row r="55" ht="15.75" customHeight="1" s="82">
      <c r="A55" s="58" t="inlineStr">
        <is>
          <t>For onshore wind, offshore wind, and solar, we use numbers from Gridlab's 2035 study</t>
        </is>
      </c>
      <c r="B55" s="2" t="n"/>
      <c r="I55" s="59" t="inlineStr">
        <is>
          <t>Virginia</t>
        </is>
      </c>
      <c r="J55" s="59" t="inlineStr">
        <is>
          <t>VA</t>
        </is>
      </c>
    </row>
    <row r="56" ht="15.75" customHeight="1" s="82">
      <c r="A56" s="58" t="inlineStr">
        <is>
          <t>Numbers are derived from the NREL ReEDs model</t>
        </is>
      </c>
      <c r="B56" s="2" t="n"/>
      <c r="I56" s="59" t="inlineStr">
        <is>
          <t>Washington</t>
        </is>
      </c>
      <c r="J56" s="59" t="inlineStr">
        <is>
          <t>WA</t>
        </is>
      </c>
    </row>
    <row r="57" ht="15.75" customHeight="1" s="82">
      <c r="B57" s="2" t="n"/>
      <c r="I57" s="59" t="inlineStr">
        <is>
          <t>West Virginia</t>
        </is>
      </c>
      <c r="J57" s="59" t="inlineStr">
        <is>
          <t>WV</t>
        </is>
      </c>
    </row>
    <row r="58" ht="15.75" customHeight="1" s="82">
      <c r="B58" s="2" t="n"/>
      <c r="I58" s="59" t="inlineStr">
        <is>
          <t>Wisconsin</t>
        </is>
      </c>
      <c r="J58" s="59" t="inlineStr">
        <is>
          <t>WI</t>
        </is>
      </c>
    </row>
    <row r="59" ht="15.75" customHeight="1" s="82">
      <c r="B59" s="2" t="n"/>
      <c r="I59" s="59" t="inlineStr">
        <is>
          <t>Wyoming</t>
        </is>
      </c>
      <c r="J59" s="59" t="inlineStr">
        <is>
          <t>WY</t>
        </is>
      </c>
    </row>
    <row r="60" ht="15.75" customHeight="1" s="82">
      <c r="B60" s="2" t="n"/>
    </row>
    <row r="61" ht="15.75" customHeight="1" s="82">
      <c r="B61" s="2" t="n"/>
    </row>
    <row r="62" ht="15.75" customHeight="1" s="82">
      <c r="B62" s="2" t="n"/>
    </row>
    <row r="63" ht="15.75" customHeight="1" s="82">
      <c r="B63" s="2" t="n"/>
    </row>
    <row r="64" ht="15.75" customHeight="1" s="82">
      <c r="B64" s="2" t="n"/>
    </row>
    <row r="65" ht="15.75" customHeight="1" s="82">
      <c r="B65" s="2" t="n"/>
    </row>
    <row r="66" ht="15.75" customHeight="1" s="82">
      <c r="B66" s="2" t="n"/>
    </row>
    <row r="67" ht="15.75" customHeight="1" s="82">
      <c r="B67" s="2" t="n"/>
    </row>
    <row r="68" ht="15.75" customHeight="1" s="82">
      <c r="B68" s="2" t="n"/>
    </row>
    <row r="69" ht="15.75" customHeight="1" s="82">
      <c r="B69" s="2" t="n"/>
    </row>
    <row r="70" ht="15.75" customHeight="1" s="82">
      <c r="B70" s="2" t="n"/>
    </row>
    <row r="71" ht="15.75" customHeight="1" s="82">
      <c r="B71" s="2" t="n"/>
    </row>
    <row r="72" ht="15.75" customHeight="1" s="82">
      <c r="B72" s="2" t="n"/>
    </row>
    <row r="73" ht="15.75" customHeight="1" s="82">
      <c r="B73" s="2" t="n"/>
    </row>
    <row r="74" ht="15.75" customHeight="1" s="82">
      <c r="B74" s="2" t="n"/>
    </row>
    <row r="75" ht="15.75" customHeight="1" s="82">
      <c r="B75" s="2" t="n"/>
    </row>
    <row r="76" ht="15.75" customHeight="1" s="82">
      <c r="B76" s="2" t="n"/>
    </row>
    <row r="77" ht="15.75" customHeight="1" s="82">
      <c r="B77" s="2" t="n"/>
    </row>
    <row r="78" ht="15.75" customHeight="1" s="82">
      <c r="B78" s="2" t="n"/>
    </row>
    <row r="79" ht="15.75" customHeight="1" s="82">
      <c r="B79" s="2" t="n"/>
    </row>
    <row r="80" ht="15.75" customHeight="1" s="82">
      <c r="B80" s="2" t="n"/>
    </row>
    <row r="81" ht="15.75" customHeight="1" s="82">
      <c r="B81" s="2" t="n"/>
    </row>
    <row r="82" ht="15.75" customHeight="1" s="82">
      <c r="B82" s="2" t="n"/>
    </row>
    <row r="83" ht="15.75" customHeight="1" s="82">
      <c r="B83" s="2" t="n"/>
    </row>
    <row r="84" ht="15.75" customHeight="1" s="82">
      <c r="B84" s="2" t="n"/>
    </row>
    <row r="85" ht="15.75" customHeight="1" s="82">
      <c r="B85" s="2" t="n"/>
    </row>
    <row r="86" ht="15.75" customHeight="1" s="82">
      <c r="B86" s="2" t="n"/>
    </row>
    <row r="87" ht="15.75" customHeight="1" s="82">
      <c r="B87" s="2" t="n"/>
    </row>
    <row r="88" ht="15.75" customHeight="1" s="82">
      <c r="B88" s="2" t="n"/>
    </row>
    <row r="89" ht="15.75" customHeight="1" s="82">
      <c r="B89" s="2" t="n"/>
    </row>
    <row r="90" ht="15.75" customHeight="1" s="82">
      <c r="B90" s="2" t="n"/>
    </row>
    <row r="91" ht="15.75" customHeight="1" s="82">
      <c r="B91" s="2" t="n"/>
    </row>
    <row r="92" ht="15.75" customHeight="1" s="82">
      <c r="B92" s="2" t="n"/>
    </row>
    <row r="93" ht="15.75" customHeight="1" s="82">
      <c r="B93" s="2" t="n"/>
    </row>
    <row r="94" ht="15.75" customHeight="1" s="82">
      <c r="B94" s="2" t="n"/>
    </row>
    <row r="95" ht="15.75" customHeight="1" s="82">
      <c r="B95" s="2" t="n"/>
    </row>
    <row r="96" ht="15.75" customHeight="1" s="82">
      <c r="B96" s="2" t="n"/>
    </row>
    <row r="97" ht="15.75" customHeight="1" s="82">
      <c r="B97" s="2" t="n"/>
    </row>
    <row r="98" ht="15.75" customHeight="1" s="82">
      <c r="B98" s="2" t="n"/>
    </row>
    <row r="99" ht="15.75" customHeight="1" s="82">
      <c r="B99" s="2" t="n"/>
    </row>
    <row r="100" ht="15.75" customHeight="1" s="82">
      <c r="B100" s="2" t="n"/>
    </row>
    <row r="101" ht="15.75" customHeight="1" s="82">
      <c r="B101" s="2" t="n"/>
    </row>
    <row r="102" ht="15.75" customHeight="1" s="82">
      <c r="B102" s="2" t="n"/>
    </row>
    <row r="103" ht="15.75" customHeight="1" s="82">
      <c r="B103" s="2" t="n"/>
    </row>
    <row r="104" ht="15.75" customHeight="1" s="82">
      <c r="B104" s="2" t="n"/>
    </row>
    <row r="105" ht="15.75" customHeight="1" s="82">
      <c r="B105" s="2" t="n"/>
    </row>
    <row r="106" ht="15.75" customHeight="1" s="82">
      <c r="B106" s="2" t="n"/>
    </row>
    <row r="107" ht="15.75" customHeight="1" s="82">
      <c r="B107" s="2" t="n"/>
    </row>
    <row r="108" ht="15.75" customHeight="1" s="82">
      <c r="B108" s="2" t="n"/>
    </row>
    <row r="109" ht="15.75" customHeight="1" s="82">
      <c r="B109" s="2" t="n"/>
    </row>
    <row r="110" ht="15.75" customHeight="1" s="82">
      <c r="B110" s="2" t="n"/>
    </row>
    <row r="111" ht="15.75" customHeight="1" s="82">
      <c r="B111" s="2" t="n"/>
    </row>
    <row r="112" ht="15.75" customHeight="1" s="82">
      <c r="B112" s="2" t="n"/>
    </row>
    <row r="113" ht="15.75" customHeight="1" s="82">
      <c r="B113" s="2" t="n"/>
    </row>
    <row r="114" ht="15.75" customHeight="1" s="82">
      <c r="B114" s="2" t="n"/>
    </row>
    <row r="115" ht="15.75" customHeight="1" s="82">
      <c r="B115" s="2" t="n"/>
    </row>
    <row r="116" ht="15.75" customHeight="1" s="82">
      <c r="B116" s="2" t="n"/>
    </row>
    <row r="117" ht="15.75" customHeight="1" s="82">
      <c r="B117" s="2" t="n"/>
    </row>
    <row r="118" ht="15.75" customHeight="1" s="82">
      <c r="B118" s="2" t="n"/>
    </row>
    <row r="119" ht="15.75" customHeight="1" s="82">
      <c r="B119" s="2" t="n"/>
    </row>
    <row r="120" ht="15.75" customHeight="1" s="82">
      <c r="B120" s="2" t="n"/>
    </row>
    <row r="121" ht="15.75" customHeight="1" s="82">
      <c r="B121" s="2" t="n"/>
    </row>
    <row r="122" ht="15.75" customHeight="1" s="82">
      <c r="B122" s="2" t="n"/>
    </row>
    <row r="123" ht="15.75" customHeight="1" s="82">
      <c r="B123" s="2" t="n"/>
    </row>
    <row r="124" ht="15.75" customHeight="1" s="82">
      <c r="B124" s="2" t="n"/>
    </row>
    <row r="125" ht="15.75" customHeight="1" s="82">
      <c r="B125" s="2" t="n"/>
    </row>
    <row r="126" ht="15.75" customHeight="1" s="82">
      <c r="B126" s="2" t="n"/>
    </row>
    <row r="127" ht="15.75" customHeight="1" s="82">
      <c r="B127" s="2" t="n"/>
    </row>
    <row r="128" ht="15.75" customHeight="1" s="82">
      <c r="B128" s="2" t="n"/>
    </row>
    <row r="129" ht="15.75" customHeight="1" s="82">
      <c r="B129" s="2" t="n"/>
    </row>
    <row r="130" ht="15.75" customHeight="1" s="82">
      <c r="B130" s="2" t="n"/>
    </row>
    <row r="131" ht="15.75" customHeight="1" s="82">
      <c r="B131" s="2" t="n"/>
    </row>
    <row r="132" ht="15.75" customHeight="1" s="82">
      <c r="B132" s="2" t="n"/>
    </row>
    <row r="133" ht="15.75" customHeight="1" s="82">
      <c r="B133" s="2" t="n"/>
    </row>
    <row r="134" ht="15.75" customHeight="1" s="82">
      <c r="B134" s="2" t="n"/>
    </row>
    <row r="135" ht="15.75" customHeight="1" s="82">
      <c r="B135" s="2" t="n"/>
    </row>
    <row r="136" ht="15.75" customHeight="1" s="82">
      <c r="B136" s="2" t="n"/>
    </row>
    <row r="137" ht="15.75" customHeight="1" s="82">
      <c r="B137" s="2" t="n"/>
    </row>
    <row r="138" ht="15.75" customHeight="1" s="82">
      <c r="B138" s="2" t="n"/>
    </row>
    <row r="139" ht="15.75" customHeight="1" s="82">
      <c r="B139" s="2" t="n"/>
    </row>
    <row r="140" ht="15.75" customHeight="1" s="82">
      <c r="B140" s="2" t="n"/>
    </row>
    <row r="141" ht="15.75" customHeight="1" s="82">
      <c r="B141" s="2" t="n"/>
    </row>
    <row r="142" ht="15.75" customHeight="1" s="82">
      <c r="B142" s="2" t="n"/>
    </row>
    <row r="143" ht="15.75" customHeight="1" s="82">
      <c r="B143" s="2" t="n"/>
    </row>
    <row r="144" ht="15.75" customHeight="1" s="82">
      <c r="B144" s="2" t="n"/>
    </row>
    <row r="145" ht="15.75" customHeight="1" s="82">
      <c r="B145" s="2" t="n"/>
    </row>
    <row r="146" ht="15.75" customHeight="1" s="82">
      <c r="B146" s="2" t="n"/>
    </row>
    <row r="147" ht="15.75" customHeight="1" s="82">
      <c r="B147" s="2" t="n"/>
    </row>
    <row r="148" ht="15.75" customHeight="1" s="82">
      <c r="B148" s="2" t="n"/>
    </row>
    <row r="149" ht="15.75" customHeight="1" s="82">
      <c r="B149" s="2" t="n"/>
    </row>
    <row r="150" ht="15.75" customHeight="1" s="82">
      <c r="B150" s="2" t="n"/>
    </row>
    <row r="151" ht="15.75" customHeight="1" s="82">
      <c r="B151" s="2" t="n"/>
    </row>
    <row r="152" ht="15.75" customHeight="1" s="82">
      <c r="B152" s="2" t="n"/>
    </row>
    <row r="153" ht="15.75" customHeight="1" s="82">
      <c r="B153" s="2" t="n"/>
    </row>
    <row r="154" ht="15.75" customHeight="1" s="82">
      <c r="B154" s="2" t="n"/>
    </row>
    <row r="155" ht="15.75" customHeight="1" s="82">
      <c r="B155" s="2" t="n"/>
    </row>
    <row r="156" ht="15.75" customHeight="1" s="82">
      <c r="B156" s="2" t="n"/>
    </row>
    <row r="157" ht="15.75" customHeight="1" s="82">
      <c r="B157" s="2" t="n"/>
    </row>
    <row r="158" ht="15.75" customHeight="1" s="82">
      <c r="B158" s="2" t="n"/>
    </row>
    <row r="159" ht="15.75" customHeight="1" s="82">
      <c r="B159" s="2" t="n"/>
    </row>
    <row r="160" ht="15.75" customHeight="1" s="82">
      <c r="B160" s="2" t="n"/>
    </row>
    <row r="161" ht="15.75" customHeight="1" s="82">
      <c r="B161" s="2" t="n"/>
    </row>
    <row r="162" ht="15.75" customHeight="1" s="82">
      <c r="B162" s="2" t="n"/>
    </row>
    <row r="163" ht="15.75" customHeight="1" s="82">
      <c r="B163" s="2" t="n"/>
    </row>
    <row r="164" ht="15.75" customHeight="1" s="82">
      <c r="B164" s="2" t="n"/>
    </row>
    <row r="165" ht="15.75" customHeight="1" s="82">
      <c r="B165" s="2" t="n"/>
    </row>
    <row r="166" ht="15.75" customHeight="1" s="82">
      <c r="B166" s="2" t="n"/>
    </row>
    <row r="167" ht="15.75" customHeight="1" s="82">
      <c r="B167" s="2" t="n"/>
    </row>
    <row r="168" ht="15.75" customHeight="1" s="82">
      <c r="B168" s="2" t="n"/>
    </row>
    <row r="169" ht="15.75" customHeight="1" s="82">
      <c r="B169" s="2" t="n"/>
    </row>
    <row r="170" ht="15.75" customHeight="1" s="82">
      <c r="B170" s="2" t="n"/>
    </row>
    <row r="171" ht="15.75" customHeight="1" s="82">
      <c r="B171" s="2" t="n"/>
    </row>
    <row r="172" ht="15.75" customHeight="1" s="82">
      <c r="B172" s="2" t="n"/>
    </row>
    <row r="173" ht="15.75" customHeight="1" s="82">
      <c r="B173" s="2" t="n"/>
    </row>
    <row r="174" ht="15.75" customHeight="1" s="82">
      <c r="B174" s="2" t="n"/>
    </row>
    <row r="175" ht="15.75" customHeight="1" s="82">
      <c r="B175" s="2" t="n"/>
    </row>
    <row r="176" ht="15.75" customHeight="1" s="82">
      <c r="B176" s="2" t="n"/>
    </row>
    <row r="177" ht="15.75" customHeight="1" s="82">
      <c r="B177" s="2" t="n"/>
    </row>
    <row r="178" ht="15.75" customHeight="1" s="82">
      <c r="B178" s="2" t="n"/>
    </row>
    <row r="179" ht="15.75" customHeight="1" s="82">
      <c r="B179" s="2" t="n"/>
    </row>
    <row r="180" ht="15.75" customHeight="1" s="82">
      <c r="B180" s="2" t="n"/>
    </row>
    <row r="181" ht="15.75" customHeight="1" s="82">
      <c r="B181" s="2" t="n"/>
    </row>
    <row r="182" ht="15.75" customHeight="1" s="82">
      <c r="B182" s="2" t="n"/>
    </row>
    <row r="183" ht="15.75" customHeight="1" s="82">
      <c r="B183" s="2" t="n"/>
    </row>
    <row r="184" ht="15.75" customHeight="1" s="82">
      <c r="B184" s="2" t="n"/>
    </row>
    <row r="185" ht="15.75" customHeight="1" s="82">
      <c r="B185" s="2" t="n"/>
    </row>
    <row r="186" ht="15.75" customHeight="1" s="82">
      <c r="B186" s="2" t="n"/>
    </row>
    <row r="187" ht="15.75" customHeight="1" s="82">
      <c r="B187" s="2" t="n"/>
    </row>
    <row r="188" ht="15.75" customHeight="1" s="82">
      <c r="B188" s="2" t="n"/>
    </row>
    <row r="189" ht="15.75" customHeight="1" s="82">
      <c r="B189" s="2" t="n"/>
    </row>
    <row r="190" ht="15.75" customHeight="1" s="82">
      <c r="B190" s="2" t="n"/>
    </row>
    <row r="191" ht="15.75" customHeight="1" s="82">
      <c r="B191" s="2" t="n"/>
    </row>
    <row r="192" ht="15.75" customHeight="1" s="82">
      <c r="B192" s="2" t="n"/>
    </row>
    <row r="193" ht="15.75" customHeight="1" s="82">
      <c r="B193" s="2" t="n"/>
    </row>
    <row r="194" ht="15.75" customHeight="1" s="82">
      <c r="B194" s="2" t="n"/>
    </row>
    <row r="195" ht="15.75" customHeight="1" s="82">
      <c r="B195" s="2" t="n"/>
    </row>
    <row r="196" ht="15.75" customHeight="1" s="82">
      <c r="B196" s="2" t="n"/>
    </row>
    <row r="197" ht="15.75" customHeight="1" s="82">
      <c r="B197" s="2" t="n"/>
    </row>
    <row r="198" ht="15.75" customHeight="1" s="82">
      <c r="B198" s="2" t="n"/>
    </row>
    <row r="199" ht="15.75" customHeight="1" s="82">
      <c r="B199" s="2" t="n"/>
    </row>
    <row r="200" ht="15.75" customHeight="1" s="82">
      <c r="B200" s="2" t="n"/>
    </row>
    <row r="201" ht="15.75" customHeight="1" s="82">
      <c r="B201" s="2" t="n"/>
    </row>
    <row r="202" ht="15.75" customHeight="1" s="82">
      <c r="B202" s="2" t="n"/>
    </row>
    <row r="203" ht="15.75" customHeight="1" s="82">
      <c r="B203" s="2" t="n"/>
    </row>
    <row r="204" ht="15.75" customHeight="1" s="82">
      <c r="B204" s="2" t="n"/>
    </row>
    <row r="205" ht="15.75" customHeight="1" s="82">
      <c r="B205" s="2" t="n"/>
    </row>
    <row r="206" ht="15.75" customHeight="1" s="82">
      <c r="B206" s="2" t="n"/>
    </row>
    <row r="207" ht="15.75" customHeight="1" s="82">
      <c r="B207" s="2" t="n"/>
    </row>
    <row r="208" ht="15.75" customHeight="1" s="82">
      <c r="B208" s="2" t="n"/>
    </row>
    <row r="209" ht="15.75" customHeight="1" s="82">
      <c r="B209" s="2" t="n"/>
    </row>
    <row r="210" ht="15.75" customHeight="1" s="82">
      <c r="B210" s="2" t="n"/>
    </row>
    <row r="211" ht="15.75" customHeight="1" s="82">
      <c r="B211" s="2" t="n"/>
    </row>
    <row r="212" ht="15.75" customHeight="1" s="82">
      <c r="B212" s="2" t="n"/>
    </row>
    <row r="213" ht="15.75" customHeight="1" s="82">
      <c r="B213" s="2" t="n"/>
    </row>
    <row r="214" ht="15.75" customHeight="1" s="82">
      <c r="B214" s="2" t="n"/>
    </row>
    <row r="215" ht="15.75" customHeight="1" s="82">
      <c r="B215" s="2" t="n"/>
    </row>
    <row r="216" ht="15.75" customHeight="1" s="82">
      <c r="B216" s="2" t="n"/>
    </row>
    <row r="217" ht="15.75" customHeight="1" s="82">
      <c r="B217" s="2" t="n"/>
    </row>
    <row r="218" ht="15.75" customHeight="1" s="82">
      <c r="B218" s="2" t="n"/>
    </row>
    <row r="219" ht="15.75" customHeight="1" s="82">
      <c r="B219" s="2" t="n"/>
    </row>
    <row r="220" ht="15.75" customHeight="1" s="82">
      <c r="B220" s="2" t="n"/>
    </row>
    <row r="221" ht="15.75" customHeight="1" s="82">
      <c r="B221" s="2" t="n"/>
    </row>
    <row r="222" ht="15.75" customHeight="1" s="82">
      <c r="B222" s="2" t="n"/>
    </row>
    <row r="223" ht="15.75" customHeight="1" s="82">
      <c r="B223" s="2" t="n"/>
    </row>
    <row r="224" ht="15.75" customHeight="1" s="82">
      <c r="B224" s="2" t="n"/>
    </row>
    <row r="225" ht="15.75" customHeight="1" s="82">
      <c r="B225" s="2" t="n"/>
    </row>
    <row r="226" ht="15.75" customHeight="1" s="82">
      <c r="B226" s="2" t="n"/>
    </row>
    <row r="227" ht="15.75" customHeight="1" s="82">
      <c r="B227" s="2" t="n"/>
    </row>
    <row r="228" ht="15.75" customHeight="1" s="82">
      <c r="B228" s="2" t="n"/>
    </row>
    <row r="229" ht="15.75" customHeight="1" s="82">
      <c r="B229" s="2" t="n"/>
    </row>
    <row r="230" ht="15.75" customHeight="1" s="82">
      <c r="B230" s="2" t="n"/>
    </row>
    <row r="231" ht="15.75" customHeight="1" s="82">
      <c r="B231" s="2" t="n"/>
    </row>
    <row r="232" ht="15.75" customHeight="1" s="82">
      <c r="B232" s="2" t="n"/>
    </row>
    <row r="233" ht="15.75" customHeight="1" s="82">
      <c r="B233" s="2" t="n"/>
    </row>
    <row r="234" ht="15.75" customHeight="1" s="82">
      <c r="B234" s="2" t="n"/>
    </row>
    <row r="235" ht="15.75" customHeight="1" s="82">
      <c r="B235" s="2" t="n"/>
    </row>
    <row r="236" ht="15.75" customHeight="1" s="82">
      <c r="B236" s="2" t="n"/>
    </row>
    <row r="237" ht="15.75" customHeight="1" s="82">
      <c r="B237" s="2" t="n"/>
    </row>
    <row r="238" ht="15.75" customHeight="1" s="82">
      <c r="B238" s="2" t="n"/>
    </row>
    <row r="239" ht="15.75" customHeight="1" s="82">
      <c r="B239" s="2" t="n"/>
    </row>
    <row r="240" ht="15.75" customHeight="1" s="82">
      <c r="B240" s="2" t="n"/>
    </row>
    <row r="241" ht="15.75" customHeight="1" s="82">
      <c r="B241" s="2" t="n"/>
    </row>
    <row r="242" ht="15.75" customHeight="1" s="82">
      <c r="B242" s="2" t="n"/>
    </row>
    <row r="243" ht="15.75" customHeight="1" s="82">
      <c r="B243" s="2" t="n"/>
    </row>
    <row r="244" ht="15.75" customHeight="1" s="82">
      <c r="B244" s="2" t="n"/>
    </row>
    <row r="245" ht="15.75" customHeight="1" s="82">
      <c r="B245" s="2" t="n"/>
    </row>
    <row r="246" ht="15.75" customHeight="1" s="82">
      <c r="B246" s="2" t="n"/>
    </row>
    <row r="247" ht="15.75" customHeight="1" s="82">
      <c r="B247" s="2" t="n"/>
    </row>
    <row r="248" ht="15.75" customHeight="1" s="82">
      <c r="B248" s="2" t="n"/>
    </row>
    <row r="249" ht="15.75" customHeight="1" s="82">
      <c r="B249" s="2" t="n"/>
    </row>
    <row r="250" ht="15.75" customHeight="1" s="82">
      <c r="B250" s="2" t="n"/>
    </row>
    <row r="251" ht="15.75" customHeight="1" s="82">
      <c r="B251" s="2" t="n"/>
    </row>
    <row r="252" ht="15.75" customHeight="1" s="82">
      <c r="B252" s="2" t="n"/>
    </row>
    <row r="253" ht="15.75" customHeight="1" s="82">
      <c r="B253" s="2" t="n"/>
    </row>
    <row r="254" ht="15.75" customHeight="1" s="82">
      <c r="B254" s="2" t="n"/>
    </row>
    <row r="255" ht="15.75" customHeight="1" s="82">
      <c r="B255" s="2" t="n"/>
    </row>
    <row r="256" ht="15.75" customHeight="1" s="82">
      <c r="B256" s="2" t="n"/>
    </row>
    <row r="257" ht="15.75" customHeight="1" s="82">
      <c r="B257" s="2" t="n"/>
    </row>
    <row r="258" ht="15.75" customHeight="1" s="82">
      <c r="B258" s="2" t="n"/>
    </row>
    <row r="259" ht="15.75" customHeight="1" s="82">
      <c r="B259" s="2" t="n"/>
    </row>
    <row r="260" ht="15.75" customHeight="1" s="82">
      <c r="B260" s="2" t="n"/>
    </row>
    <row r="261" ht="15.75" customHeight="1" s="82">
      <c r="B261" s="2" t="n"/>
    </row>
    <row r="262" ht="15.75" customHeight="1" s="82">
      <c r="B262" s="2" t="n"/>
    </row>
    <row r="263" ht="15.75" customHeight="1" s="82">
      <c r="B263" s="2" t="n"/>
    </row>
    <row r="264" ht="15.75" customHeight="1" s="82">
      <c r="B264" s="2" t="n"/>
    </row>
    <row r="265" ht="15.75" customHeight="1" s="82">
      <c r="B265" s="2" t="n"/>
    </row>
    <row r="266" ht="15.75" customHeight="1" s="82">
      <c r="B266" s="2" t="n"/>
    </row>
    <row r="267" ht="15.75" customHeight="1" s="82">
      <c r="B267" s="2" t="n"/>
    </row>
    <row r="268" ht="15.75" customHeight="1" s="82">
      <c r="B268" s="2" t="n"/>
    </row>
    <row r="269" ht="15.75" customHeight="1" s="82">
      <c r="B269" s="2" t="n"/>
    </row>
    <row r="270" ht="15.75" customHeight="1" s="82">
      <c r="B270" s="2" t="n"/>
    </row>
    <row r="271" ht="15.75" customHeight="1" s="82">
      <c r="B271" s="2" t="n"/>
    </row>
    <row r="272" ht="15.75" customHeight="1" s="82">
      <c r="B272" s="2" t="n"/>
    </row>
    <row r="273" ht="15.75" customHeight="1" s="82">
      <c r="B273" s="2" t="n"/>
    </row>
    <row r="274" ht="15.75" customHeight="1" s="82">
      <c r="B274" s="2" t="n"/>
    </row>
    <row r="275" ht="15.75" customHeight="1" s="82">
      <c r="B275" s="2" t="n"/>
    </row>
    <row r="276" ht="15.75" customHeight="1" s="82">
      <c r="B276" s="2" t="n"/>
    </row>
    <row r="277" ht="15.75" customHeight="1" s="82">
      <c r="B277" s="2" t="n"/>
    </row>
    <row r="278" ht="15.75" customHeight="1" s="82">
      <c r="B278" s="2" t="n"/>
    </row>
    <row r="279" ht="15.75" customHeight="1" s="82">
      <c r="B279" s="2" t="n"/>
    </row>
    <row r="280" ht="15.75" customHeight="1" s="82">
      <c r="B280" s="2" t="n"/>
    </row>
    <row r="281" ht="15.75" customHeight="1" s="82">
      <c r="B281" s="2" t="n"/>
    </row>
    <row r="282" ht="15.75" customHeight="1" s="82">
      <c r="B282" s="2" t="n"/>
    </row>
    <row r="283" ht="15.75" customHeight="1" s="82">
      <c r="B283" s="2" t="n"/>
    </row>
    <row r="284" ht="15.75" customHeight="1" s="82">
      <c r="B284" s="2" t="n"/>
    </row>
    <row r="285" ht="15.75" customHeight="1" s="82">
      <c r="B285" s="2" t="n"/>
    </row>
    <row r="286" ht="15.75" customHeight="1" s="82">
      <c r="B286" s="2" t="n"/>
    </row>
    <row r="287" ht="15.75" customHeight="1" s="82">
      <c r="B287" s="2" t="n"/>
    </row>
    <row r="288" ht="15.75" customHeight="1" s="82">
      <c r="B288" s="2" t="n"/>
    </row>
    <row r="289" ht="15.75" customHeight="1" s="82">
      <c r="B289" s="2" t="n"/>
    </row>
    <row r="290" ht="15.75" customHeight="1" s="82">
      <c r="B290" s="2" t="n"/>
    </row>
    <row r="291" ht="15.75" customHeight="1" s="82">
      <c r="B291" s="2" t="n"/>
    </row>
    <row r="292" ht="15.75" customHeight="1" s="82">
      <c r="B292" s="2" t="n"/>
    </row>
    <row r="293" ht="15.75" customHeight="1" s="82">
      <c r="B293" s="2" t="n"/>
    </row>
    <row r="294" ht="15.75" customHeight="1" s="82">
      <c r="B294" s="2" t="n"/>
    </row>
    <row r="295" ht="15.75" customHeight="1" s="82">
      <c r="B295" s="2" t="n"/>
    </row>
    <row r="296" ht="15.75" customHeight="1" s="82">
      <c r="B296" s="2" t="n"/>
    </row>
    <row r="297" ht="15.75" customHeight="1" s="82">
      <c r="B297" s="2" t="n"/>
    </row>
    <row r="298" ht="15.75" customHeight="1" s="82">
      <c r="B298" s="2" t="n"/>
    </row>
    <row r="299" ht="15.75" customHeight="1" s="82">
      <c r="B299" s="2" t="n"/>
    </row>
    <row r="300" ht="15.75" customHeight="1" s="82">
      <c r="B300" s="2" t="n"/>
    </row>
    <row r="301" ht="15.75" customHeight="1" s="82">
      <c r="B301" s="2" t="n"/>
    </row>
    <row r="302" ht="15.75" customHeight="1" s="82">
      <c r="B302" s="2" t="n"/>
    </row>
    <row r="303" ht="15.75" customHeight="1" s="82">
      <c r="B303" s="2" t="n"/>
    </row>
    <row r="304" ht="15.75" customHeight="1" s="82">
      <c r="B304" s="2" t="n"/>
    </row>
    <row r="305" ht="15.75" customHeight="1" s="82">
      <c r="B305" s="2" t="n"/>
    </row>
    <row r="306" ht="15.75" customHeight="1" s="82">
      <c r="B306" s="2" t="n"/>
    </row>
    <row r="307" ht="15.75" customHeight="1" s="82">
      <c r="B307" s="2" t="n"/>
    </row>
    <row r="308" ht="15.75" customHeight="1" s="82">
      <c r="B308" s="2" t="n"/>
    </row>
    <row r="309" ht="15.75" customHeight="1" s="82">
      <c r="B309" s="2" t="n"/>
    </row>
    <row r="310" ht="15.75" customHeight="1" s="82">
      <c r="B310" s="2" t="n"/>
    </row>
    <row r="311" ht="15.75" customHeight="1" s="82">
      <c r="B311" s="2" t="n"/>
    </row>
    <row r="312" ht="15.75" customHeight="1" s="82">
      <c r="B312" s="2" t="n"/>
    </row>
    <row r="313" ht="15.75" customHeight="1" s="82">
      <c r="B313" s="2" t="n"/>
    </row>
    <row r="314" ht="15.75" customHeight="1" s="82">
      <c r="B314" s="2" t="n"/>
    </row>
    <row r="315" ht="15.75" customHeight="1" s="82">
      <c r="B315" s="2" t="n"/>
    </row>
    <row r="316" ht="15.75" customHeight="1" s="82">
      <c r="B316" s="2" t="n"/>
    </row>
    <row r="317" ht="15.75" customHeight="1" s="82">
      <c r="B317" s="2" t="n"/>
    </row>
    <row r="318" ht="15.75" customHeight="1" s="82">
      <c r="B318" s="2" t="n"/>
    </row>
    <row r="319" ht="15.75" customHeight="1" s="82">
      <c r="B319" s="2" t="n"/>
    </row>
    <row r="320" ht="15.75" customHeight="1" s="82">
      <c r="B320" s="2" t="n"/>
    </row>
    <row r="321" ht="15.75" customHeight="1" s="82">
      <c r="B321" s="2" t="n"/>
    </row>
    <row r="322" ht="15.75" customHeight="1" s="82">
      <c r="B322" s="2" t="n"/>
    </row>
    <row r="323" ht="15.75" customHeight="1" s="82">
      <c r="B323" s="2" t="n"/>
    </row>
    <row r="324" ht="15.75" customHeight="1" s="82">
      <c r="B324" s="2" t="n"/>
    </row>
    <row r="325" ht="15.75" customHeight="1" s="82">
      <c r="B325" s="2" t="n"/>
    </row>
    <row r="326" ht="15.75" customHeight="1" s="82">
      <c r="B326" s="2" t="n"/>
    </row>
    <row r="327" ht="15.75" customHeight="1" s="82">
      <c r="B327" s="2" t="n"/>
    </row>
    <row r="328" ht="15.75" customHeight="1" s="82">
      <c r="B328" s="2" t="n"/>
    </row>
    <row r="329" ht="15.75" customHeight="1" s="82">
      <c r="B329" s="2" t="n"/>
    </row>
    <row r="330" ht="15.75" customHeight="1" s="82">
      <c r="B330" s="2" t="n"/>
    </row>
    <row r="331" ht="15.75" customHeight="1" s="82">
      <c r="B331" s="2" t="n"/>
    </row>
    <row r="332" ht="15.75" customHeight="1" s="82">
      <c r="B332" s="2" t="n"/>
    </row>
    <row r="333" ht="15.75" customHeight="1" s="82">
      <c r="B333" s="2" t="n"/>
    </row>
    <row r="334" ht="15.75" customHeight="1" s="82">
      <c r="B334" s="2" t="n"/>
    </row>
    <row r="335" ht="15.75" customHeight="1" s="82">
      <c r="B335" s="2" t="n"/>
    </row>
    <row r="336" ht="15.75" customHeight="1" s="82">
      <c r="B336" s="2" t="n"/>
    </row>
    <row r="337" ht="15.75" customHeight="1" s="82">
      <c r="B337" s="2" t="n"/>
    </row>
    <row r="338" ht="15.75" customHeight="1" s="82">
      <c r="B338" s="2" t="n"/>
    </row>
    <row r="339" ht="15.75" customHeight="1" s="82">
      <c r="B339" s="2" t="n"/>
    </row>
    <row r="340" ht="15.75" customHeight="1" s="82">
      <c r="B340" s="2" t="n"/>
    </row>
    <row r="341" ht="15.75" customHeight="1" s="82">
      <c r="B341" s="2" t="n"/>
    </row>
    <row r="342" ht="15.75" customHeight="1" s="82">
      <c r="B342" s="2" t="n"/>
    </row>
    <row r="343" ht="15.75" customHeight="1" s="82">
      <c r="B343" s="2" t="n"/>
    </row>
    <row r="344" ht="15.75" customHeight="1" s="82">
      <c r="B344" s="2" t="n"/>
    </row>
    <row r="345" ht="15.75" customHeight="1" s="82">
      <c r="B345" s="2" t="n"/>
    </row>
    <row r="346" ht="15.75" customHeight="1" s="82">
      <c r="B346" s="2" t="n"/>
    </row>
    <row r="347" ht="15.75" customHeight="1" s="82">
      <c r="B347" s="2" t="n"/>
    </row>
    <row r="348" ht="15.75" customHeight="1" s="82">
      <c r="B348" s="2" t="n"/>
    </row>
    <row r="349" ht="15.75" customHeight="1" s="82">
      <c r="B349" s="2" t="n"/>
    </row>
    <row r="350" ht="15.75" customHeight="1" s="82">
      <c r="B350" s="2" t="n"/>
    </row>
    <row r="351" ht="15.75" customHeight="1" s="82">
      <c r="B351" s="2" t="n"/>
    </row>
    <row r="352" ht="15.75" customHeight="1" s="82">
      <c r="B352" s="2" t="n"/>
    </row>
    <row r="353" ht="15.75" customHeight="1" s="82">
      <c r="B353" s="2" t="n"/>
    </row>
    <row r="354" ht="15.75" customHeight="1" s="82">
      <c r="B354" s="2" t="n"/>
    </row>
    <row r="355" ht="15.75" customHeight="1" s="82">
      <c r="B355" s="2" t="n"/>
    </row>
    <row r="356" ht="15.75" customHeight="1" s="82">
      <c r="B356" s="2" t="n"/>
    </row>
    <row r="357" ht="15.75" customHeight="1" s="82">
      <c r="B357" s="2" t="n"/>
    </row>
    <row r="358" ht="15.75" customHeight="1" s="82">
      <c r="B358" s="2" t="n"/>
    </row>
    <row r="359" ht="15.75" customHeight="1" s="82">
      <c r="B359" s="2" t="n"/>
    </row>
    <row r="360" ht="15.75" customHeight="1" s="82">
      <c r="B360" s="2" t="n"/>
    </row>
    <row r="361" ht="15.75" customHeight="1" s="82">
      <c r="B361" s="2" t="n"/>
    </row>
    <row r="362" ht="15.75" customHeight="1" s="82">
      <c r="B362" s="2" t="n"/>
    </row>
    <row r="363" ht="15.75" customHeight="1" s="82">
      <c r="B363" s="2" t="n"/>
    </row>
    <row r="364" ht="15.75" customHeight="1" s="82">
      <c r="B364" s="2" t="n"/>
    </row>
    <row r="365" ht="15.75" customHeight="1" s="82">
      <c r="B365" s="2" t="n"/>
    </row>
    <row r="366" ht="15.75" customHeight="1" s="82">
      <c r="B366" s="2" t="n"/>
    </row>
    <row r="367" ht="15.75" customHeight="1" s="82">
      <c r="B367" s="2" t="n"/>
    </row>
    <row r="368" ht="15.75" customHeight="1" s="82">
      <c r="B368" s="2" t="n"/>
    </row>
    <row r="369" ht="15.75" customHeight="1" s="82">
      <c r="B369" s="2" t="n"/>
    </row>
    <row r="370" ht="15.75" customHeight="1" s="82">
      <c r="B370" s="2" t="n"/>
    </row>
    <row r="371" ht="15.75" customHeight="1" s="82">
      <c r="B371" s="2" t="n"/>
    </row>
    <row r="372" ht="15.75" customHeight="1" s="82">
      <c r="B372" s="2" t="n"/>
    </row>
    <row r="373" ht="15.75" customHeight="1" s="82">
      <c r="B373" s="2" t="n"/>
    </row>
    <row r="374" ht="15.75" customHeight="1" s="82">
      <c r="B374" s="2" t="n"/>
    </row>
    <row r="375" ht="15.75" customHeight="1" s="82">
      <c r="B375" s="2" t="n"/>
    </row>
    <row r="376" ht="15.75" customHeight="1" s="82">
      <c r="B376" s="2" t="n"/>
    </row>
    <row r="377" ht="15.75" customHeight="1" s="82">
      <c r="B377" s="2" t="n"/>
    </row>
    <row r="378" ht="15.75" customHeight="1" s="82">
      <c r="B378" s="2" t="n"/>
    </row>
    <row r="379" ht="15.75" customHeight="1" s="82">
      <c r="B379" s="2" t="n"/>
    </row>
    <row r="380" ht="15.75" customHeight="1" s="82">
      <c r="B380" s="2" t="n"/>
    </row>
    <row r="381" ht="15.75" customHeight="1" s="82">
      <c r="B381" s="2" t="n"/>
    </row>
    <row r="382" ht="15.75" customHeight="1" s="82">
      <c r="B382" s="2" t="n"/>
    </row>
    <row r="383" ht="15.75" customHeight="1" s="82">
      <c r="B383" s="2" t="n"/>
    </row>
    <row r="384" ht="15.75" customHeight="1" s="82">
      <c r="B384" s="2" t="n"/>
    </row>
    <row r="385" ht="15.75" customHeight="1" s="82">
      <c r="B385" s="2" t="n"/>
    </row>
    <row r="386" ht="15.75" customHeight="1" s="82">
      <c r="B386" s="2" t="n"/>
    </row>
    <row r="387" ht="15.75" customHeight="1" s="82">
      <c r="B387" s="2" t="n"/>
    </row>
    <row r="388" ht="15.75" customHeight="1" s="82">
      <c r="B388" s="2" t="n"/>
    </row>
    <row r="389" ht="15.75" customHeight="1" s="82">
      <c r="B389" s="2" t="n"/>
    </row>
    <row r="390" ht="15.75" customHeight="1" s="82">
      <c r="B390" s="2" t="n"/>
    </row>
    <row r="391" ht="15.75" customHeight="1" s="82">
      <c r="B391" s="2" t="n"/>
    </row>
    <row r="392" ht="15.75" customHeight="1" s="82">
      <c r="B392" s="2" t="n"/>
    </row>
    <row r="393" ht="15.75" customHeight="1" s="82">
      <c r="B393" s="2" t="n"/>
    </row>
    <row r="394" ht="15.75" customHeight="1" s="82">
      <c r="B394" s="2" t="n"/>
    </row>
    <row r="395" ht="15.75" customHeight="1" s="82">
      <c r="B395" s="2" t="n"/>
    </row>
    <row r="396" ht="15.75" customHeight="1" s="82">
      <c r="B396" s="2" t="n"/>
    </row>
    <row r="397" ht="15.75" customHeight="1" s="82">
      <c r="B397" s="2" t="n"/>
    </row>
    <row r="398" ht="15.75" customHeight="1" s="82">
      <c r="B398" s="2" t="n"/>
    </row>
    <row r="399" ht="15.75" customHeight="1" s="82">
      <c r="B399" s="2" t="n"/>
    </row>
    <row r="400" ht="15.75" customHeight="1" s="82">
      <c r="B400" s="2" t="n"/>
    </row>
    <row r="401" ht="15.75" customHeight="1" s="82">
      <c r="B401" s="2" t="n"/>
    </row>
    <row r="402" ht="15.75" customHeight="1" s="82">
      <c r="B402" s="2" t="n"/>
    </row>
    <row r="403" ht="15.75" customHeight="1" s="82">
      <c r="B403" s="2" t="n"/>
    </row>
    <row r="404" ht="15.75" customHeight="1" s="82">
      <c r="B404" s="2" t="n"/>
    </row>
    <row r="405" ht="15.75" customHeight="1" s="82">
      <c r="B405" s="2" t="n"/>
    </row>
    <row r="406" ht="15.75" customHeight="1" s="82">
      <c r="B406" s="2" t="n"/>
    </row>
    <row r="407" ht="15.75" customHeight="1" s="82">
      <c r="B407" s="2" t="n"/>
    </row>
    <row r="408" ht="15.75" customHeight="1" s="82">
      <c r="B408" s="2" t="n"/>
    </row>
    <row r="409" ht="15.75" customHeight="1" s="82">
      <c r="B409" s="2" t="n"/>
    </row>
    <row r="410" ht="15.75" customHeight="1" s="82">
      <c r="B410" s="2" t="n"/>
    </row>
    <row r="411" ht="15.75" customHeight="1" s="82">
      <c r="B411" s="2" t="n"/>
    </row>
    <row r="412" ht="15.75" customHeight="1" s="82">
      <c r="B412" s="2" t="n"/>
    </row>
    <row r="413" ht="15.75" customHeight="1" s="82">
      <c r="B413" s="2" t="n"/>
    </row>
    <row r="414" ht="15.75" customHeight="1" s="82">
      <c r="B414" s="2" t="n"/>
    </row>
    <row r="415" ht="15.75" customHeight="1" s="82">
      <c r="B415" s="2" t="n"/>
    </row>
    <row r="416" ht="15.75" customHeight="1" s="82">
      <c r="B416" s="2" t="n"/>
    </row>
    <row r="417" ht="15.75" customHeight="1" s="82">
      <c r="B417" s="2" t="n"/>
    </row>
    <row r="418" ht="15.75" customHeight="1" s="82">
      <c r="B418" s="2" t="n"/>
    </row>
    <row r="419" ht="15.75" customHeight="1" s="82">
      <c r="B419" s="2" t="n"/>
    </row>
    <row r="420" ht="15.75" customHeight="1" s="82">
      <c r="B420" s="2" t="n"/>
    </row>
    <row r="421" ht="15.75" customHeight="1" s="82">
      <c r="B421" s="2" t="n"/>
    </row>
    <row r="422" ht="15.75" customHeight="1" s="82">
      <c r="B422" s="2" t="n"/>
    </row>
    <row r="423" ht="15.75" customHeight="1" s="82">
      <c r="B423" s="2" t="n"/>
    </row>
    <row r="424" ht="15.75" customHeight="1" s="82">
      <c r="B424" s="2" t="n"/>
    </row>
    <row r="425" ht="15.75" customHeight="1" s="82">
      <c r="B425" s="2" t="n"/>
    </row>
    <row r="426" ht="15.75" customHeight="1" s="82">
      <c r="B426" s="2" t="n"/>
    </row>
    <row r="427" ht="15.75" customHeight="1" s="82">
      <c r="B427" s="2" t="n"/>
    </row>
    <row r="428" ht="15.75" customHeight="1" s="82">
      <c r="B428" s="2" t="n"/>
    </row>
    <row r="429" ht="15.75" customHeight="1" s="82">
      <c r="B429" s="2" t="n"/>
    </row>
    <row r="430" ht="15.75" customHeight="1" s="82">
      <c r="B430" s="2" t="n"/>
    </row>
    <row r="431" ht="15.75" customHeight="1" s="82">
      <c r="B431" s="2" t="n"/>
    </row>
    <row r="432" ht="15.75" customHeight="1" s="82">
      <c r="B432" s="2" t="n"/>
    </row>
    <row r="433" ht="15.75" customHeight="1" s="82">
      <c r="B433" s="2" t="n"/>
    </row>
    <row r="434" ht="15.75" customHeight="1" s="82">
      <c r="B434" s="2" t="n"/>
    </row>
    <row r="435" ht="15.75" customHeight="1" s="82">
      <c r="B435" s="2" t="n"/>
    </row>
    <row r="436" ht="15.75" customHeight="1" s="82">
      <c r="B436" s="2" t="n"/>
    </row>
    <row r="437" ht="15.75" customHeight="1" s="82">
      <c r="B437" s="2" t="n"/>
    </row>
    <row r="438" ht="15.75" customHeight="1" s="82">
      <c r="B438" s="2" t="n"/>
    </row>
    <row r="439" ht="15.75" customHeight="1" s="82">
      <c r="B439" s="2" t="n"/>
    </row>
    <row r="440" ht="15.75" customHeight="1" s="82">
      <c r="B440" s="2" t="n"/>
    </row>
    <row r="441" ht="15.75" customHeight="1" s="82">
      <c r="B441" s="2" t="n"/>
    </row>
    <row r="442" ht="15.75" customHeight="1" s="82">
      <c r="B442" s="2" t="n"/>
    </row>
    <row r="443" ht="15.75" customHeight="1" s="82">
      <c r="B443" s="2" t="n"/>
    </row>
    <row r="444" ht="15.75" customHeight="1" s="82">
      <c r="B444" s="2" t="n"/>
    </row>
    <row r="445" ht="15.75" customHeight="1" s="82">
      <c r="B445" s="2" t="n"/>
    </row>
    <row r="446" ht="15.75" customHeight="1" s="82">
      <c r="B446" s="2" t="n"/>
    </row>
    <row r="447" ht="15.75" customHeight="1" s="82">
      <c r="B447" s="2" t="n"/>
    </row>
    <row r="448" ht="15.75" customHeight="1" s="82">
      <c r="B448" s="2" t="n"/>
    </row>
    <row r="449" ht="15.75" customHeight="1" s="82">
      <c r="B449" s="2" t="n"/>
    </row>
    <row r="450" ht="15.75" customHeight="1" s="82">
      <c r="B450" s="2" t="n"/>
    </row>
    <row r="451" ht="15.75" customHeight="1" s="82">
      <c r="B451" s="2" t="n"/>
    </row>
    <row r="452" ht="15.75" customHeight="1" s="82">
      <c r="B452" s="2" t="n"/>
    </row>
    <row r="453" ht="15.75" customHeight="1" s="82">
      <c r="B453" s="2" t="n"/>
    </row>
    <row r="454" ht="15.75" customHeight="1" s="82">
      <c r="B454" s="2" t="n"/>
    </row>
    <row r="455" ht="15.75" customHeight="1" s="82">
      <c r="B455" s="2" t="n"/>
    </row>
    <row r="456" ht="15.75" customHeight="1" s="82">
      <c r="B456" s="2" t="n"/>
    </row>
    <row r="457" ht="15.75" customHeight="1" s="82">
      <c r="B457" s="2" t="n"/>
    </row>
    <row r="458" ht="15.75" customHeight="1" s="82">
      <c r="B458" s="2" t="n"/>
    </row>
    <row r="459" ht="15.75" customHeight="1" s="82">
      <c r="B459" s="2" t="n"/>
    </row>
    <row r="460" ht="15.75" customHeight="1" s="82">
      <c r="B460" s="2" t="n"/>
    </row>
    <row r="461" ht="15.75" customHeight="1" s="82">
      <c r="B461" s="2" t="n"/>
    </row>
    <row r="462" ht="15.75" customHeight="1" s="82">
      <c r="B462" s="2" t="n"/>
    </row>
    <row r="463" ht="15.75" customHeight="1" s="82">
      <c r="B463" s="2" t="n"/>
    </row>
    <row r="464" ht="15.75" customHeight="1" s="82">
      <c r="B464" s="2" t="n"/>
    </row>
    <row r="465" ht="15.75" customHeight="1" s="82">
      <c r="B465" s="2" t="n"/>
    </row>
    <row r="466" ht="15.75" customHeight="1" s="82">
      <c r="B466" s="2" t="n"/>
    </row>
    <row r="467" ht="15.75" customHeight="1" s="82">
      <c r="B467" s="2" t="n"/>
    </row>
    <row r="468" ht="15.75" customHeight="1" s="82">
      <c r="B468" s="2" t="n"/>
    </row>
    <row r="469" ht="15.75" customHeight="1" s="82">
      <c r="B469" s="2" t="n"/>
    </row>
    <row r="470" ht="15.75" customHeight="1" s="82">
      <c r="B470" s="2" t="n"/>
    </row>
    <row r="471" ht="15.75" customHeight="1" s="82">
      <c r="B471" s="2" t="n"/>
    </row>
    <row r="472" ht="15.75" customHeight="1" s="82">
      <c r="B472" s="2" t="n"/>
    </row>
    <row r="473" ht="15.75" customHeight="1" s="82">
      <c r="B473" s="2" t="n"/>
    </row>
    <row r="474" ht="15.75" customHeight="1" s="82">
      <c r="B474" s="2" t="n"/>
    </row>
    <row r="475" ht="15.75" customHeight="1" s="82">
      <c r="B475" s="2" t="n"/>
    </row>
    <row r="476" ht="15.75" customHeight="1" s="82">
      <c r="B476" s="2" t="n"/>
    </row>
    <row r="477" ht="15.75" customHeight="1" s="82">
      <c r="B477" s="2" t="n"/>
    </row>
    <row r="478" ht="15.75" customHeight="1" s="82">
      <c r="B478" s="2" t="n"/>
    </row>
    <row r="479" ht="15.75" customHeight="1" s="82">
      <c r="B479" s="2" t="n"/>
    </row>
    <row r="480" ht="15.75" customHeight="1" s="82">
      <c r="B480" s="2" t="n"/>
    </row>
    <row r="481" ht="15.75" customHeight="1" s="82">
      <c r="B481" s="2" t="n"/>
    </row>
    <row r="482" ht="15.75" customHeight="1" s="82">
      <c r="B482" s="2" t="n"/>
    </row>
    <row r="483" ht="15.75" customHeight="1" s="82">
      <c r="B483" s="2" t="n"/>
    </row>
    <row r="484" ht="15.75" customHeight="1" s="82">
      <c r="B484" s="2" t="n"/>
    </row>
    <row r="485" ht="15.75" customHeight="1" s="82">
      <c r="B485" s="2" t="n"/>
    </row>
    <row r="486" ht="15.75" customHeight="1" s="82">
      <c r="B486" s="2" t="n"/>
    </row>
    <row r="487" ht="15.75" customHeight="1" s="82">
      <c r="B487" s="2" t="n"/>
    </row>
    <row r="488" ht="15.75" customHeight="1" s="82">
      <c r="B488" s="2" t="n"/>
    </row>
    <row r="489" ht="15.75" customHeight="1" s="82">
      <c r="B489" s="2" t="n"/>
    </row>
    <row r="490" ht="15.75" customHeight="1" s="82">
      <c r="B490" s="2" t="n"/>
    </row>
    <row r="491" ht="15.75" customHeight="1" s="82">
      <c r="B491" s="2" t="n"/>
    </row>
    <row r="492" ht="15.75" customHeight="1" s="82">
      <c r="B492" s="2" t="n"/>
    </row>
    <row r="493" ht="15.75" customHeight="1" s="82">
      <c r="B493" s="2" t="n"/>
    </row>
    <row r="494" ht="15.75" customHeight="1" s="82">
      <c r="B494" s="2" t="n"/>
    </row>
    <row r="495" ht="15.75" customHeight="1" s="82">
      <c r="B495" s="2" t="n"/>
    </row>
    <row r="496" ht="15.75" customHeight="1" s="82">
      <c r="B496" s="2" t="n"/>
    </row>
    <row r="497" ht="15.75" customHeight="1" s="82">
      <c r="B497" s="2" t="n"/>
    </row>
    <row r="498" ht="15.75" customHeight="1" s="82">
      <c r="B498" s="2" t="n"/>
    </row>
    <row r="499" ht="15.75" customHeight="1" s="82">
      <c r="B499" s="2" t="n"/>
    </row>
    <row r="500" ht="15.75" customHeight="1" s="82">
      <c r="B500" s="2" t="n"/>
    </row>
    <row r="501" ht="15.75" customHeight="1" s="82">
      <c r="B501" s="2" t="n"/>
    </row>
    <row r="502" ht="15.75" customHeight="1" s="82">
      <c r="B502" s="2" t="n"/>
    </row>
    <row r="503" ht="15.75" customHeight="1" s="82">
      <c r="B503" s="2" t="n"/>
    </row>
    <row r="504" ht="15.75" customHeight="1" s="82">
      <c r="B504" s="2" t="n"/>
    </row>
    <row r="505" ht="15.75" customHeight="1" s="82">
      <c r="B505" s="2" t="n"/>
    </row>
    <row r="506" ht="15.75" customHeight="1" s="82">
      <c r="B506" s="2" t="n"/>
    </row>
    <row r="507" ht="15.75" customHeight="1" s="82">
      <c r="B507" s="2" t="n"/>
    </row>
    <row r="508" ht="15.75" customHeight="1" s="82">
      <c r="B508" s="2" t="n"/>
    </row>
    <row r="509" ht="15.75" customHeight="1" s="82">
      <c r="B509" s="2" t="n"/>
    </row>
    <row r="510" ht="15.75" customHeight="1" s="82">
      <c r="B510" s="2" t="n"/>
    </row>
    <row r="511" ht="15.75" customHeight="1" s="82">
      <c r="B511" s="2" t="n"/>
    </row>
    <row r="512" ht="15.75" customHeight="1" s="82">
      <c r="B512" s="2" t="n"/>
    </row>
    <row r="513" ht="15.75" customHeight="1" s="82">
      <c r="B513" s="2" t="n"/>
    </row>
    <row r="514" ht="15.75" customHeight="1" s="82">
      <c r="B514" s="2" t="n"/>
    </row>
    <row r="515" ht="15.75" customHeight="1" s="82">
      <c r="B515" s="2" t="n"/>
    </row>
    <row r="516" ht="15.75" customHeight="1" s="82">
      <c r="B516" s="2" t="n"/>
    </row>
    <row r="517" ht="15.75" customHeight="1" s="82">
      <c r="B517" s="2" t="n"/>
    </row>
    <row r="518" ht="15.75" customHeight="1" s="82">
      <c r="B518" s="2" t="n"/>
    </row>
    <row r="519" ht="15.75" customHeight="1" s="82">
      <c r="B519" s="2" t="n"/>
    </row>
    <row r="520" ht="15.75" customHeight="1" s="82">
      <c r="B520" s="2" t="n"/>
    </row>
    <row r="521" ht="15.75" customHeight="1" s="82">
      <c r="B521" s="2" t="n"/>
    </row>
    <row r="522" ht="15.75" customHeight="1" s="82">
      <c r="B522" s="2" t="n"/>
    </row>
    <row r="523" ht="15.75" customHeight="1" s="82">
      <c r="B523" s="2" t="n"/>
    </row>
    <row r="524" ht="15.75" customHeight="1" s="82">
      <c r="B524" s="2" t="n"/>
    </row>
    <row r="525" ht="15.75" customHeight="1" s="82">
      <c r="B525" s="2" t="n"/>
    </row>
    <row r="526" ht="15.75" customHeight="1" s="82">
      <c r="B526" s="2" t="n"/>
    </row>
    <row r="527" ht="15.75" customHeight="1" s="82">
      <c r="B527" s="2" t="n"/>
    </row>
    <row r="528" ht="15.75" customHeight="1" s="82">
      <c r="B528" s="2" t="n"/>
    </row>
    <row r="529" ht="15.75" customHeight="1" s="82">
      <c r="B529" s="2" t="n"/>
    </row>
    <row r="530" ht="15.75" customHeight="1" s="82">
      <c r="B530" s="2" t="n"/>
    </row>
    <row r="531" ht="15.75" customHeight="1" s="82">
      <c r="B531" s="2" t="n"/>
    </row>
    <row r="532" ht="15.75" customHeight="1" s="82">
      <c r="B532" s="2" t="n"/>
    </row>
    <row r="533" ht="15.75" customHeight="1" s="82">
      <c r="B533" s="2" t="n"/>
    </row>
    <row r="534" ht="15.75" customHeight="1" s="82">
      <c r="B534" s="2" t="n"/>
    </row>
    <row r="535" ht="15.75" customHeight="1" s="82">
      <c r="B535" s="2" t="n"/>
    </row>
    <row r="536" ht="15.75" customHeight="1" s="82">
      <c r="B536" s="2" t="n"/>
    </row>
    <row r="537" ht="15.75" customHeight="1" s="82">
      <c r="B537" s="2" t="n"/>
    </row>
    <row r="538" ht="15.75" customHeight="1" s="82">
      <c r="B538" s="2" t="n"/>
    </row>
    <row r="539" ht="15.75" customHeight="1" s="82">
      <c r="B539" s="2" t="n"/>
    </row>
    <row r="540" ht="15.75" customHeight="1" s="82">
      <c r="B540" s="2" t="n"/>
    </row>
    <row r="541" ht="15.75" customHeight="1" s="82">
      <c r="B541" s="2" t="n"/>
    </row>
    <row r="542" ht="15.75" customHeight="1" s="82">
      <c r="B542" s="2" t="n"/>
    </row>
    <row r="543" ht="15.75" customHeight="1" s="82">
      <c r="B543" s="2" t="n"/>
    </row>
    <row r="544" ht="15.75" customHeight="1" s="82">
      <c r="B544" s="2" t="n"/>
    </row>
    <row r="545" ht="15.75" customHeight="1" s="82">
      <c r="B545" s="2" t="n"/>
    </row>
    <row r="546" ht="15.75" customHeight="1" s="82">
      <c r="B546" s="2" t="n"/>
    </row>
    <row r="547" ht="15.75" customHeight="1" s="82">
      <c r="B547" s="2" t="n"/>
    </row>
    <row r="548" ht="15.75" customHeight="1" s="82">
      <c r="B548" s="2" t="n"/>
    </row>
    <row r="549" ht="15.75" customHeight="1" s="82">
      <c r="B549" s="2" t="n"/>
    </row>
    <row r="550" ht="15.75" customHeight="1" s="82">
      <c r="B550" s="2" t="n"/>
    </row>
    <row r="551" ht="15.75" customHeight="1" s="82">
      <c r="B551" s="2" t="n"/>
    </row>
    <row r="552" ht="15.75" customHeight="1" s="82">
      <c r="B552" s="2" t="n"/>
    </row>
    <row r="553" ht="15.75" customHeight="1" s="82">
      <c r="B553" s="2" t="n"/>
    </row>
    <row r="554" ht="15.75" customHeight="1" s="82">
      <c r="B554" s="2" t="n"/>
    </row>
    <row r="555" ht="15.75" customHeight="1" s="82">
      <c r="B555" s="2" t="n"/>
    </row>
    <row r="556" ht="15.75" customHeight="1" s="82">
      <c r="B556" s="2" t="n"/>
    </row>
    <row r="557" ht="15.75" customHeight="1" s="82">
      <c r="B557" s="2" t="n"/>
    </row>
    <row r="558" ht="15.75" customHeight="1" s="82">
      <c r="B558" s="2" t="n"/>
    </row>
    <row r="559" ht="15.75" customHeight="1" s="82">
      <c r="B559" s="2" t="n"/>
    </row>
    <row r="560" ht="15.75" customHeight="1" s="82">
      <c r="B560" s="2" t="n"/>
    </row>
    <row r="561" ht="15.75" customHeight="1" s="82">
      <c r="B561" s="2" t="n"/>
    </row>
    <row r="562" ht="15.75" customHeight="1" s="82">
      <c r="B562" s="2" t="n"/>
    </row>
    <row r="563" ht="15.75" customHeight="1" s="82">
      <c r="B563" s="2" t="n"/>
    </row>
    <row r="564" ht="15.75" customHeight="1" s="82">
      <c r="B564" s="2" t="n"/>
    </row>
    <row r="565" ht="15.75" customHeight="1" s="82">
      <c r="B565" s="2" t="n"/>
    </row>
    <row r="566" ht="15.75" customHeight="1" s="82">
      <c r="B566" s="2" t="n"/>
    </row>
    <row r="567" ht="15.75" customHeight="1" s="82">
      <c r="B567" s="2" t="n"/>
    </row>
    <row r="568" ht="15.75" customHeight="1" s="82">
      <c r="B568" s="2" t="n"/>
    </row>
    <row r="569" ht="15.75" customHeight="1" s="82">
      <c r="B569" s="2" t="n"/>
    </row>
    <row r="570" ht="15.75" customHeight="1" s="82">
      <c r="B570" s="2" t="n"/>
    </row>
    <row r="571" ht="15.75" customHeight="1" s="82">
      <c r="B571" s="2" t="n"/>
    </row>
    <row r="572" ht="15.75" customHeight="1" s="82">
      <c r="B572" s="2" t="n"/>
    </row>
    <row r="573" ht="15.75" customHeight="1" s="82">
      <c r="B573" s="2" t="n"/>
    </row>
    <row r="574" ht="15.75" customHeight="1" s="82">
      <c r="B574" s="2" t="n"/>
    </row>
    <row r="575" ht="15.75" customHeight="1" s="82">
      <c r="B575" s="2" t="n"/>
    </row>
    <row r="576" ht="15.75" customHeight="1" s="82">
      <c r="B576" s="2" t="n"/>
    </row>
    <row r="577" ht="15.75" customHeight="1" s="82">
      <c r="B577" s="2" t="n"/>
    </row>
    <row r="578" ht="15.75" customHeight="1" s="82">
      <c r="B578" s="2" t="n"/>
    </row>
    <row r="579" ht="15.75" customHeight="1" s="82">
      <c r="B579" s="2" t="n"/>
    </row>
    <row r="580" ht="15.75" customHeight="1" s="82">
      <c r="B580" s="2" t="n"/>
    </row>
    <row r="581" ht="15.75" customHeight="1" s="82">
      <c r="B581" s="2" t="n"/>
    </row>
    <row r="582" ht="15.75" customHeight="1" s="82">
      <c r="B582" s="2" t="n"/>
    </row>
    <row r="583" ht="15.75" customHeight="1" s="82">
      <c r="B583" s="2" t="n"/>
    </row>
    <row r="584" ht="15.75" customHeight="1" s="82">
      <c r="B584" s="2" t="n"/>
    </row>
    <row r="585" ht="15.75" customHeight="1" s="82">
      <c r="B585" s="2" t="n"/>
    </row>
    <row r="586" ht="15.75" customHeight="1" s="82">
      <c r="B586" s="2" t="n"/>
    </row>
    <row r="587" ht="15.75" customHeight="1" s="82">
      <c r="B587" s="2" t="n"/>
    </row>
    <row r="588" ht="15.75" customHeight="1" s="82">
      <c r="B588" s="2" t="n"/>
    </row>
    <row r="589" ht="15.75" customHeight="1" s="82">
      <c r="B589" s="2" t="n"/>
    </row>
    <row r="590" ht="15.75" customHeight="1" s="82">
      <c r="B590" s="2" t="n"/>
    </row>
    <row r="591" ht="15.75" customHeight="1" s="82">
      <c r="B591" s="2" t="n"/>
    </row>
    <row r="592" ht="15.75" customHeight="1" s="82">
      <c r="B592" s="2" t="n"/>
    </row>
    <row r="593" ht="15.75" customHeight="1" s="82">
      <c r="B593" s="2" t="n"/>
    </row>
    <row r="594" ht="15.75" customHeight="1" s="82">
      <c r="B594" s="2" t="n"/>
    </row>
    <row r="595" ht="15.75" customHeight="1" s="82">
      <c r="B595" s="2" t="n"/>
    </row>
    <row r="596" ht="15.75" customHeight="1" s="82">
      <c r="B596" s="2" t="n"/>
    </row>
    <row r="597" ht="15.75" customHeight="1" s="82">
      <c r="B597" s="2" t="n"/>
    </row>
    <row r="598" ht="15.75" customHeight="1" s="82">
      <c r="B598" s="2" t="n"/>
    </row>
    <row r="599" ht="15.75" customHeight="1" s="82">
      <c r="B599" s="2" t="n"/>
    </row>
    <row r="600" ht="15.75" customHeight="1" s="82">
      <c r="B600" s="2" t="n"/>
    </row>
    <row r="601" ht="15.75" customHeight="1" s="82">
      <c r="B601" s="2" t="n"/>
    </row>
    <row r="602" ht="15.75" customHeight="1" s="82">
      <c r="B602" s="2" t="n"/>
    </row>
    <row r="603" ht="15.75" customHeight="1" s="82">
      <c r="B603" s="2" t="n"/>
    </row>
    <row r="604" ht="15.75" customHeight="1" s="82">
      <c r="B604" s="2" t="n"/>
    </row>
    <row r="605" ht="15.75" customHeight="1" s="82">
      <c r="B605" s="2" t="n"/>
    </row>
    <row r="606" ht="15.75" customHeight="1" s="82">
      <c r="B606" s="2" t="n"/>
    </row>
    <row r="607" ht="15.75" customHeight="1" s="82">
      <c r="B607" s="2" t="n"/>
    </row>
    <row r="608" ht="15.75" customHeight="1" s="82">
      <c r="B608" s="2" t="n"/>
    </row>
    <row r="609" ht="15.75" customHeight="1" s="82">
      <c r="B609" s="2" t="n"/>
    </row>
    <row r="610" ht="15.75" customHeight="1" s="82">
      <c r="B610" s="2" t="n"/>
    </row>
    <row r="611" ht="15.75" customHeight="1" s="82">
      <c r="B611" s="2" t="n"/>
    </row>
    <row r="612" ht="15.75" customHeight="1" s="82">
      <c r="B612" s="2" t="n"/>
    </row>
    <row r="613" ht="15.75" customHeight="1" s="82">
      <c r="B613" s="2" t="n"/>
    </row>
    <row r="614" ht="15.75" customHeight="1" s="82">
      <c r="B614" s="2" t="n"/>
    </row>
    <row r="615" ht="15.75" customHeight="1" s="82">
      <c r="B615" s="2" t="n"/>
    </row>
    <row r="616" ht="15.75" customHeight="1" s="82">
      <c r="B616" s="2" t="n"/>
    </row>
    <row r="617" ht="15.75" customHeight="1" s="82">
      <c r="B617" s="2" t="n"/>
    </row>
    <row r="618" ht="15.75" customHeight="1" s="82">
      <c r="B618" s="2" t="n"/>
    </row>
    <row r="619" ht="15.75" customHeight="1" s="82">
      <c r="B619" s="2" t="n"/>
    </row>
    <row r="620" ht="15.75" customHeight="1" s="82">
      <c r="B620" s="2" t="n"/>
    </row>
    <row r="621" ht="15.75" customHeight="1" s="82">
      <c r="B621" s="2" t="n"/>
    </row>
    <row r="622" ht="15.75" customHeight="1" s="82">
      <c r="B622" s="2" t="n"/>
    </row>
    <row r="623" ht="15.75" customHeight="1" s="82">
      <c r="B623" s="2" t="n"/>
    </row>
    <row r="624" ht="15.75" customHeight="1" s="82">
      <c r="B624" s="2" t="n"/>
    </row>
    <row r="625" ht="15.75" customHeight="1" s="82">
      <c r="B625" s="2" t="n"/>
    </row>
    <row r="626" ht="15.75" customHeight="1" s="82">
      <c r="B626" s="2" t="n"/>
    </row>
    <row r="627" ht="15.75" customHeight="1" s="82">
      <c r="B627" s="2" t="n"/>
    </row>
    <row r="628" ht="15.75" customHeight="1" s="82">
      <c r="B628" s="2" t="n"/>
    </row>
    <row r="629" ht="15.75" customHeight="1" s="82">
      <c r="B629" s="2" t="n"/>
    </row>
    <row r="630" ht="15.75" customHeight="1" s="82">
      <c r="B630" s="2" t="n"/>
    </row>
    <row r="631" ht="15.75" customHeight="1" s="82">
      <c r="B631" s="2" t="n"/>
    </row>
    <row r="632" ht="15.75" customHeight="1" s="82">
      <c r="B632" s="2" t="n"/>
    </row>
    <row r="633" ht="15.75" customHeight="1" s="82">
      <c r="B633" s="2" t="n"/>
    </row>
    <row r="634" ht="15.75" customHeight="1" s="82">
      <c r="B634" s="2" t="n"/>
    </row>
    <row r="635" ht="15.75" customHeight="1" s="82">
      <c r="B635" s="2" t="n"/>
    </row>
    <row r="636" ht="15.75" customHeight="1" s="82">
      <c r="B636" s="2" t="n"/>
    </row>
    <row r="637" ht="15.75" customHeight="1" s="82">
      <c r="B637" s="2" t="n"/>
    </row>
    <row r="638" ht="15.75" customHeight="1" s="82">
      <c r="B638" s="2" t="n"/>
    </row>
    <row r="639" ht="15.75" customHeight="1" s="82">
      <c r="B639" s="2" t="n"/>
    </row>
    <row r="640" ht="15.75" customHeight="1" s="82">
      <c r="B640" s="2" t="n"/>
    </row>
    <row r="641" ht="15.75" customHeight="1" s="82">
      <c r="B641" s="2" t="n"/>
    </row>
    <row r="642" ht="15.75" customHeight="1" s="82">
      <c r="B642" s="2" t="n"/>
    </row>
    <row r="643" ht="15.75" customHeight="1" s="82">
      <c r="B643" s="2" t="n"/>
    </row>
    <row r="644" ht="15.75" customHeight="1" s="82">
      <c r="B644" s="2" t="n"/>
    </row>
    <row r="645" ht="15.75" customHeight="1" s="82">
      <c r="B645" s="2" t="n"/>
    </row>
    <row r="646" ht="15.75" customHeight="1" s="82">
      <c r="B646" s="2" t="n"/>
    </row>
    <row r="647" ht="15.75" customHeight="1" s="82">
      <c r="B647" s="2" t="n"/>
    </row>
    <row r="648" ht="15.75" customHeight="1" s="82">
      <c r="B648" s="2" t="n"/>
    </row>
    <row r="649" ht="15.75" customHeight="1" s="82">
      <c r="B649" s="2" t="n"/>
    </row>
    <row r="650" ht="15.75" customHeight="1" s="82">
      <c r="B650" s="2" t="n"/>
    </row>
    <row r="651" ht="15.75" customHeight="1" s="82">
      <c r="B651" s="2" t="n"/>
    </row>
    <row r="652" ht="15.75" customHeight="1" s="82">
      <c r="B652" s="2" t="n"/>
    </row>
    <row r="653" ht="15.75" customHeight="1" s="82">
      <c r="B653" s="2" t="n"/>
    </row>
    <row r="654" ht="15.75" customHeight="1" s="82">
      <c r="B654" s="2" t="n"/>
    </row>
    <row r="655" ht="15.75" customHeight="1" s="82">
      <c r="B655" s="2" t="n"/>
    </row>
    <row r="656" ht="15.75" customHeight="1" s="82">
      <c r="B656" s="2" t="n"/>
    </row>
    <row r="657" ht="15.75" customHeight="1" s="82">
      <c r="B657" s="2" t="n"/>
    </row>
    <row r="658" ht="15.75" customHeight="1" s="82">
      <c r="B658" s="2" t="n"/>
    </row>
    <row r="659" ht="15.75" customHeight="1" s="82">
      <c r="B659" s="2" t="n"/>
    </row>
    <row r="660" ht="15.75" customHeight="1" s="82">
      <c r="B660" s="2" t="n"/>
    </row>
    <row r="661" ht="15.75" customHeight="1" s="82">
      <c r="B661" s="2" t="n"/>
    </row>
    <row r="662" ht="15.75" customHeight="1" s="82">
      <c r="B662" s="2" t="n"/>
    </row>
    <row r="663" ht="15.75" customHeight="1" s="82">
      <c r="B663" s="2" t="n"/>
    </row>
    <row r="664" ht="15.75" customHeight="1" s="82">
      <c r="B664" s="2" t="n"/>
    </row>
    <row r="665" ht="15.75" customHeight="1" s="82">
      <c r="B665" s="2" t="n"/>
    </row>
    <row r="666" ht="15.75" customHeight="1" s="82">
      <c r="B666" s="2" t="n"/>
    </row>
    <row r="667" ht="15.75" customHeight="1" s="82">
      <c r="B667" s="2" t="n"/>
    </row>
    <row r="668" ht="15.75" customHeight="1" s="82">
      <c r="B668" s="2" t="n"/>
    </row>
    <row r="669" ht="15.75" customHeight="1" s="82">
      <c r="B669" s="2" t="n"/>
    </row>
    <row r="670" ht="15.75" customHeight="1" s="82">
      <c r="B670" s="2" t="n"/>
    </row>
    <row r="671" ht="15.75" customHeight="1" s="82">
      <c r="B671" s="2" t="n"/>
    </row>
    <row r="672" ht="15.75" customHeight="1" s="82">
      <c r="B672" s="2" t="n"/>
    </row>
    <row r="673" ht="15.75" customHeight="1" s="82">
      <c r="B673" s="2" t="n"/>
    </row>
    <row r="674" ht="15.75" customHeight="1" s="82">
      <c r="B674" s="2" t="n"/>
    </row>
    <row r="675" ht="15.75" customHeight="1" s="82">
      <c r="B675" s="2" t="n"/>
    </row>
    <row r="676" ht="15.75" customHeight="1" s="82">
      <c r="B676" s="2" t="n"/>
    </row>
    <row r="677" ht="15.75" customHeight="1" s="82">
      <c r="B677" s="2" t="n"/>
    </row>
    <row r="678" ht="15.75" customHeight="1" s="82">
      <c r="B678" s="2" t="n"/>
    </row>
    <row r="679" ht="15.75" customHeight="1" s="82">
      <c r="B679" s="2" t="n"/>
    </row>
    <row r="680" ht="15.75" customHeight="1" s="82">
      <c r="B680" s="2" t="n"/>
    </row>
    <row r="681" ht="15.75" customHeight="1" s="82">
      <c r="B681" s="2" t="n"/>
    </row>
    <row r="682" ht="15.75" customHeight="1" s="82">
      <c r="B682" s="2" t="n"/>
    </row>
    <row r="683" ht="15.75" customHeight="1" s="82">
      <c r="B683" s="2" t="n"/>
    </row>
    <row r="684" ht="15.75" customHeight="1" s="82">
      <c r="B684" s="2" t="n"/>
    </row>
    <row r="685" ht="15.75" customHeight="1" s="82">
      <c r="B685" s="2" t="n"/>
    </row>
    <row r="686" ht="15.75" customHeight="1" s="82">
      <c r="B686" s="2" t="n"/>
    </row>
    <row r="687" ht="15.75" customHeight="1" s="82">
      <c r="B687" s="2" t="n"/>
    </row>
    <row r="688" ht="15.75" customHeight="1" s="82">
      <c r="B688" s="2" t="n"/>
    </row>
    <row r="689" ht="15.75" customHeight="1" s="82">
      <c r="B689" s="2" t="n"/>
    </row>
    <row r="690" ht="15.75" customHeight="1" s="82">
      <c r="B690" s="2" t="n"/>
    </row>
    <row r="691" ht="15.75" customHeight="1" s="82">
      <c r="B691" s="2" t="n"/>
    </row>
    <row r="692" ht="15.75" customHeight="1" s="82">
      <c r="B692" s="2" t="n"/>
    </row>
    <row r="693" ht="15.75" customHeight="1" s="82">
      <c r="B693" s="2" t="n"/>
    </row>
    <row r="694" ht="15.75" customHeight="1" s="82">
      <c r="B694" s="2" t="n"/>
    </row>
    <row r="695" ht="15.75" customHeight="1" s="82">
      <c r="B695" s="2" t="n"/>
    </row>
    <row r="696" ht="15.75" customHeight="1" s="82">
      <c r="B696" s="2" t="n"/>
    </row>
    <row r="697" ht="15.75" customHeight="1" s="82">
      <c r="B697" s="2" t="n"/>
    </row>
    <row r="698" ht="15.75" customHeight="1" s="82">
      <c r="B698" s="2" t="n"/>
    </row>
    <row r="699" ht="15.75" customHeight="1" s="82">
      <c r="B699" s="2" t="n"/>
    </row>
    <row r="700" ht="15.75" customHeight="1" s="82">
      <c r="B700" s="2" t="n"/>
    </row>
    <row r="701" ht="15.75" customHeight="1" s="82">
      <c r="B701" s="2" t="n"/>
    </row>
    <row r="702" ht="15.75" customHeight="1" s="82">
      <c r="B702" s="2" t="n"/>
    </row>
    <row r="703" ht="15.75" customHeight="1" s="82">
      <c r="B703" s="2" t="n"/>
    </row>
    <row r="704" ht="15.75" customHeight="1" s="82">
      <c r="B704" s="2" t="n"/>
    </row>
    <row r="705" ht="15.75" customHeight="1" s="82">
      <c r="B705" s="2" t="n"/>
    </row>
    <row r="706" ht="15.75" customHeight="1" s="82">
      <c r="B706" s="2" t="n"/>
    </row>
    <row r="707" ht="15.75" customHeight="1" s="82">
      <c r="B707" s="2" t="n"/>
    </row>
    <row r="708" ht="15.75" customHeight="1" s="82">
      <c r="B708" s="2" t="n"/>
    </row>
    <row r="709" ht="15.75" customHeight="1" s="82">
      <c r="B709" s="2" t="n"/>
    </row>
    <row r="710" ht="15.75" customHeight="1" s="82">
      <c r="B710" s="2" t="n"/>
    </row>
    <row r="711" ht="15.75" customHeight="1" s="82">
      <c r="B711" s="2" t="n"/>
    </row>
    <row r="712" ht="15.75" customHeight="1" s="82">
      <c r="B712" s="2" t="n"/>
    </row>
    <row r="713" ht="15.75" customHeight="1" s="82">
      <c r="B713" s="2" t="n"/>
    </row>
    <row r="714" ht="15.75" customHeight="1" s="82">
      <c r="B714" s="2" t="n"/>
    </row>
    <row r="715" ht="15.75" customHeight="1" s="82">
      <c r="B715" s="2" t="n"/>
    </row>
    <row r="716" ht="15.75" customHeight="1" s="82">
      <c r="B716" s="2" t="n"/>
    </row>
    <row r="717" ht="15.75" customHeight="1" s="82">
      <c r="B717" s="2" t="n"/>
    </row>
    <row r="718" ht="15.75" customHeight="1" s="82">
      <c r="B718" s="2" t="n"/>
    </row>
    <row r="719" ht="15.75" customHeight="1" s="82">
      <c r="B719" s="2" t="n"/>
    </row>
    <row r="720" ht="15.75" customHeight="1" s="82">
      <c r="B720" s="2" t="n"/>
    </row>
    <row r="721" ht="15.75" customHeight="1" s="82">
      <c r="B721" s="2" t="n"/>
    </row>
    <row r="722" ht="15.75" customHeight="1" s="82">
      <c r="B722" s="2" t="n"/>
    </row>
    <row r="723" ht="15.75" customHeight="1" s="82">
      <c r="B723" s="2" t="n"/>
    </row>
    <row r="724" ht="15.75" customHeight="1" s="82">
      <c r="B724" s="2" t="n"/>
    </row>
    <row r="725" ht="15.75" customHeight="1" s="82">
      <c r="B725" s="2" t="n"/>
    </row>
    <row r="726" ht="15.75" customHeight="1" s="82">
      <c r="B726" s="2" t="n"/>
    </row>
    <row r="727" ht="15.75" customHeight="1" s="82">
      <c r="B727" s="2" t="n"/>
    </row>
    <row r="728" ht="15.75" customHeight="1" s="82">
      <c r="B728" s="2" t="n"/>
    </row>
    <row r="729" ht="15.75" customHeight="1" s="82">
      <c r="B729" s="2" t="n"/>
    </row>
    <row r="730" ht="15.75" customHeight="1" s="82">
      <c r="B730" s="2" t="n"/>
    </row>
    <row r="731" ht="15.75" customHeight="1" s="82">
      <c r="B731" s="2" t="n"/>
    </row>
    <row r="732" ht="15.75" customHeight="1" s="82">
      <c r="B732" s="2" t="n"/>
    </row>
    <row r="733" ht="15.75" customHeight="1" s="82">
      <c r="B733" s="2" t="n"/>
    </row>
    <row r="734" ht="15.75" customHeight="1" s="82">
      <c r="B734" s="2" t="n"/>
    </row>
    <row r="735" ht="15.75" customHeight="1" s="82">
      <c r="B735" s="2" t="n"/>
    </row>
    <row r="736" ht="15.75" customHeight="1" s="82">
      <c r="B736" s="2" t="n"/>
    </row>
    <row r="737" ht="15.75" customHeight="1" s="82">
      <c r="B737" s="2" t="n"/>
    </row>
    <row r="738" ht="15.75" customHeight="1" s="82">
      <c r="B738" s="2" t="n"/>
    </row>
    <row r="739" ht="15.75" customHeight="1" s="82">
      <c r="B739" s="2" t="n"/>
    </row>
    <row r="740" ht="15.75" customHeight="1" s="82">
      <c r="B740" s="2" t="n"/>
    </row>
    <row r="741" ht="15.75" customHeight="1" s="82">
      <c r="B741" s="2" t="n"/>
    </row>
    <row r="742" ht="15.75" customHeight="1" s="82">
      <c r="B742" s="2" t="n"/>
    </row>
    <row r="743" ht="15.75" customHeight="1" s="82">
      <c r="B743" s="2" t="n"/>
    </row>
    <row r="744" ht="15.75" customHeight="1" s="82">
      <c r="B744" s="2" t="n"/>
    </row>
    <row r="745" ht="15.75" customHeight="1" s="82">
      <c r="B745" s="2" t="n"/>
    </row>
    <row r="746" ht="15.75" customHeight="1" s="82">
      <c r="B746" s="2" t="n"/>
    </row>
    <row r="747" ht="15.75" customHeight="1" s="82">
      <c r="B747" s="2" t="n"/>
    </row>
    <row r="748" ht="15.75" customHeight="1" s="82">
      <c r="B748" s="2" t="n"/>
    </row>
    <row r="749" ht="15.75" customHeight="1" s="82">
      <c r="B749" s="2" t="n"/>
    </row>
    <row r="750" ht="15.75" customHeight="1" s="82">
      <c r="B750" s="2" t="n"/>
    </row>
    <row r="751" ht="15.75" customHeight="1" s="82">
      <c r="B751" s="2" t="n"/>
    </row>
    <row r="752" ht="15.75" customHeight="1" s="82">
      <c r="B752" s="2" t="n"/>
    </row>
    <row r="753" ht="15.75" customHeight="1" s="82">
      <c r="B753" s="2" t="n"/>
    </row>
    <row r="754" ht="15.75" customHeight="1" s="82">
      <c r="B754" s="2" t="n"/>
    </row>
    <row r="755" ht="15.75" customHeight="1" s="82">
      <c r="B755" s="2" t="n"/>
    </row>
    <row r="756" ht="15.75" customHeight="1" s="82">
      <c r="B756" s="2" t="n"/>
    </row>
    <row r="757" ht="15.75" customHeight="1" s="82">
      <c r="B757" s="2" t="n"/>
    </row>
    <row r="758" ht="15.75" customHeight="1" s="82">
      <c r="B758" s="2" t="n"/>
    </row>
    <row r="759" ht="15.75" customHeight="1" s="82">
      <c r="B759" s="2" t="n"/>
    </row>
    <row r="760" ht="15.75" customHeight="1" s="82">
      <c r="B760" s="2" t="n"/>
    </row>
    <row r="761" ht="15.75" customHeight="1" s="82">
      <c r="B761" s="2" t="n"/>
    </row>
    <row r="762" ht="15.75" customHeight="1" s="82">
      <c r="B762" s="2" t="n"/>
    </row>
    <row r="763" ht="15.75" customHeight="1" s="82">
      <c r="B763" s="2" t="n"/>
    </row>
    <row r="764" ht="15.75" customHeight="1" s="82">
      <c r="B764" s="2" t="n"/>
    </row>
    <row r="765" ht="15.75" customHeight="1" s="82">
      <c r="B765" s="2" t="n"/>
    </row>
    <row r="766" ht="15.75" customHeight="1" s="82">
      <c r="B766" s="2" t="n"/>
    </row>
    <row r="767" ht="15.75" customHeight="1" s="82">
      <c r="B767" s="2" t="n"/>
    </row>
    <row r="768" ht="15.75" customHeight="1" s="82">
      <c r="B768" s="2" t="n"/>
    </row>
    <row r="769" ht="15.75" customHeight="1" s="82">
      <c r="B769" s="2" t="n"/>
    </row>
    <row r="770" ht="15.75" customHeight="1" s="82">
      <c r="B770" s="2" t="n"/>
    </row>
    <row r="771" ht="15.75" customHeight="1" s="82">
      <c r="B771" s="2" t="n"/>
    </row>
    <row r="772" ht="15.75" customHeight="1" s="82">
      <c r="B772" s="2" t="n"/>
    </row>
    <row r="773" ht="15.75" customHeight="1" s="82">
      <c r="B773" s="2" t="n"/>
    </row>
    <row r="774" ht="15.75" customHeight="1" s="82">
      <c r="B774" s="2" t="n"/>
    </row>
    <row r="775" ht="15.75" customHeight="1" s="82">
      <c r="B775" s="2" t="n"/>
    </row>
    <row r="776" ht="15.75" customHeight="1" s="82">
      <c r="B776" s="2" t="n"/>
    </row>
    <row r="777" ht="15.75" customHeight="1" s="82">
      <c r="B777" s="2" t="n"/>
    </row>
    <row r="778" ht="15.75" customHeight="1" s="82">
      <c r="B778" s="2" t="n"/>
    </row>
    <row r="779" ht="15.75" customHeight="1" s="82">
      <c r="B779" s="2" t="n"/>
    </row>
    <row r="780" ht="15.75" customHeight="1" s="82">
      <c r="B780" s="2" t="n"/>
    </row>
    <row r="781" ht="15.75" customHeight="1" s="82">
      <c r="B781" s="2" t="n"/>
    </row>
    <row r="782" ht="15.75" customHeight="1" s="82">
      <c r="B782" s="2" t="n"/>
    </row>
    <row r="783" ht="15.75" customHeight="1" s="82">
      <c r="B783" s="2" t="n"/>
    </row>
    <row r="784" ht="15.75" customHeight="1" s="82">
      <c r="B784" s="2" t="n"/>
    </row>
    <row r="785" ht="15.75" customHeight="1" s="82">
      <c r="B785" s="2" t="n"/>
    </row>
    <row r="786" ht="15.75" customHeight="1" s="82">
      <c r="B786" s="2" t="n"/>
    </row>
    <row r="787" ht="15.75" customHeight="1" s="82">
      <c r="B787" s="2" t="n"/>
    </row>
    <row r="788" ht="15.75" customHeight="1" s="82">
      <c r="B788" s="2" t="n"/>
    </row>
    <row r="789" ht="15.75" customHeight="1" s="82">
      <c r="B789" s="2" t="n"/>
    </row>
    <row r="790" ht="15.75" customHeight="1" s="82">
      <c r="B790" s="2" t="n"/>
    </row>
    <row r="791" ht="15.75" customHeight="1" s="82">
      <c r="B791" s="2" t="n"/>
    </row>
    <row r="792" ht="15.75" customHeight="1" s="82">
      <c r="B792" s="2" t="n"/>
    </row>
    <row r="793" ht="15.75" customHeight="1" s="82">
      <c r="B793" s="2" t="n"/>
    </row>
    <row r="794" ht="15.75" customHeight="1" s="82">
      <c r="B794" s="2" t="n"/>
    </row>
    <row r="795" ht="15.75" customHeight="1" s="82">
      <c r="B795" s="2" t="n"/>
    </row>
    <row r="796" ht="15.75" customHeight="1" s="82">
      <c r="B796" s="2" t="n"/>
    </row>
    <row r="797" ht="15.75" customHeight="1" s="82">
      <c r="B797" s="2" t="n"/>
    </row>
    <row r="798" ht="15.75" customHeight="1" s="82">
      <c r="B798" s="2" t="n"/>
    </row>
    <row r="799" ht="15.75" customHeight="1" s="82">
      <c r="B799" s="2" t="n"/>
    </row>
    <row r="800" ht="15.75" customHeight="1" s="82">
      <c r="B800" s="2" t="n"/>
    </row>
    <row r="801" ht="15.75" customHeight="1" s="82">
      <c r="B801" s="2" t="n"/>
    </row>
    <row r="802" ht="15.75" customHeight="1" s="82">
      <c r="B802" s="2" t="n"/>
    </row>
    <row r="803" ht="15.75" customHeight="1" s="82">
      <c r="B803" s="2" t="n"/>
    </row>
    <row r="804" ht="15.75" customHeight="1" s="82">
      <c r="B804" s="2" t="n"/>
    </row>
    <row r="805" ht="15.75" customHeight="1" s="82">
      <c r="B805" s="2" t="n"/>
    </row>
    <row r="806" ht="15.75" customHeight="1" s="82">
      <c r="B806" s="2" t="n"/>
    </row>
    <row r="807" ht="15.75" customHeight="1" s="82">
      <c r="B807" s="2" t="n"/>
    </row>
    <row r="808" ht="15.75" customHeight="1" s="82">
      <c r="B808" s="2" t="n"/>
    </row>
    <row r="809" ht="15.75" customHeight="1" s="82">
      <c r="B809" s="2" t="n"/>
    </row>
    <row r="810" ht="15.75" customHeight="1" s="82">
      <c r="B810" s="2" t="n"/>
    </row>
    <row r="811" ht="15.75" customHeight="1" s="82">
      <c r="B811" s="2" t="n"/>
    </row>
    <row r="812" ht="15.75" customHeight="1" s="82">
      <c r="B812" s="2" t="n"/>
    </row>
    <row r="813" ht="15.75" customHeight="1" s="82">
      <c r="B813" s="2" t="n"/>
    </row>
    <row r="814" ht="15.75" customHeight="1" s="82">
      <c r="B814" s="2" t="n"/>
    </row>
    <row r="815" ht="15.75" customHeight="1" s="82">
      <c r="B815" s="2" t="n"/>
    </row>
    <row r="816" ht="15.75" customHeight="1" s="82">
      <c r="B816" s="2" t="n"/>
    </row>
    <row r="817" ht="15.75" customHeight="1" s="82">
      <c r="B817" s="2" t="n"/>
    </row>
    <row r="818" ht="15.75" customHeight="1" s="82">
      <c r="B818" s="2" t="n"/>
    </row>
    <row r="819" ht="15.75" customHeight="1" s="82">
      <c r="B819" s="2" t="n"/>
    </row>
    <row r="820" ht="15.75" customHeight="1" s="82">
      <c r="B820" s="2" t="n"/>
    </row>
    <row r="821" ht="15.75" customHeight="1" s="82">
      <c r="B821" s="2" t="n"/>
    </row>
    <row r="822" ht="15.75" customHeight="1" s="82">
      <c r="B822" s="2" t="n"/>
    </row>
    <row r="823" ht="15.75" customHeight="1" s="82">
      <c r="B823" s="2" t="n"/>
    </row>
    <row r="824" ht="15.75" customHeight="1" s="82">
      <c r="B824" s="2" t="n"/>
    </row>
    <row r="825" ht="15.75" customHeight="1" s="82">
      <c r="B825" s="2" t="n"/>
    </row>
    <row r="826" ht="15.75" customHeight="1" s="82">
      <c r="B826" s="2" t="n"/>
    </row>
    <row r="827" ht="15.75" customHeight="1" s="82">
      <c r="B827" s="2" t="n"/>
    </row>
    <row r="828" ht="15.75" customHeight="1" s="82">
      <c r="B828" s="2" t="n"/>
    </row>
    <row r="829" ht="15.75" customHeight="1" s="82">
      <c r="B829" s="2" t="n"/>
    </row>
    <row r="830" ht="15.75" customHeight="1" s="82">
      <c r="B830" s="2" t="n"/>
    </row>
    <row r="831" ht="15.75" customHeight="1" s="82">
      <c r="B831" s="2" t="n"/>
    </row>
    <row r="832" ht="15.75" customHeight="1" s="82">
      <c r="B832" s="2" t="n"/>
    </row>
    <row r="833" ht="15.75" customHeight="1" s="82">
      <c r="B833" s="2" t="n"/>
    </row>
    <row r="834" ht="15.75" customHeight="1" s="82">
      <c r="B834" s="2" t="n"/>
    </row>
    <row r="835" ht="15.75" customHeight="1" s="82">
      <c r="B835" s="2" t="n"/>
    </row>
    <row r="836" ht="15.75" customHeight="1" s="82">
      <c r="B836" s="2" t="n"/>
    </row>
    <row r="837" ht="15.75" customHeight="1" s="82">
      <c r="B837" s="2" t="n"/>
    </row>
    <row r="838" ht="15.75" customHeight="1" s="82">
      <c r="B838" s="2" t="n"/>
    </row>
    <row r="839" ht="15.75" customHeight="1" s="82">
      <c r="B839" s="2" t="n"/>
    </row>
    <row r="840" ht="15.75" customHeight="1" s="82">
      <c r="B840" s="2" t="n"/>
    </row>
    <row r="841" ht="15.75" customHeight="1" s="82">
      <c r="B841" s="2" t="n"/>
    </row>
    <row r="842" ht="15.75" customHeight="1" s="82">
      <c r="B842" s="2" t="n"/>
    </row>
    <row r="843" ht="15.75" customHeight="1" s="82">
      <c r="B843" s="2" t="n"/>
    </row>
    <row r="844" ht="15.75" customHeight="1" s="82">
      <c r="B844" s="2" t="n"/>
    </row>
    <row r="845" ht="15.75" customHeight="1" s="82">
      <c r="B845" s="2" t="n"/>
    </row>
    <row r="846" ht="15.75" customHeight="1" s="82">
      <c r="B846" s="2" t="n"/>
    </row>
    <row r="847" ht="15.75" customHeight="1" s="82">
      <c r="B847" s="2" t="n"/>
    </row>
    <row r="848" ht="15.75" customHeight="1" s="82">
      <c r="B848" s="2" t="n"/>
    </row>
    <row r="849" ht="15.75" customHeight="1" s="82">
      <c r="B849" s="2" t="n"/>
    </row>
    <row r="850" ht="15.75" customHeight="1" s="82">
      <c r="B850" s="2" t="n"/>
    </row>
    <row r="851" ht="15.75" customHeight="1" s="82">
      <c r="B851" s="2" t="n"/>
    </row>
    <row r="852" ht="15.75" customHeight="1" s="82">
      <c r="B852" s="2" t="n"/>
    </row>
    <row r="853" ht="15.75" customHeight="1" s="82">
      <c r="B853" s="2" t="n"/>
    </row>
    <row r="854" ht="15.75" customHeight="1" s="82">
      <c r="B854" s="2" t="n"/>
    </row>
    <row r="855" ht="15.75" customHeight="1" s="82">
      <c r="B855" s="2" t="n"/>
    </row>
    <row r="856" ht="15.75" customHeight="1" s="82">
      <c r="B856" s="2" t="n"/>
    </row>
    <row r="857" ht="15.75" customHeight="1" s="82">
      <c r="B857" s="2" t="n"/>
    </row>
    <row r="858" ht="15.75" customHeight="1" s="82">
      <c r="B858" s="2" t="n"/>
    </row>
    <row r="859" ht="15.75" customHeight="1" s="82">
      <c r="B859" s="2" t="n"/>
    </row>
    <row r="860" ht="15.75" customHeight="1" s="82">
      <c r="B860" s="2" t="n"/>
    </row>
    <row r="861" ht="15.75" customHeight="1" s="82">
      <c r="B861" s="2" t="n"/>
    </row>
    <row r="862" ht="15.75" customHeight="1" s="82">
      <c r="B862" s="2" t="n"/>
    </row>
    <row r="863" ht="15.75" customHeight="1" s="82">
      <c r="B863" s="2" t="n"/>
    </row>
    <row r="864" ht="15.75" customHeight="1" s="82">
      <c r="B864" s="2" t="n"/>
    </row>
    <row r="865" ht="15.75" customHeight="1" s="82">
      <c r="B865" s="2" t="n"/>
    </row>
    <row r="866" ht="15.75" customHeight="1" s="82">
      <c r="B866" s="2" t="n"/>
    </row>
    <row r="867" ht="15.75" customHeight="1" s="82">
      <c r="B867" s="2" t="n"/>
    </row>
    <row r="868" ht="15.75" customHeight="1" s="82">
      <c r="B868" s="2" t="n"/>
    </row>
    <row r="869" ht="15.75" customHeight="1" s="82">
      <c r="B869" s="2" t="n"/>
    </row>
    <row r="870" ht="15.75" customHeight="1" s="82">
      <c r="B870" s="2" t="n"/>
    </row>
    <row r="871" ht="15.75" customHeight="1" s="82">
      <c r="B871" s="2" t="n"/>
    </row>
    <row r="872" ht="15.75" customHeight="1" s="82">
      <c r="B872" s="2" t="n"/>
    </row>
    <row r="873" ht="15.75" customHeight="1" s="82">
      <c r="B873" s="2" t="n"/>
    </row>
    <row r="874" ht="15.75" customHeight="1" s="82">
      <c r="B874" s="2" t="n"/>
    </row>
    <row r="875" ht="15.75" customHeight="1" s="82">
      <c r="B875" s="2" t="n"/>
    </row>
    <row r="876" ht="15.75" customHeight="1" s="82">
      <c r="B876" s="2" t="n"/>
    </row>
    <row r="877" ht="15.75" customHeight="1" s="82">
      <c r="B877" s="2" t="n"/>
    </row>
    <row r="878" ht="15.75" customHeight="1" s="82">
      <c r="B878" s="2" t="n"/>
    </row>
    <row r="879" ht="15.75" customHeight="1" s="82">
      <c r="B879" s="2" t="n"/>
    </row>
    <row r="880" ht="15.75" customHeight="1" s="82">
      <c r="B880" s="2" t="n"/>
    </row>
    <row r="881" ht="15.75" customHeight="1" s="82">
      <c r="B881" s="2" t="n"/>
    </row>
    <row r="882" ht="15.75" customHeight="1" s="82">
      <c r="B882" s="2" t="n"/>
    </row>
    <row r="883" ht="15.75" customHeight="1" s="82">
      <c r="B883" s="2" t="n"/>
    </row>
    <row r="884" ht="15.75" customHeight="1" s="82">
      <c r="B884" s="2" t="n"/>
    </row>
    <row r="885" ht="15.75" customHeight="1" s="82">
      <c r="B885" s="2" t="n"/>
    </row>
    <row r="886" ht="15.75" customHeight="1" s="82">
      <c r="B886" s="2" t="n"/>
    </row>
    <row r="887" ht="15.75" customHeight="1" s="82">
      <c r="B887" s="2" t="n"/>
    </row>
    <row r="888" ht="15.75" customHeight="1" s="82">
      <c r="B888" s="2" t="n"/>
    </row>
    <row r="889" ht="15.75" customHeight="1" s="82">
      <c r="B889" s="2" t="n"/>
    </row>
    <row r="890" ht="15.75" customHeight="1" s="82">
      <c r="B890" s="2" t="n"/>
    </row>
    <row r="891" ht="15.75" customHeight="1" s="82">
      <c r="B891" s="2" t="n"/>
    </row>
    <row r="892" ht="15.75" customHeight="1" s="82">
      <c r="B892" s="2" t="n"/>
    </row>
    <row r="893" ht="15.75" customHeight="1" s="82">
      <c r="B893" s="2" t="n"/>
    </row>
    <row r="894" ht="15.75" customHeight="1" s="82">
      <c r="B894" s="2" t="n"/>
    </row>
    <row r="895" ht="15.75" customHeight="1" s="82">
      <c r="B895" s="2" t="n"/>
    </row>
    <row r="896" ht="15.75" customHeight="1" s="82">
      <c r="B896" s="2" t="n"/>
    </row>
    <row r="897" ht="15.75" customHeight="1" s="82">
      <c r="B897" s="2" t="n"/>
    </row>
    <row r="898" ht="15.75" customHeight="1" s="82">
      <c r="B898" s="2" t="n"/>
    </row>
    <row r="899" ht="15.75" customHeight="1" s="82">
      <c r="B899" s="2" t="n"/>
    </row>
    <row r="900" ht="15.75" customHeight="1" s="82">
      <c r="B900" s="2" t="n"/>
    </row>
    <row r="901" ht="15.75" customHeight="1" s="82">
      <c r="B901" s="2" t="n"/>
    </row>
    <row r="902" ht="15.75" customHeight="1" s="82">
      <c r="B902" s="2" t="n"/>
    </row>
    <row r="903" ht="15.75" customHeight="1" s="82">
      <c r="B903" s="2" t="n"/>
    </row>
    <row r="904" ht="15.75" customHeight="1" s="82">
      <c r="B904" s="2" t="n"/>
    </row>
    <row r="905" ht="15.75" customHeight="1" s="82">
      <c r="B905" s="2" t="n"/>
    </row>
    <row r="906" ht="15.75" customHeight="1" s="82">
      <c r="B906" s="2" t="n"/>
    </row>
    <row r="907" ht="15.75" customHeight="1" s="82">
      <c r="B907" s="2" t="n"/>
    </row>
    <row r="908" ht="15.75" customHeight="1" s="82">
      <c r="B908" s="2" t="n"/>
    </row>
    <row r="909" ht="15.75" customHeight="1" s="82">
      <c r="B909" s="2" t="n"/>
    </row>
    <row r="910" ht="15.75" customHeight="1" s="82">
      <c r="B910" s="2" t="n"/>
    </row>
    <row r="911" ht="15.75" customHeight="1" s="82">
      <c r="B911" s="2" t="n"/>
    </row>
    <row r="912" ht="15.75" customHeight="1" s="82">
      <c r="B912" s="2" t="n"/>
    </row>
    <row r="913" ht="15.75" customHeight="1" s="82">
      <c r="B913" s="2" t="n"/>
    </row>
    <row r="914" ht="15.75" customHeight="1" s="82">
      <c r="B914" s="2" t="n"/>
    </row>
    <row r="915" ht="15.75" customHeight="1" s="82">
      <c r="B915" s="2" t="n"/>
    </row>
    <row r="916" ht="15.75" customHeight="1" s="82">
      <c r="B916" s="2" t="n"/>
    </row>
    <row r="917" ht="15.75" customHeight="1" s="82">
      <c r="B917" s="2" t="n"/>
    </row>
    <row r="918" ht="15.75" customHeight="1" s="82">
      <c r="B918" s="2" t="n"/>
    </row>
    <row r="919" ht="15.75" customHeight="1" s="82">
      <c r="B919" s="2" t="n"/>
    </row>
    <row r="920" ht="15.75" customHeight="1" s="82">
      <c r="B920" s="2" t="n"/>
    </row>
    <row r="921" ht="15.75" customHeight="1" s="82">
      <c r="B921" s="2" t="n"/>
    </row>
    <row r="922" ht="15.75" customHeight="1" s="82">
      <c r="B922" s="2" t="n"/>
    </row>
    <row r="923" ht="15.75" customHeight="1" s="82">
      <c r="B923" s="2" t="n"/>
    </row>
    <row r="924" ht="15.75" customHeight="1" s="82">
      <c r="B924" s="2" t="n"/>
    </row>
    <row r="925" ht="15.75" customHeight="1" s="82">
      <c r="B925" s="2" t="n"/>
    </row>
    <row r="926" ht="15.75" customHeight="1" s="82">
      <c r="B926" s="2" t="n"/>
    </row>
    <row r="927" ht="15.75" customHeight="1" s="82">
      <c r="B927" s="2" t="n"/>
    </row>
    <row r="928" ht="15.75" customHeight="1" s="82">
      <c r="B928" s="2" t="n"/>
    </row>
    <row r="929" ht="15.75" customHeight="1" s="82">
      <c r="B929" s="2" t="n"/>
    </row>
    <row r="930" ht="15.75" customHeight="1" s="82">
      <c r="B930" s="2" t="n"/>
    </row>
    <row r="931" ht="15.75" customHeight="1" s="82">
      <c r="B931" s="2" t="n"/>
    </row>
    <row r="932" ht="15.75" customHeight="1" s="82">
      <c r="B932" s="2" t="n"/>
    </row>
    <row r="933" ht="15.75" customHeight="1" s="82">
      <c r="B933" s="2" t="n"/>
    </row>
    <row r="934" ht="15.75" customHeight="1" s="82">
      <c r="B934" s="2" t="n"/>
    </row>
    <row r="935" ht="15.75" customHeight="1" s="82">
      <c r="B935" s="2" t="n"/>
    </row>
    <row r="936" ht="15.75" customHeight="1" s="82">
      <c r="B936" s="2" t="n"/>
    </row>
    <row r="937" ht="15.75" customHeight="1" s="82">
      <c r="B937" s="2" t="n"/>
    </row>
    <row r="938" ht="15.75" customHeight="1" s="82">
      <c r="B938" s="2" t="n"/>
    </row>
    <row r="939" ht="15.75" customHeight="1" s="82">
      <c r="B939" s="2" t="n"/>
    </row>
    <row r="940" ht="15.75" customHeight="1" s="82">
      <c r="B940" s="2" t="n"/>
    </row>
    <row r="941" ht="15.75" customHeight="1" s="82">
      <c r="B941" s="2" t="n"/>
    </row>
    <row r="942" ht="15.75" customHeight="1" s="82">
      <c r="B942" s="2" t="n"/>
    </row>
    <row r="943" ht="15.75" customHeight="1" s="82">
      <c r="B943" s="2" t="n"/>
    </row>
    <row r="944" ht="15.75" customHeight="1" s="82">
      <c r="B944" s="2" t="n"/>
    </row>
    <row r="945" ht="15.75" customHeight="1" s="82">
      <c r="B945" s="2" t="n"/>
    </row>
    <row r="946" ht="15.75" customHeight="1" s="82">
      <c r="B946" s="2" t="n"/>
    </row>
    <row r="947" ht="15.75" customHeight="1" s="82">
      <c r="B947" s="2" t="n"/>
    </row>
    <row r="948" ht="15.75" customHeight="1" s="82">
      <c r="B948" s="2" t="n"/>
    </row>
    <row r="949" ht="15.75" customHeight="1" s="82">
      <c r="B949" s="2" t="n"/>
    </row>
    <row r="950" ht="15.75" customHeight="1" s="82">
      <c r="B950" s="2" t="n"/>
    </row>
    <row r="951" ht="15.75" customHeight="1" s="82">
      <c r="B951" s="2" t="n"/>
    </row>
    <row r="952" ht="15.75" customHeight="1" s="82">
      <c r="B952" s="2" t="n"/>
    </row>
    <row r="953" ht="15.75" customHeight="1" s="82">
      <c r="B953" s="2" t="n"/>
    </row>
    <row r="954" ht="15.75" customHeight="1" s="82">
      <c r="B954" s="2" t="n"/>
    </row>
    <row r="955" ht="15.75" customHeight="1" s="82">
      <c r="B955" s="2" t="n"/>
    </row>
    <row r="956" ht="15.75" customHeight="1" s="82">
      <c r="B956" s="2" t="n"/>
    </row>
    <row r="957" ht="15.75" customHeight="1" s="82">
      <c r="B957" s="2" t="n"/>
    </row>
    <row r="958" ht="15.75" customHeight="1" s="82">
      <c r="B958" s="2" t="n"/>
    </row>
    <row r="959" ht="15.75" customHeight="1" s="82">
      <c r="B959" s="2" t="n"/>
    </row>
    <row r="960" ht="15.75" customHeight="1" s="82">
      <c r="B960" s="2" t="n"/>
    </row>
    <row r="961" ht="15.75" customHeight="1" s="82">
      <c r="B961" s="2" t="n"/>
    </row>
    <row r="962" ht="15.75" customHeight="1" s="82">
      <c r="B962" s="2" t="n"/>
    </row>
    <row r="963" ht="15.75" customHeight="1" s="82">
      <c r="B963" s="2" t="n"/>
    </row>
    <row r="964" ht="15.75" customHeight="1" s="82">
      <c r="B964" s="2" t="n"/>
    </row>
    <row r="965" ht="15.75" customHeight="1" s="82">
      <c r="B965" s="2" t="n"/>
    </row>
    <row r="966" ht="15.75" customHeight="1" s="82">
      <c r="B966" s="2" t="n"/>
    </row>
    <row r="967" ht="15.75" customHeight="1" s="82">
      <c r="B967" s="2" t="n"/>
    </row>
    <row r="968" ht="15.75" customHeight="1" s="82">
      <c r="B968" s="2" t="n"/>
    </row>
    <row r="969" ht="15.75" customHeight="1" s="82">
      <c r="B969" s="2" t="n"/>
    </row>
    <row r="970" ht="15.75" customHeight="1" s="82">
      <c r="B970" s="2" t="n"/>
    </row>
    <row r="971" ht="15.75" customHeight="1" s="82">
      <c r="B971" s="2" t="n"/>
    </row>
    <row r="972" ht="15.75" customHeight="1" s="82">
      <c r="B972" s="2" t="n"/>
    </row>
    <row r="973" ht="15.75" customHeight="1" s="82">
      <c r="B973" s="2" t="n"/>
    </row>
    <row r="974" ht="15.75" customHeight="1" s="82">
      <c r="B974" s="2" t="n"/>
    </row>
    <row r="975" ht="15.75" customHeight="1" s="82">
      <c r="B975" s="2" t="n"/>
    </row>
    <row r="976" ht="15.75" customHeight="1" s="82">
      <c r="B976" s="2" t="n"/>
    </row>
    <row r="977" ht="15.75" customHeight="1" s="82">
      <c r="B977" s="2" t="n"/>
    </row>
    <row r="978" ht="15.75" customHeight="1" s="82">
      <c r="B978" s="2" t="n"/>
    </row>
    <row r="979" ht="15.75" customHeight="1" s="82">
      <c r="B979" s="2" t="n"/>
    </row>
    <row r="980" ht="15.75" customHeight="1" s="82">
      <c r="B980" s="2" t="n"/>
    </row>
    <row r="981" ht="15.75" customHeight="1" s="82">
      <c r="B981" s="2" t="n"/>
    </row>
    <row r="982" ht="15.75" customHeight="1" s="82">
      <c r="B982" s="2" t="n"/>
    </row>
    <row r="983" ht="15.75" customHeight="1" s="82">
      <c r="B983" s="2" t="n"/>
    </row>
    <row r="984" ht="15.75" customHeight="1" s="82">
      <c r="B984" s="2" t="n"/>
    </row>
    <row r="985" ht="15.75" customHeight="1" s="82">
      <c r="B985" s="2" t="n"/>
    </row>
    <row r="986" ht="15.75" customHeight="1" s="82">
      <c r="B986" s="2" t="n"/>
    </row>
    <row r="987" ht="15.75" customHeight="1" s="82">
      <c r="B987" s="2" t="n"/>
    </row>
    <row r="988" ht="15.75" customHeight="1" s="82">
      <c r="B988" s="2" t="n"/>
    </row>
    <row r="989" ht="15.75" customHeight="1" s="82">
      <c r="B989" s="2" t="n"/>
    </row>
    <row r="990" ht="15.75" customHeight="1" s="82">
      <c r="B990" s="2" t="n"/>
    </row>
    <row r="991" ht="15.75" customHeight="1" s="82">
      <c r="B991" s="2" t="n"/>
    </row>
    <row r="992" ht="15.75" customHeight="1" s="82">
      <c r="B992" s="2" t="n"/>
    </row>
    <row r="993" ht="15.75" customHeight="1" s="82">
      <c r="B993" s="2" t="n"/>
    </row>
    <row r="994" ht="15.75" customHeight="1" s="82">
      <c r="B994" s="2" t="n"/>
    </row>
    <row r="995" ht="15.75" customHeight="1" s="82">
      <c r="B995" s="2" t="n"/>
    </row>
    <row r="996" ht="15.75" customHeight="1" s="82">
      <c r="B996" s="2" t="n"/>
    </row>
    <row r="997" ht="15.75" customHeight="1" s="82">
      <c r="B997" s="2" t="n"/>
    </row>
    <row r="998" ht="15.75" customHeight="1" s="82">
      <c r="B998" s="2" t="n"/>
    </row>
    <row r="999" ht="15.75" customHeight="1" s="82">
      <c r="B999" s="2" t="n"/>
    </row>
    <row r="1000" ht="15.75" customHeight="1" s="82">
      <c r="B1000" s="2" t="n"/>
    </row>
  </sheetData>
  <hyperlinks>
    <hyperlink xmlns:r="http://schemas.openxmlformats.org/officeDocument/2006/relationships" ref="B7" r:id="rId1"/>
    <hyperlink xmlns:r="http://schemas.openxmlformats.org/officeDocument/2006/relationships" ref="D7" r:id="rId2"/>
    <hyperlink xmlns:r="http://schemas.openxmlformats.org/officeDocument/2006/relationships" ref="B14" r:id="rId3"/>
    <hyperlink xmlns:r="http://schemas.openxmlformats.org/officeDocument/2006/relationships" ref="A53" r:id="rId4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00"/>
  <sheetViews>
    <sheetView topLeftCell="F29" workbookViewId="0">
      <selection activeCell="A36" sqref="A36:AH66"/>
    </sheetView>
  </sheetViews>
  <sheetFormatPr baseColWidth="10" defaultColWidth="12.6640625" defaultRowHeight="15" customHeight="1"/>
  <cols>
    <col width="29.83203125" customWidth="1" style="82" min="1" max="1"/>
    <col width="7.6640625" customWidth="1" style="82" min="2" max="5"/>
    <col width="13.33203125" customWidth="1" style="82" min="6" max="6"/>
    <col width="7.6640625" customWidth="1" style="82" min="7" max="54"/>
  </cols>
  <sheetData>
    <row r="1" ht="14.5" customHeight="1" s="82">
      <c r="A1" s="3" t="inlineStr">
        <is>
          <t>ATB Solar - Utility PV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</row>
    <row r="2" ht="13.5" customHeight="1" s="82">
      <c r="A2" s="12" t="n"/>
      <c r="B2" s="12" t="inlineStr">
        <is>
          <t>Basis Year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12" t="n"/>
      <c r="AY2" s="12" t="n"/>
      <c r="AZ2" s="12" t="n"/>
      <c r="BA2" s="12" t="n"/>
      <c r="BB2" s="12" t="n"/>
    </row>
    <row r="3" ht="13.5" customHeight="1" s="82">
      <c r="A3" s="12" t="n"/>
      <c r="B3" s="13" t="n">
        <v>2018</v>
      </c>
      <c r="C3" s="13" t="n">
        <v>2019</v>
      </c>
      <c r="D3" s="13" t="n">
        <v>2020</v>
      </c>
      <c r="E3" s="13" t="n">
        <v>2021</v>
      </c>
      <c r="F3" s="13" t="n">
        <v>2022</v>
      </c>
      <c r="G3" s="13" t="n">
        <v>2023</v>
      </c>
      <c r="H3" s="13" t="n">
        <v>2024</v>
      </c>
      <c r="I3" s="13" t="n">
        <v>2025</v>
      </c>
      <c r="J3" s="13" t="n">
        <v>2026</v>
      </c>
      <c r="K3" s="13" t="n">
        <v>2027</v>
      </c>
      <c r="L3" s="13" t="n">
        <v>2028</v>
      </c>
      <c r="M3" s="13" t="n">
        <v>2029</v>
      </c>
      <c r="N3" s="13" t="n">
        <v>2030</v>
      </c>
      <c r="O3" s="13" t="n">
        <v>2031</v>
      </c>
      <c r="P3" s="13" t="n">
        <v>2032</v>
      </c>
      <c r="Q3" s="13" t="n">
        <v>2033</v>
      </c>
      <c r="R3" s="13" t="n">
        <v>2034</v>
      </c>
      <c r="S3" s="13" t="n">
        <v>2035</v>
      </c>
      <c r="T3" s="13" t="n">
        <v>2036</v>
      </c>
      <c r="U3" s="13" t="n">
        <v>2037</v>
      </c>
      <c r="V3" s="13" t="n">
        <v>2038</v>
      </c>
      <c r="W3" s="13" t="n">
        <v>2039</v>
      </c>
      <c r="X3" s="13" t="n">
        <v>2040</v>
      </c>
      <c r="Y3" s="13" t="n">
        <v>2041</v>
      </c>
      <c r="Z3" s="13" t="n">
        <v>2042</v>
      </c>
      <c r="AA3" s="13" t="n">
        <v>2043</v>
      </c>
      <c r="AB3" s="13" t="n">
        <v>2044</v>
      </c>
      <c r="AC3" s="13" t="n">
        <v>2045</v>
      </c>
      <c r="AD3" s="13" t="n">
        <v>2046</v>
      </c>
      <c r="AE3" s="13" t="n">
        <v>2047</v>
      </c>
      <c r="AF3" s="13" t="n">
        <v>2048</v>
      </c>
      <c r="AG3" s="13" t="n">
        <v>2049</v>
      </c>
      <c r="AH3" s="13" t="n">
        <v>2050</v>
      </c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</row>
    <row r="4" ht="13.5" customHeight="1" s="82">
      <c r="A4" s="14" t="inlineStr">
        <is>
          <t>Utility PV - Seattle - Advanced</t>
        </is>
      </c>
      <c r="B4" s="15" t="n">
        <v>0.2180283058947745</v>
      </c>
      <c r="C4" s="15" t="n">
        <v>0.2214178582543011</v>
      </c>
      <c r="D4" s="15" t="n">
        <v>0.2248074106138278</v>
      </c>
      <c r="E4" s="15" t="n">
        <v>0.2281969629733545</v>
      </c>
      <c r="F4" s="15" t="n">
        <v>0.2315865153328812</v>
      </c>
      <c r="G4" s="15" t="n">
        <v>0.2349760676924078</v>
      </c>
      <c r="H4" s="15" t="n">
        <v>0.2383656200519345</v>
      </c>
      <c r="I4" s="15" t="n">
        <v>0.2417551724114612</v>
      </c>
      <c r="J4" s="15" t="n">
        <v>0.2451447247709879</v>
      </c>
      <c r="K4" s="15" t="n">
        <v>0.2485342771305145</v>
      </c>
      <c r="L4" s="15" t="n">
        <v>0.2519238294900412</v>
      </c>
      <c r="M4" s="15" t="n">
        <v>0.2553133818495679</v>
      </c>
      <c r="N4" s="15" t="n">
        <v>0.2587029342090945</v>
      </c>
      <c r="O4" s="15" t="n">
        <v>0.2602096864973538</v>
      </c>
      <c r="P4" s="15" t="n">
        <v>0.2617164387856131</v>
      </c>
      <c r="Q4" s="15" t="n">
        <v>0.2632231910738724</v>
      </c>
      <c r="R4" s="15" t="n">
        <v>0.2647299433621317</v>
      </c>
      <c r="S4" s="15" t="n">
        <v>0.266236695650391</v>
      </c>
      <c r="T4" s="15" t="n">
        <v>0.2677434479386503</v>
      </c>
      <c r="U4" s="15" t="n">
        <v>0.2692502002269096</v>
      </c>
      <c r="V4" s="15" t="n">
        <v>0.2707569525151689</v>
      </c>
      <c r="W4" s="15" t="n">
        <v>0.2722637048034282</v>
      </c>
      <c r="X4" s="15" t="n">
        <v>0.2737704570916875</v>
      </c>
      <c r="Y4" s="15" t="n">
        <v>0.2752772093799468</v>
      </c>
      <c r="Z4" s="15" t="n">
        <v>0.2767839616682061</v>
      </c>
      <c r="AA4" s="15" t="n">
        <v>0.2782907139564654</v>
      </c>
      <c r="AB4" s="15" t="n">
        <v>0.2797974662447247</v>
      </c>
      <c r="AC4" s="15" t="n">
        <v>0.281304218532984</v>
      </c>
      <c r="AD4" s="15" t="n">
        <v>0.2828109708212433</v>
      </c>
      <c r="AE4" s="15" t="n">
        <v>0.2843177231095027</v>
      </c>
      <c r="AF4" s="15" t="n">
        <v>0.285824475397762</v>
      </c>
      <c r="AG4" s="15" t="n">
        <v>0.2873312276860213</v>
      </c>
      <c r="AH4" s="15" t="n">
        <v>0.2888379799742804</v>
      </c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</row>
    <row r="5" ht="13.5" customHeight="1" s="82">
      <c r="A5" s="12" t="inlineStr">
        <is>
          <t>Utility PV - Seattle - Moderate</t>
        </is>
      </c>
      <c r="B5" s="16" t="n">
        <v>0.2180283058947745</v>
      </c>
      <c r="C5" s="16" t="n">
        <v>0.2195715318424089</v>
      </c>
      <c r="D5" s="16" t="n">
        <v>0.2211147577900434</v>
      </c>
      <c r="E5" s="16" t="n">
        <v>0.2226579837376779</v>
      </c>
      <c r="F5" s="16" t="n">
        <v>0.2242012096853124</v>
      </c>
      <c r="G5" s="16" t="n">
        <v>0.2257444356329469</v>
      </c>
      <c r="H5" s="16" t="n">
        <v>0.2272876615805813</v>
      </c>
      <c r="I5" s="16" t="n">
        <v>0.2288308875282158</v>
      </c>
      <c r="J5" s="16" t="n">
        <v>0.2303741134758503</v>
      </c>
      <c r="K5" s="16" t="n">
        <v>0.2319173394234848</v>
      </c>
      <c r="L5" s="16" t="n">
        <v>0.2334605653711193</v>
      </c>
      <c r="M5" s="16" t="n">
        <v>0.2350037913187537</v>
      </c>
      <c r="N5" s="16" t="n">
        <v>0.2365470172663882</v>
      </c>
      <c r="O5" s="16" t="n">
        <v>0.2376548131135235</v>
      </c>
      <c r="P5" s="16" t="n">
        <v>0.2387626089606588</v>
      </c>
      <c r="Q5" s="16" t="n">
        <v>0.2398704048077941</v>
      </c>
      <c r="R5" s="16" t="n">
        <v>0.2409782006549294</v>
      </c>
      <c r="S5" s="16" t="n">
        <v>0.2420859965020647</v>
      </c>
      <c r="T5" s="16" t="n">
        <v>0.2431937923492</v>
      </c>
      <c r="U5" s="16" t="n">
        <v>0.2443015881963353</v>
      </c>
      <c r="V5" s="16" t="n">
        <v>0.2454093840434706</v>
      </c>
      <c r="W5" s="16" t="n">
        <v>0.2465171798906059</v>
      </c>
      <c r="X5" s="16" t="n">
        <v>0.2476249757377412</v>
      </c>
      <c r="Y5" s="16" t="n">
        <v>0.2487327715848765</v>
      </c>
      <c r="Z5" s="16" t="n">
        <v>0.2498405674320118</v>
      </c>
      <c r="AA5" s="16" t="n">
        <v>0.2509483632791471</v>
      </c>
      <c r="AB5" s="16" t="n">
        <v>0.2520561591262824</v>
      </c>
      <c r="AC5" s="16" t="n">
        <v>0.2531639549734178</v>
      </c>
      <c r="AD5" s="16" t="n">
        <v>0.2542717508205531</v>
      </c>
      <c r="AE5" s="16" t="n">
        <v>0.2553795466676884</v>
      </c>
      <c r="AF5" s="16" t="n">
        <v>0.2564873425148237</v>
      </c>
      <c r="AG5" s="16" t="n">
        <v>0.2575951383619591</v>
      </c>
      <c r="AH5" s="16" t="n">
        <v>0.2587029342090945</v>
      </c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</row>
    <row r="6" ht="13.5" customHeight="1" s="82">
      <c r="A6" s="17" t="inlineStr">
        <is>
          <t>Utility PV - Seattle - Conservative</t>
        </is>
      </c>
      <c r="B6" s="18" t="n">
        <v>0.2180283058947745</v>
      </c>
      <c r="C6" s="18" t="n">
        <v>0.2180283058947745</v>
      </c>
      <c r="D6" s="18" t="n">
        <v>0.2180283058947745</v>
      </c>
      <c r="E6" s="18" t="n">
        <v>0.2180283058947745</v>
      </c>
      <c r="F6" s="18" t="n">
        <v>0.2180283058947745</v>
      </c>
      <c r="G6" s="18" t="n">
        <v>0.2180283058947745</v>
      </c>
      <c r="H6" s="18" t="n">
        <v>0.2180283058947745</v>
      </c>
      <c r="I6" s="18" t="n">
        <v>0.2180283058947745</v>
      </c>
      <c r="J6" s="18" t="n">
        <v>0.2180283058947745</v>
      </c>
      <c r="K6" s="18" t="n">
        <v>0.2180283058947745</v>
      </c>
      <c r="L6" s="18" t="n">
        <v>0.2180283058947745</v>
      </c>
      <c r="M6" s="18" t="n">
        <v>0.2180283058947745</v>
      </c>
      <c r="N6" s="18" t="n">
        <v>0.2180283058947745</v>
      </c>
      <c r="O6" s="18" t="n">
        <v>0.2189542414633552</v>
      </c>
      <c r="P6" s="18" t="n">
        <v>0.2198801770319359</v>
      </c>
      <c r="Q6" s="18" t="n">
        <v>0.2208061126005166</v>
      </c>
      <c r="R6" s="18" t="n">
        <v>0.2217320481690973</v>
      </c>
      <c r="S6" s="18" t="n">
        <v>0.222657983737678</v>
      </c>
      <c r="T6" s="18" t="n">
        <v>0.2235839193062586</v>
      </c>
      <c r="U6" s="18" t="n">
        <v>0.2245098548748393</v>
      </c>
      <c r="V6" s="18" t="n">
        <v>0.22543579044342</v>
      </c>
      <c r="W6" s="18" t="n">
        <v>0.2263617260120007</v>
      </c>
      <c r="X6" s="18" t="n">
        <v>0.2272876615805814</v>
      </c>
      <c r="Y6" s="18" t="n">
        <v>0.2282135971491621</v>
      </c>
      <c r="Z6" s="18" t="n">
        <v>0.2291395327177428</v>
      </c>
      <c r="AA6" s="18" t="n">
        <v>0.2300654682863235</v>
      </c>
      <c r="AB6" s="18" t="n">
        <v>0.2309914038549042</v>
      </c>
      <c r="AC6" s="18" t="n">
        <v>0.2319173394234849</v>
      </c>
      <c r="AD6" s="18" t="n">
        <v>0.2328432749920656</v>
      </c>
      <c r="AE6" s="18" t="n">
        <v>0.2337692105606463</v>
      </c>
      <c r="AF6" s="18" t="n">
        <v>0.234695146129227</v>
      </c>
      <c r="AG6" s="18" t="n">
        <v>0.2356210816978077</v>
      </c>
      <c r="AH6" s="18" t="n">
        <v>0.2365470172663882</v>
      </c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</row>
    <row r="7" ht="13.5" customHeight="1" s="82">
      <c r="A7" s="14" t="inlineStr">
        <is>
          <t>Utility PV - Chicago - Advanced</t>
        </is>
      </c>
      <c r="B7" s="15" t="n">
        <v>0.2516553283865109</v>
      </c>
      <c r="C7" s="15" t="n">
        <v>0.2554249863093367</v>
      </c>
      <c r="D7" s="15" t="n">
        <v>0.2591946442321625</v>
      </c>
      <c r="E7" s="15" t="n">
        <v>0.2629643021549883</v>
      </c>
      <c r="F7" s="15" t="n">
        <v>0.2667339600778141</v>
      </c>
      <c r="G7" s="15" t="n">
        <v>0.2705036180006399</v>
      </c>
      <c r="H7" s="15" t="n">
        <v>0.2742732759234657</v>
      </c>
      <c r="I7" s="15" t="n">
        <v>0.2780429338462915</v>
      </c>
      <c r="J7" s="15" t="n">
        <v>0.2818125917691173</v>
      </c>
      <c r="K7" s="15" t="n">
        <v>0.2855822496919431</v>
      </c>
      <c r="L7" s="15" t="n">
        <v>0.2893519076147689</v>
      </c>
      <c r="M7" s="15" t="n">
        <v>0.2931215655375947</v>
      </c>
      <c r="N7" s="15" t="n">
        <v>0.2968912234604205</v>
      </c>
      <c r="O7" s="15" t="n">
        <v>0.2984645780827575</v>
      </c>
      <c r="P7" s="15" t="n">
        <v>0.3000379327050945</v>
      </c>
      <c r="Q7" s="15" t="n">
        <v>0.3016112873274315</v>
      </c>
      <c r="R7" s="15" t="n">
        <v>0.3031846419497685</v>
      </c>
      <c r="S7" s="15" t="n">
        <v>0.3047579965721054</v>
      </c>
      <c r="T7" s="15" t="n">
        <v>0.3063313511944424</v>
      </c>
      <c r="U7" s="15" t="n">
        <v>0.3079047058167794</v>
      </c>
      <c r="V7" s="15" t="n">
        <v>0.3094780604391164</v>
      </c>
      <c r="W7" s="15" t="n">
        <v>0.3110514150614534</v>
      </c>
      <c r="X7" s="15" t="n">
        <v>0.3126247696837904</v>
      </c>
      <c r="Y7" s="15" t="n">
        <v>0.3141981243061274</v>
      </c>
      <c r="Z7" s="15" t="n">
        <v>0.3157714789284644</v>
      </c>
      <c r="AA7" s="15" t="n">
        <v>0.3173448335508013</v>
      </c>
      <c r="AB7" s="15" t="n">
        <v>0.3189181881731383</v>
      </c>
      <c r="AC7" s="15" t="n">
        <v>0.3204915427954753</v>
      </c>
      <c r="AD7" s="15" t="n">
        <v>0.3220648974178123</v>
      </c>
      <c r="AE7" s="15" t="n">
        <v>0.3236382520401493</v>
      </c>
      <c r="AF7" s="15" t="n">
        <v>0.3252116066624863</v>
      </c>
      <c r="AG7" s="15" t="n">
        <v>0.3267849612848233</v>
      </c>
      <c r="AH7" s="15" t="n">
        <v>0.3283583159071602</v>
      </c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</row>
    <row r="8" ht="13.5" customHeight="1" s="82">
      <c r="A8" s="12" t="inlineStr">
        <is>
          <t>Utility PV - Chicago - Moderate</t>
        </is>
      </c>
      <c r="B8" s="16" t="n">
        <v>0.2516553283865109</v>
      </c>
      <c r="C8" s="16" t="n">
        <v>0.253374117649325</v>
      </c>
      <c r="D8" s="16" t="n">
        <v>0.2550929069121391</v>
      </c>
      <c r="E8" s="16" t="n">
        <v>0.2568116961749532</v>
      </c>
      <c r="F8" s="16" t="n">
        <v>0.2585304854377673</v>
      </c>
      <c r="G8" s="16" t="n">
        <v>0.2602492747005814</v>
      </c>
      <c r="H8" s="16" t="n">
        <v>0.2619680639633955</v>
      </c>
      <c r="I8" s="16" t="n">
        <v>0.2636868532262096</v>
      </c>
      <c r="J8" s="16" t="n">
        <v>0.2654056424890237</v>
      </c>
      <c r="K8" s="16" t="n">
        <v>0.2671244317518378</v>
      </c>
      <c r="L8" s="16" t="n">
        <v>0.2688432210146519</v>
      </c>
      <c r="M8" s="16" t="n">
        <v>0.270562010277466</v>
      </c>
      <c r="N8" s="16" t="n">
        <v>0.2722807995402801</v>
      </c>
      <c r="O8" s="16" t="n">
        <v>0.2735113207362871</v>
      </c>
      <c r="P8" s="16" t="n">
        <v>0.2747418419322941</v>
      </c>
      <c r="Q8" s="16" t="n">
        <v>0.2759723631283011</v>
      </c>
      <c r="R8" s="16" t="n">
        <v>0.2772028843243082</v>
      </c>
      <c r="S8" s="16" t="n">
        <v>0.2784334055203152</v>
      </c>
      <c r="T8" s="16" t="n">
        <v>0.2796639267163222</v>
      </c>
      <c r="U8" s="16" t="n">
        <v>0.2808944479123293</v>
      </c>
      <c r="V8" s="16" t="n">
        <v>0.2821249691083363</v>
      </c>
      <c r="W8" s="16" t="n">
        <v>0.2833554903043433</v>
      </c>
      <c r="X8" s="16" t="n">
        <v>0.2845860115003503</v>
      </c>
      <c r="Y8" s="16" t="n">
        <v>0.2858165326963574</v>
      </c>
      <c r="Z8" s="16" t="n">
        <v>0.2870470538923644</v>
      </c>
      <c r="AA8" s="16" t="n">
        <v>0.2882775750883714</v>
      </c>
      <c r="AB8" s="16" t="n">
        <v>0.2895080962843785</v>
      </c>
      <c r="AC8" s="16" t="n">
        <v>0.2907386174803855</v>
      </c>
      <c r="AD8" s="16" t="n">
        <v>0.2919691386763925</v>
      </c>
      <c r="AE8" s="16" t="n">
        <v>0.2931996598723995</v>
      </c>
      <c r="AF8" s="16" t="n">
        <v>0.2944301810684066</v>
      </c>
      <c r="AG8" s="16" t="n">
        <v>0.2956607022644136</v>
      </c>
      <c r="AH8" s="16" t="n">
        <v>0.2968912234604205</v>
      </c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</row>
    <row r="9" ht="13.5" customHeight="1" s="82">
      <c r="A9" s="17" t="inlineStr">
        <is>
          <t>Utility PV - Chicago - Conservative</t>
        </is>
      </c>
      <c r="B9" s="18" t="n">
        <v>0.2516553283865109</v>
      </c>
      <c r="C9" s="18" t="n">
        <v>0.2516553283865109</v>
      </c>
      <c r="D9" s="18" t="n">
        <v>0.2516553283865109</v>
      </c>
      <c r="E9" s="18" t="n">
        <v>0.2516553283865109</v>
      </c>
      <c r="F9" s="18" t="n">
        <v>0.2516553283865109</v>
      </c>
      <c r="G9" s="18" t="n">
        <v>0.2516553283865109</v>
      </c>
      <c r="H9" s="18" t="n">
        <v>0.2516553283865109</v>
      </c>
      <c r="I9" s="18" t="n">
        <v>0.2516553283865109</v>
      </c>
      <c r="J9" s="18" t="n">
        <v>0.2516553283865109</v>
      </c>
      <c r="K9" s="18" t="n">
        <v>0.2516553283865109</v>
      </c>
      <c r="L9" s="18" t="n">
        <v>0.2516553283865109</v>
      </c>
      <c r="M9" s="18" t="n">
        <v>0.2516553283865109</v>
      </c>
      <c r="N9" s="18" t="n">
        <v>0.2516553283865109</v>
      </c>
      <c r="O9" s="18" t="n">
        <v>0.2526866019441993</v>
      </c>
      <c r="P9" s="18" t="n">
        <v>0.2537178755018878</v>
      </c>
      <c r="Q9" s="18" t="n">
        <v>0.2547491490595762</v>
      </c>
      <c r="R9" s="18" t="n">
        <v>0.2557804226172647</v>
      </c>
      <c r="S9" s="18" t="n">
        <v>0.2568116961749531</v>
      </c>
      <c r="T9" s="18" t="n">
        <v>0.2578429697326416</v>
      </c>
      <c r="U9" s="18" t="n">
        <v>0.25887424329033</v>
      </c>
      <c r="V9" s="18" t="n">
        <v>0.2599055168480185</v>
      </c>
      <c r="W9" s="18" t="n">
        <v>0.2609367904057069</v>
      </c>
      <c r="X9" s="18" t="n">
        <v>0.2619680639633954</v>
      </c>
      <c r="Y9" s="18" t="n">
        <v>0.2629993375210838</v>
      </c>
      <c r="Z9" s="18" t="n">
        <v>0.2640306110787723</v>
      </c>
      <c r="AA9" s="18" t="n">
        <v>0.2650618846364607</v>
      </c>
      <c r="AB9" s="18" t="n">
        <v>0.2660931581941492</v>
      </c>
      <c r="AC9" s="18" t="n">
        <v>0.2671244317518376</v>
      </c>
      <c r="AD9" s="18" t="n">
        <v>0.2681557053095261</v>
      </c>
      <c r="AE9" s="18" t="n">
        <v>0.2691869788672145</v>
      </c>
      <c r="AF9" s="18" t="n">
        <v>0.270218252424903</v>
      </c>
      <c r="AG9" s="18" t="n">
        <v>0.2712495259825914</v>
      </c>
      <c r="AH9" s="18" t="n">
        <v>0.2722807995402801</v>
      </c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</row>
    <row r="10" ht="13.5" customHeight="1" s="82">
      <c r="A10" s="14" t="inlineStr">
        <is>
          <t>Utility PV - Kansas City - Advanced</t>
        </is>
      </c>
      <c r="B10" s="15" t="n">
        <v>0.2722383539810847</v>
      </c>
      <c r="C10" s="15" t="n">
        <v>0.2759728871882235</v>
      </c>
      <c r="D10" s="15" t="n">
        <v>0.2797074203953623</v>
      </c>
      <c r="E10" s="15" t="n">
        <v>0.2834419536025011</v>
      </c>
      <c r="F10" s="15" t="n">
        <v>0.2871764868096399</v>
      </c>
      <c r="G10" s="15" t="n">
        <v>0.2909110200167787</v>
      </c>
      <c r="H10" s="15" t="n">
        <v>0.2946455532239174</v>
      </c>
      <c r="I10" s="15" t="n">
        <v>0.2983800864310562</v>
      </c>
      <c r="J10" s="15" t="n">
        <v>0.302114619638195</v>
      </c>
      <c r="K10" s="15" t="n">
        <v>0.3058491528453338</v>
      </c>
      <c r="L10" s="15" t="n">
        <v>0.3095836860524726</v>
      </c>
      <c r="M10" s="15" t="n">
        <v>0.3133182192596114</v>
      </c>
      <c r="N10" s="15" t="n">
        <v>0.3170527524667499</v>
      </c>
      <c r="O10" s="15" t="n">
        <v>0.3188156995078552</v>
      </c>
      <c r="P10" s="15" t="n">
        <v>0.3205786465489604</v>
      </c>
      <c r="Q10" s="15" t="n">
        <v>0.3223415935900656</v>
      </c>
      <c r="R10" s="15" t="n">
        <v>0.3241045406311709</v>
      </c>
      <c r="S10" s="15" t="n">
        <v>0.3258674876722761</v>
      </c>
      <c r="T10" s="15" t="n">
        <v>0.3276304347133814</v>
      </c>
      <c r="U10" s="15" t="n">
        <v>0.3293933817544866</v>
      </c>
      <c r="V10" s="15" t="n">
        <v>0.3311563287955919</v>
      </c>
      <c r="W10" s="15" t="n">
        <v>0.3329192758366971</v>
      </c>
      <c r="X10" s="15" t="n">
        <v>0.3346822228778024</v>
      </c>
      <c r="Y10" s="15" t="n">
        <v>0.3364451699189076</v>
      </c>
      <c r="Z10" s="15" t="n">
        <v>0.3382081169600129</v>
      </c>
      <c r="AA10" s="15" t="n">
        <v>0.3399710640011181</v>
      </c>
      <c r="AB10" s="15" t="n">
        <v>0.3417340110422233</v>
      </c>
      <c r="AC10" s="15" t="n">
        <v>0.3434969580833286</v>
      </c>
      <c r="AD10" s="15" t="n">
        <v>0.3452599051244338</v>
      </c>
      <c r="AE10" s="15" t="n">
        <v>0.3470228521655391</v>
      </c>
      <c r="AF10" s="15" t="n">
        <v>0.3487857992066443</v>
      </c>
      <c r="AG10" s="15" t="n">
        <v>0.3505487462477496</v>
      </c>
      <c r="AH10" s="15" t="n">
        <v>0.3523116932888545</v>
      </c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</row>
    <row r="11" ht="13.5" customHeight="1" s="82">
      <c r="A11" s="12" t="inlineStr">
        <is>
          <t>Utility PV - Kansas City - Moderate</t>
        </is>
      </c>
      <c r="B11" s="16" t="n">
        <v>0.2722383539810847</v>
      </c>
      <c r="C11" s="16" t="n">
        <v>0.2739506102302762</v>
      </c>
      <c r="D11" s="16" t="n">
        <v>0.2756628664794676</v>
      </c>
      <c r="E11" s="16" t="n">
        <v>0.2773751227286591</v>
      </c>
      <c r="F11" s="16" t="n">
        <v>0.2790873789778506</v>
      </c>
      <c r="G11" s="16" t="n">
        <v>0.280799635227042</v>
      </c>
      <c r="H11" s="16" t="n">
        <v>0.2825118914762335</v>
      </c>
      <c r="I11" s="16" t="n">
        <v>0.284224147725425</v>
      </c>
      <c r="J11" s="16" t="n">
        <v>0.2859364039746164</v>
      </c>
      <c r="K11" s="16" t="n">
        <v>0.2876486602238079</v>
      </c>
      <c r="L11" s="16" t="n">
        <v>0.2893609164729994</v>
      </c>
      <c r="M11" s="16" t="n">
        <v>0.2910731727221909</v>
      </c>
      <c r="N11" s="16" t="n">
        <v>0.2927854289713823</v>
      </c>
      <c r="O11" s="16" t="n">
        <v>0.2939987951461507</v>
      </c>
      <c r="P11" s="16" t="n">
        <v>0.295212161320919</v>
      </c>
      <c r="Q11" s="16" t="n">
        <v>0.2964255274956874</v>
      </c>
      <c r="R11" s="16" t="n">
        <v>0.2976388936704558</v>
      </c>
      <c r="S11" s="16" t="n">
        <v>0.2988522598452241</v>
      </c>
      <c r="T11" s="16" t="n">
        <v>0.3000656260199925</v>
      </c>
      <c r="U11" s="16" t="n">
        <v>0.3012789921947608</v>
      </c>
      <c r="V11" s="16" t="n">
        <v>0.3024923583695292</v>
      </c>
      <c r="W11" s="16" t="n">
        <v>0.3037057245442976</v>
      </c>
      <c r="X11" s="16" t="n">
        <v>0.3049190907190659</v>
      </c>
      <c r="Y11" s="16" t="n">
        <v>0.3061324568938343</v>
      </c>
      <c r="Z11" s="16" t="n">
        <v>0.3073458230686026</v>
      </c>
      <c r="AA11" s="16" t="n">
        <v>0.308559189243371</v>
      </c>
      <c r="AB11" s="16" t="n">
        <v>0.3097725554181394</v>
      </c>
      <c r="AC11" s="16" t="n">
        <v>0.3109859215929077</v>
      </c>
      <c r="AD11" s="16" t="n">
        <v>0.3121992877676761</v>
      </c>
      <c r="AE11" s="16" t="n">
        <v>0.3134126539424444</v>
      </c>
      <c r="AF11" s="16" t="n">
        <v>0.3146260201172128</v>
      </c>
      <c r="AG11" s="16" t="n">
        <v>0.3158393862919812</v>
      </c>
      <c r="AH11" s="16" t="n">
        <v>0.3170527524667499</v>
      </c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</row>
    <row r="12" ht="13.5" customHeight="1" s="82">
      <c r="A12" s="17" t="inlineStr">
        <is>
          <t>Utility PV - Kansas City - Conservative</t>
        </is>
      </c>
      <c r="B12" s="18" t="n">
        <v>0.2722383539810847</v>
      </c>
      <c r="C12" s="18" t="n">
        <v>0.2722383539810847</v>
      </c>
      <c r="D12" s="18" t="n">
        <v>0.2722383539810847</v>
      </c>
      <c r="E12" s="18" t="n">
        <v>0.2722383539810847</v>
      </c>
      <c r="F12" s="18" t="n">
        <v>0.2722383539810847</v>
      </c>
      <c r="G12" s="18" t="n">
        <v>0.2722383539810847</v>
      </c>
      <c r="H12" s="18" t="n">
        <v>0.2722383539810847</v>
      </c>
      <c r="I12" s="18" t="n">
        <v>0.2722383539810847</v>
      </c>
      <c r="J12" s="18" t="n">
        <v>0.2722383539810847</v>
      </c>
      <c r="K12" s="18" t="n">
        <v>0.2722383539810847</v>
      </c>
      <c r="L12" s="18" t="n">
        <v>0.2722383539810847</v>
      </c>
      <c r="M12" s="18" t="n">
        <v>0.2722383539810847</v>
      </c>
      <c r="N12" s="18" t="n">
        <v>0.2722383539810847</v>
      </c>
      <c r="O12" s="18" t="n">
        <v>0.2732657077305996</v>
      </c>
      <c r="P12" s="18" t="n">
        <v>0.2742930614801145</v>
      </c>
      <c r="Q12" s="18" t="n">
        <v>0.2753204152296294</v>
      </c>
      <c r="R12" s="18" t="n">
        <v>0.2763477689791443</v>
      </c>
      <c r="S12" s="18" t="n">
        <v>0.2773751227286592</v>
      </c>
      <c r="T12" s="18" t="n">
        <v>0.2784024764781741</v>
      </c>
      <c r="U12" s="18" t="n">
        <v>0.279429830227689</v>
      </c>
      <c r="V12" s="18" t="n">
        <v>0.2804571839772039</v>
      </c>
      <c r="W12" s="18" t="n">
        <v>0.2814845377267188</v>
      </c>
      <c r="X12" s="18" t="n">
        <v>0.2825118914762337</v>
      </c>
      <c r="Y12" s="18" t="n">
        <v>0.2835392452257486</v>
      </c>
      <c r="Z12" s="18" t="n">
        <v>0.2845665989752635</v>
      </c>
      <c r="AA12" s="18" t="n">
        <v>0.2855939527247784</v>
      </c>
      <c r="AB12" s="18" t="n">
        <v>0.2866213064742933</v>
      </c>
      <c r="AC12" s="18" t="n">
        <v>0.2876486602238083</v>
      </c>
      <c r="AD12" s="18" t="n">
        <v>0.2886760139733232</v>
      </c>
      <c r="AE12" s="18" t="n">
        <v>0.2897033677228381</v>
      </c>
      <c r="AF12" s="18" t="n">
        <v>0.290730721472353</v>
      </c>
      <c r="AG12" s="18" t="n">
        <v>0.2917580752218679</v>
      </c>
      <c r="AH12" s="18" t="n">
        <v>0.2927854289713823</v>
      </c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</row>
    <row r="13" ht="13.5" customHeight="1" s="82">
      <c r="A13" s="14" t="inlineStr">
        <is>
          <t>Utility PV - Los Angeles - Advanced</t>
        </is>
      </c>
      <c r="B13" s="15" t="n">
        <v>0.318868969933655</v>
      </c>
      <c r="C13" s="15" t="n">
        <v>0.3224141363443593</v>
      </c>
      <c r="D13" s="15" t="n">
        <v>0.3259593027550637</v>
      </c>
      <c r="E13" s="15" t="n">
        <v>0.329504469165768</v>
      </c>
      <c r="F13" s="15" t="n">
        <v>0.3330496355764724</v>
      </c>
      <c r="G13" s="15" t="n">
        <v>0.3365948019871767</v>
      </c>
      <c r="H13" s="15" t="n">
        <v>0.3401399683978811</v>
      </c>
      <c r="I13" s="15" t="n">
        <v>0.3436851348085854</v>
      </c>
      <c r="J13" s="15" t="n">
        <v>0.3472303012192898</v>
      </c>
      <c r="K13" s="15" t="n">
        <v>0.3507754676299941</v>
      </c>
      <c r="L13" s="15" t="n">
        <v>0.3543206340406985</v>
      </c>
      <c r="M13" s="15" t="n">
        <v>0.3578658004514028</v>
      </c>
      <c r="N13" s="15" t="n">
        <v>0.3614109668621069</v>
      </c>
      <c r="O13" s="15" t="n">
        <v>0.3631659263180593</v>
      </c>
      <c r="P13" s="15" t="n">
        <v>0.3649208857740118</v>
      </c>
      <c r="Q13" s="15" t="n">
        <v>0.3666758452299642</v>
      </c>
      <c r="R13" s="15" t="n">
        <v>0.3684308046859167</v>
      </c>
      <c r="S13" s="15" t="n">
        <v>0.3701857641418691</v>
      </c>
      <c r="T13" s="15" t="n">
        <v>0.3719407235978215</v>
      </c>
      <c r="U13" s="15" t="n">
        <v>0.373695683053774</v>
      </c>
      <c r="V13" s="15" t="n">
        <v>0.3754506425097264</v>
      </c>
      <c r="W13" s="15" t="n">
        <v>0.3772056019656789</v>
      </c>
      <c r="X13" s="15" t="n">
        <v>0.3789605614216313</v>
      </c>
      <c r="Y13" s="15" t="n">
        <v>0.3807155208775838</v>
      </c>
      <c r="Z13" s="15" t="n">
        <v>0.3824704803335362</v>
      </c>
      <c r="AA13" s="15" t="n">
        <v>0.3842254397894886</v>
      </c>
      <c r="AB13" s="15" t="n">
        <v>0.3859803992454411</v>
      </c>
      <c r="AC13" s="15" t="n">
        <v>0.3877353587013935</v>
      </c>
      <c r="AD13" s="15" t="n">
        <v>0.389490318157346</v>
      </c>
      <c r="AE13" s="15" t="n">
        <v>0.3912452776132984</v>
      </c>
      <c r="AF13" s="15" t="n">
        <v>0.3930002370692509</v>
      </c>
      <c r="AG13" s="15" t="n">
        <v>0.3947551965252033</v>
      </c>
      <c r="AH13" s="15" t="n">
        <v>0.3965101559811554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</row>
    <row r="14" ht="13.5" customHeight="1" s="82">
      <c r="A14" s="12" t="inlineStr">
        <is>
          <t>Utility PV - Los Angeles - Moderate</t>
        </is>
      </c>
      <c r="B14" s="16" t="n">
        <v>0.318868969933655</v>
      </c>
      <c r="C14" s="16" t="n">
        <v>0.3205174207866848</v>
      </c>
      <c r="D14" s="16" t="n">
        <v>0.3221658716397146</v>
      </c>
      <c r="E14" s="16" t="n">
        <v>0.3238143224927443</v>
      </c>
      <c r="F14" s="16" t="n">
        <v>0.3254627733457741</v>
      </c>
      <c r="G14" s="16" t="n">
        <v>0.3271112241988039</v>
      </c>
      <c r="H14" s="16" t="n">
        <v>0.3287596750518337</v>
      </c>
      <c r="I14" s="16" t="n">
        <v>0.3304081259048635</v>
      </c>
      <c r="J14" s="16" t="n">
        <v>0.3320565767578932</v>
      </c>
      <c r="K14" s="16" t="n">
        <v>0.333705027610923</v>
      </c>
      <c r="L14" s="16" t="n">
        <v>0.3353534784639528</v>
      </c>
      <c r="M14" s="16" t="n">
        <v>0.3370019293169826</v>
      </c>
      <c r="N14" s="16" t="n">
        <v>0.3386503801700121</v>
      </c>
      <c r="O14" s="16" t="n">
        <v>0.3397884095046168</v>
      </c>
      <c r="P14" s="16" t="n">
        <v>0.3409264388392215</v>
      </c>
      <c r="Q14" s="16" t="n">
        <v>0.3420644681738262</v>
      </c>
      <c r="R14" s="16" t="n">
        <v>0.343202497508431</v>
      </c>
      <c r="S14" s="16" t="n">
        <v>0.3443405268430357</v>
      </c>
      <c r="T14" s="16" t="n">
        <v>0.3454785561776404</v>
      </c>
      <c r="U14" s="16" t="n">
        <v>0.3466165855122451</v>
      </c>
      <c r="V14" s="16" t="n">
        <v>0.3477546148468498</v>
      </c>
      <c r="W14" s="16" t="n">
        <v>0.3488926441814545</v>
      </c>
      <c r="X14" s="16" t="n">
        <v>0.3500306735160593</v>
      </c>
      <c r="Y14" s="16" t="n">
        <v>0.351168702850664</v>
      </c>
      <c r="Z14" s="16" t="n">
        <v>0.3523067321852687</v>
      </c>
      <c r="AA14" s="16" t="n">
        <v>0.3534447615198734</v>
      </c>
      <c r="AB14" s="16" t="n">
        <v>0.3545827908544781</v>
      </c>
      <c r="AC14" s="16" t="n">
        <v>0.3557208201890829</v>
      </c>
      <c r="AD14" s="16" t="n">
        <v>0.3568588495236876</v>
      </c>
      <c r="AE14" s="16" t="n">
        <v>0.3579968788582923</v>
      </c>
      <c r="AF14" s="16" t="n">
        <v>0.359134908192897</v>
      </c>
      <c r="AG14" s="16" t="n">
        <v>0.3602729375275017</v>
      </c>
      <c r="AH14" s="16" t="n">
        <v>0.3614109668621069</v>
      </c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</row>
    <row r="15" ht="13.5" customHeight="1" s="82">
      <c r="A15" s="17" t="inlineStr">
        <is>
          <t>Utility PV - Los Angeles - Conservative</t>
        </is>
      </c>
      <c r="B15" s="18" t="n">
        <v>0.318868969933655</v>
      </c>
      <c r="C15" s="18" t="n">
        <v>0.318868969933655</v>
      </c>
      <c r="D15" s="18" t="n">
        <v>0.318868969933655</v>
      </c>
      <c r="E15" s="18" t="n">
        <v>0.318868969933655</v>
      </c>
      <c r="F15" s="18" t="n">
        <v>0.318868969933655</v>
      </c>
      <c r="G15" s="18" t="n">
        <v>0.318868969933655</v>
      </c>
      <c r="H15" s="18" t="n">
        <v>0.318868969933655</v>
      </c>
      <c r="I15" s="18" t="n">
        <v>0.318868969933655</v>
      </c>
      <c r="J15" s="18" t="n">
        <v>0.318868969933655</v>
      </c>
      <c r="K15" s="18" t="n">
        <v>0.318868969933655</v>
      </c>
      <c r="L15" s="18" t="n">
        <v>0.318868969933655</v>
      </c>
      <c r="M15" s="18" t="n">
        <v>0.318868969933655</v>
      </c>
      <c r="N15" s="18" t="n">
        <v>0.318868969933655</v>
      </c>
      <c r="O15" s="18" t="n">
        <v>0.3198580404454729</v>
      </c>
      <c r="P15" s="18" t="n">
        <v>0.3208471109572907</v>
      </c>
      <c r="Q15" s="18" t="n">
        <v>0.3218361814691086</v>
      </c>
      <c r="R15" s="18" t="n">
        <v>0.3228252519809264</v>
      </c>
      <c r="S15" s="18" t="n">
        <v>0.3238143224927443</v>
      </c>
      <c r="T15" s="18" t="n">
        <v>0.3248033930045621</v>
      </c>
      <c r="U15" s="18" t="n">
        <v>0.32579246351638</v>
      </c>
      <c r="V15" s="18" t="n">
        <v>0.3267815340281978</v>
      </c>
      <c r="W15" s="18" t="n">
        <v>0.3277706045400157</v>
      </c>
      <c r="X15" s="18" t="n">
        <v>0.3287596750518335</v>
      </c>
      <c r="Y15" s="18" t="n">
        <v>0.3297487455636514</v>
      </c>
      <c r="Z15" s="18" t="n">
        <v>0.3307378160754692</v>
      </c>
      <c r="AA15" s="18" t="n">
        <v>0.3317268865872871</v>
      </c>
      <c r="AB15" s="18" t="n">
        <v>0.3327159570991049</v>
      </c>
      <c r="AC15" s="18" t="n">
        <v>0.3337050276109227</v>
      </c>
      <c r="AD15" s="18" t="n">
        <v>0.3346940981227406</v>
      </c>
      <c r="AE15" s="18" t="n">
        <v>0.3356831686345584</v>
      </c>
      <c r="AF15" s="18" t="n">
        <v>0.3366722391463763</v>
      </c>
      <c r="AG15" s="18" t="n">
        <v>0.3376613096581941</v>
      </c>
      <c r="AH15" s="18" t="n">
        <v>0.3386503801700121</v>
      </c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</row>
    <row r="16" ht="13.5" customHeight="1" s="82">
      <c r="A16" s="14" t="inlineStr">
        <is>
          <t>Utility PV - Daggett, CA - Advanced</t>
        </is>
      </c>
      <c r="B16" s="15" t="n">
        <v>0.3514619169768601</v>
      </c>
      <c r="C16" s="15" t="n">
        <v>0.3550820668148144</v>
      </c>
      <c r="D16" s="15" t="n">
        <v>0.3587022166527686</v>
      </c>
      <c r="E16" s="15" t="n">
        <v>0.3623223664907228</v>
      </c>
      <c r="F16" s="15" t="n">
        <v>0.365942516328677</v>
      </c>
      <c r="G16" s="15" t="n">
        <v>0.3695626661666312</v>
      </c>
      <c r="H16" s="15" t="n">
        <v>0.3731828160045855</v>
      </c>
      <c r="I16" s="15" t="n">
        <v>0.3768029658425397</v>
      </c>
      <c r="J16" s="15" t="n">
        <v>0.3804231156804939</v>
      </c>
      <c r="K16" s="15" t="n">
        <v>0.3840432655184481</v>
      </c>
      <c r="L16" s="15" t="n">
        <v>0.3876634153564024</v>
      </c>
      <c r="M16" s="15" t="n">
        <v>0.3912835651943566</v>
      </c>
      <c r="N16" s="15" t="n">
        <v>0.3949037150323106</v>
      </c>
      <c r="O16" s="15" t="n">
        <v>0.396752745297515</v>
      </c>
      <c r="P16" s="15" t="n">
        <v>0.3986017755627194</v>
      </c>
      <c r="Q16" s="15" t="n">
        <v>0.4004508058279238</v>
      </c>
      <c r="R16" s="15" t="n">
        <v>0.4022998360931281</v>
      </c>
      <c r="S16" s="15" t="n">
        <v>0.4041488663583325</v>
      </c>
      <c r="T16" s="15" t="n">
        <v>0.4059978966235369</v>
      </c>
      <c r="U16" s="15" t="n">
        <v>0.4078469268887413</v>
      </c>
      <c r="V16" s="15" t="n">
        <v>0.4096959571539457</v>
      </c>
      <c r="W16" s="15" t="n">
        <v>0.4115449874191501</v>
      </c>
      <c r="X16" s="15" t="n">
        <v>0.4133940176843545</v>
      </c>
      <c r="Y16" s="15" t="n">
        <v>0.4152430479495589</v>
      </c>
      <c r="Z16" s="15" t="n">
        <v>0.4170920782147632</v>
      </c>
      <c r="AA16" s="15" t="n">
        <v>0.4189411084799676</v>
      </c>
      <c r="AB16" s="15" t="n">
        <v>0.420790138745172</v>
      </c>
      <c r="AC16" s="15" t="n">
        <v>0.4226391690103764</v>
      </c>
      <c r="AD16" s="15" t="n">
        <v>0.4244881992755808</v>
      </c>
      <c r="AE16" s="15" t="n">
        <v>0.4263372295407852</v>
      </c>
      <c r="AF16" s="15" t="n">
        <v>0.4281862598059896</v>
      </c>
      <c r="AG16" s="15" t="n">
        <v>0.430035290071194</v>
      </c>
      <c r="AH16" s="15" t="n">
        <v>0.4318843203363983</v>
      </c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</row>
    <row r="17" ht="13.5" customHeight="1" s="82">
      <c r="A17" s="12" t="inlineStr">
        <is>
          <t>Utility PV - Daggett, CA - Moderate</t>
        </is>
      </c>
      <c r="B17" s="16" t="n">
        <v>0.3514619169768601</v>
      </c>
      <c r="C17" s="16" t="n">
        <v>0.3531936723141954</v>
      </c>
      <c r="D17" s="16" t="n">
        <v>0.3549254276515306</v>
      </c>
      <c r="E17" s="16" t="n">
        <v>0.3566571829888658</v>
      </c>
      <c r="F17" s="16" t="n">
        <v>0.358388938326201</v>
      </c>
      <c r="G17" s="16" t="n">
        <v>0.3601206936635362</v>
      </c>
      <c r="H17" s="16" t="n">
        <v>0.3618524490008714</v>
      </c>
      <c r="I17" s="16" t="n">
        <v>0.3635842043382067</v>
      </c>
      <c r="J17" s="16" t="n">
        <v>0.3653159596755419</v>
      </c>
      <c r="K17" s="16" t="n">
        <v>0.3670477150128771</v>
      </c>
      <c r="L17" s="16" t="n">
        <v>0.3687794703502123</v>
      </c>
      <c r="M17" s="16" t="n">
        <v>0.3705112256875475</v>
      </c>
      <c r="N17" s="16" t="n">
        <v>0.3722429810248825</v>
      </c>
      <c r="O17" s="16" t="n">
        <v>0.3733760177252539</v>
      </c>
      <c r="P17" s="16" t="n">
        <v>0.3745090544256253</v>
      </c>
      <c r="Q17" s="16" t="n">
        <v>0.3756420911259967</v>
      </c>
      <c r="R17" s="16" t="n">
        <v>0.3767751278263681</v>
      </c>
      <c r="S17" s="16" t="n">
        <v>0.3779081645267395</v>
      </c>
      <c r="T17" s="16" t="n">
        <v>0.3790412012271109</v>
      </c>
      <c r="U17" s="16" t="n">
        <v>0.3801742379274823</v>
      </c>
      <c r="V17" s="16" t="n">
        <v>0.3813072746278537</v>
      </c>
      <c r="W17" s="16" t="n">
        <v>0.3824403113282251</v>
      </c>
      <c r="X17" s="16" t="n">
        <v>0.3835733480285965</v>
      </c>
      <c r="Y17" s="16" t="n">
        <v>0.3847063847289679</v>
      </c>
      <c r="Z17" s="16" t="n">
        <v>0.3858394214293393</v>
      </c>
      <c r="AA17" s="16" t="n">
        <v>0.3869724581297107</v>
      </c>
      <c r="AB17" s="16" t="n">
        <v>0.3881054948300821</v>
      </c>
      <c r="AC17" s="16" t="n">
        <v>0.3892385315304535</v>
      </c>
      <c r="AD17" s="16" t="n">
        <v>0.3903715682308249</v>
      </c>
      <c r="AE17" s="16" t="n">
        <v>0.3915046049311963</v>
      </c>
      <c r="AF17" s="16" t="n">
        <v>0.3926376416315677</v>
      </c>
      <c r="AG17" s="16" t="n">
        <v>0.3937706783319391</v>
      </c>
      <c r="AH17" s="16" t="n">
        <v>0.3949037150323106</v>
      </c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</row>
    <row r="18" ht="13.5" customHeight="1" s="82">
      <c r="A18" s="17" t="inlineStr">
        <is>
          <t>Utility PV - Daggett, CA - Conservative</t>
        </is>
      </c>
      <c r="B18" s="18" t="n">
        <v>0.3514619169768601</v>
      </c>
      <c r="C18" s="18" t="n">
        <v>0.3514619169768601</v>
      </c>
      <c r="D18" s="18" t="n">
        <v>0.3514619169768601</v>
      </c>
      <c r="E18" s="18" t="n">
        <v>0.3514619169768601</v>
      </c>
      <c r="F18" s="18" t="n">
        <v>0.3514619169768601</v>
      </c>
      <c r="G18" s="18" t="n">
        <v>0.3514619169768601</v>
      </c>
      <c r="H18" s="18" t="n">
        <v>0.3514619169768601</v>
      </c>
      <c r="I18" s="18" t="n">
        <v>0.3514619169768601</v>
      </c>
      <c r="J18" s="18" t="n">
        <v>0.3514619169768601</v>
      </c>
      <c r="K18" s="18" t="n">
        <v>0.3514619169768601</v>
      </c>
      <c r="L18" s="18" t="n">
        <v>0.3514619169768601</v>
      </c>
      <c r="M18" s="18" t="n">
        <v>0.3514619169768601</v>
      </c>
      <c r="N18" s="18" t="n">
        <v>0.3514619169768601</v>
      </c>
      <c r="O18" s="18" t="n">
        <v>0.3525009701792612</v>
      </c>
      <c r="P18" s="18" t="n">
        <v>0.3535400233816623</v>
      </c>
      <c r="Q18" s="18" t="n">
        <v>0.3545790765840635</v>
      </c>
      <c r="R18" s="18" t="n">
        <v>0.3556181297864646</v>
      </c>
      <c r="S18" s="18" t="n">
        <v>0.3566571829888657</v>
      </c>
      <c r="T18" s="18" t="n">
        <v>0.3576962361912668</v>
      </c>
      <c r="U18" s="18" t="n">
        <v>0.3587352893936679</v>
      </c>
      <c r="V18" s="18" t="n">
        <v>0.359774342596069</v>
      </c>
      <c r="W18" s="18" t="n">
        <v>0.3608133957984701</v>
      </c>
      <c r="X18" s="18" t="n">
        <v>0.3618524490008712</v>
      </c>
      <c r="Y18" s="18" t="n">
        <v>0.3628915022032723</v>
      </c>
      <c r="Z18" s="18" t="n">
        <v>0.3639305554056734</v>
      </c>
      <c r="AA18" s="18" t="n">
        <v>0.3649696086080745</v>
      </c>
      <c r="AB18" s="18" t="n">
        <v>0.3660086618104756</v>
      </c>
      <c r="AC18" s="18" t="n">
        <v>0.3670477150128768</v>
      </c>
      <c r="AD18" s="18" t="n">
        <v>0.3680867682152779</v>
      </c>
      <c r="AE18" s="18" t="n">
        <v>0.369125821417679</v>
      </c>
      <c r="AF18" s="18" t="n">
        <v>0.3701648746200801</v>
      </c>
      <c r="AG18" s="18" t="n">
        <v>0.3712039278224812</v>
      </c>
      <c r="AH18" s="18" t="n">
        <v>0.3722429810248825</v>
      </c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</row>
    <row r="19" ht="15.75" customHeight="1" s="82">
      <c r="A19" s="2" t="n"/>
      <c r="F19" s="2" t="n"/>
    </row>
    <row r="20" ht="14.5" customHeight="1" s="82">
      <c r="A20" s="19" t="inlineStr">
        <is>
          <t>Average</t>
        </is>
      </c>
      <c r="B20" s="20">
        <f>AVERAGE(B4:B18)</f>
        <v/>
      </c>
      <c r="C20" s="20">
        <f>AVERAGE(C4:C18)</f>
        <v/>
      </c>
      <c r="D20" s="20">
        <f>AVERAGE(D4:D18)</f>
        <v/>
      </c>
      <c r="E20" s="20">
        <f>AVERAGE(E4:E18)</f>
        <v/>
      </c>
      <c r="F20" s="20">
        <f>AVERAGE(F4:F18)</f>
        <v/>
      </c>
      <c r="G20" s="20">
        <f>AVERAGE(G4:G18)</f>
        <v/>
      </c>
      <c r="H20" s="20">
        <f>AVERAGE(H4:H18)</f>
        <v/>
      </c>
      <c r="I20" s="20">
        <f>AVERAGE(I4:I18)</f>
        <v/>
      </c>
      <c r="J20" s="20">
        <f>AVERAGE(J4:J18)</f>
        <v/>
      </c>
      <c r="K20" s="20">
        <f>AVERAGE(K4:K18)</f>
        <v/>
      </c>
      <c r="L20" s="20">
        <f>AVERAGE(L4:L18)</f>
        <v/>
      </c>
      <c r="M20" s="20">
        <f>AVERAGE(M4:M18)</f>
        <v/>
      </c>
      <c r="N20" s="20">
        <f>AVERAGE(N4:N18)</f>
        <v/>
      </c>
      <c r="O20" s="20">
        <f>AVERAGE(O4:O18)</f>
        <v/>
      </c>
      <c r="P20" s="20">
        <f>AVERAGE(P4:P18)</f>
        <v/>
      </c>
      <c r="Q20" s="20">
        <f>AVERAGE(Q4:Q18)</f>
        <v/>
      </c>
      <c r="R20" s="20">
        <f>AVERAGE(R4:R18)</f>
        <v/>
      </c>
      <c r="S20" s="20">
        <f>AVERAGE(S4:S18)</f>
        <v/>
      </c>
      <c r="T20" s="20">
        <f>AVERAGE(T4:T18)</f>
        <v/>
      </c>
      <c r="U20" s="20">
        <f>AVERAGE(U4:U18)</f>
        <v/>
      </c>
      <c r="V20" s="20">
        <f>AVERAGE(V4:V18)</f>
        <v/>
      </c>
      <c r="W20" s="20">
        <f>AVERAGE(W4:W18)</f>
        <v/>
      </c>
      <c r="X20" s="20">
        <f>AVERAGE(X4:X18)</f>
        <v/>
      </c>
      <c r="Y20" s="20">
        <f>AVERAGE(Y4:Y18)</f>
        <v/>
      </c>
      <c r="Z20" s="20">
        <f>AVERAGE(Z4:Z18)</f>
        <v/>
      </c>
      <c r="AA20" s="20">
        <f>AVERAGE(AA4:AA18)</f>
        <v/>
      </c>
      <c r="AB20" s="20">
        <f>AVERAGE(AB4:AB18)</f>
        <v/>
      </c>
      <c r="AC20" s="20">
        <f>AVERAGE(AC4:AC18)</f>
        <v/>
      </c>
      <c r="AD20" s="20">
        <f>AVERAGE(AD4:AD18)</f>
        <v/>
      </c>
      <c r="AE20" s="20">
        <f>AVERAGE(AE4:AE18)</f>
        <v/>
      </c>
      <c r="AF20" s="20">
        <f>AVERAGE(AF4:AF18)</f>
        <v/>
      </c>
      <c r="AG20" s="20">
        <f>AVERAGE(AG4:AG18)</f>
        <v/>
      </c>
      <c r="AH20" s="20">
        <f>AVERAGE(AH4:AH18)</f>
        <v/>
      </c>
    </row>
    <row r="21" ht="15.75" customHeight="1" s="82">
      <c r="A21" s="2" t="n"/>
      <c r="F21" s="2" t="n"/>
    </row>
    <row r="22" ht="15.75" customHeight="1" s="82">
      <c r="A22" s="3" t="inlineStr">
        <is>
          <t>ATB Solar Thermal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</row>
    <row r="23" ht="13.5" customHeight="1" s="82">
      <c r="A23" s="12" t="n"/>
      <c r="B23" s="13" t="n">
        <v>2018</v>
      </c>
      <c r="C23" s="13" t="n">
        <v>2019</v>
      </c>
      <c r="D23" s="13" t="n">
        <v>2020</v>
      </c>
      <c r="E23" s="13" t="n">
        <v>2021</v>
      </c>
      <c r="F23" s="13" t="n">
        <v>2022</v>
      </c>
      <c r="G23" s="13" t="n">
        <v>2023</v>
      </c>
      <c r="H23" s="13" t="n">
        <v>2024</v>
      </c>
      <c r="I23" s="13" t="n">
        <v>2025</v>
      </c>
      <c r="J23" s="13" t="n">
        <v>2026</v>
      </c>
      <c r="K23" s="13" t="n">
        <v>2027</v>
      </c>
      <c r="L23" s="13" t="n">
        <v>2028</v>
      </c>
      <c r="M23" s="13" t="n">
        <v>2029</v>
      </c>
      <c r="N23" s="13" t="n">
        <v>2030</v>
      </c>
      <c r="O23" s="13" t="n">
        <v>2031</v>
      </c>
      <c r="P23" s="13" t="n">
        <v>2032</v>
      </c>
      <c r="Q23" s="13" t="n">
        <v>2033</v>
      </c>
      <c r="R23" s="13" t="n">
        <v>2034</v>
      </c>
      <c r="S23" s="13" t="n">
        <v>2035</v>
      </c>
      <c r="T23" s="13" t="n">
        <v>2036</v>
      </c>
      <c r="U23" s="13" t="n">
        <v>2037</v>
      </c>
      <c r="V23" s="13" t="n">
        <v>2038</v>
      </c>
      <c r="W23" s="13" t="n">
        <v>2039</v>
      </c>
      <c r="X23" s="13" t="n">
        <v>2040</v>
      </c>
      <c r="Y23" s="13" t="n">
        <v>2041</v>
      </c>
      <c r="Z23" s="13" t="n">
        <v>2042</v>
      </c>
      <c r="AA23" s="13" t="n">
        <v>2043</v>
      </c>
      <c r="AB23" s="13" t="n">
        <v>2044</v>
      </c>
      <c r="AC23" s="13" t="n">
        <v>2045</v>
      </c>
      <c r="AD23" s="13" t="n">
        <v>2046</v>
      </c>
      <c r="AE23" s="13" t="n">
        <v>2047</v>
      </c>
      <c r="AF23" s="13" t="n">
        <v>2048</v>
      </c>
      <c r="AG23" s="13" t="n">
        <v>2049</v>
      </c>
      <c r="AH23" s="13" t="n">
        <v>2050</v>
      </c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</row>
    <row r="24" ht="13.5" customHeight="1" s="82">
      <c r="A24" s="14" t="inlineStr">
        <is>
          <t>10hrs TES - Class 1 - Advanced</t>
        </is>
      </c>
      <c r="B24" s="15" t="n">
        <v>0.504</v>
      </c>
      <c r="C24" s="15" t="n">
        <v>0.504</v>
      </c>
      <c r="D24" s="15" t="n">
        <v>0.504</v>
      </c>
      <c r="E24" s="15" t="n">
        <v>0.504</v>
      </c>
      <c r="F24" s="15" t="n">
        <v>0.504</v>
      </c>
      <c r="G24" s="15" t="n">
        <v>0.504</v>
      </c>
      <c r="H24" s="15" t="n">
        <v>0.504</v>
      </c>
      <c r="I24" s="15" t="n">
        <v>0.504</v>
      </c>
      <c r="J24" s="15" t="n">
        <v>0.504</v>
      </c>
      <c r="K24" s="15" t="n">
        <v>0.504</v>
      </c>
      <c r="L24" s="15" t="n">
        <v>0.504</v>
      </c>
      <c r="M24" s="15" t="n">
        <v>0.504</v>
      </c>
      <c r="N24" s="15" t="n">
        <v>0.504</v>
      </c>
      <c r="O24" s="15" t="n">
        <v>0.504</v>
      </c>
      <c r="P24" s="15" t="n">
        <v>0.504</v>
      </c>
      <c r="Q24" s="15" t="n">
        <v>0.504</v>
      </c>
      <c r="R24" s="15" t="n">
        <v>0.504</v>
      </c>
      <c r="S24" s="15" t="n">
        <v>0.504</v>
      </c>
      <c r="T24" s="15" t="n">
        <v>0.504</v>
      </c>
      <c r="U24" s="15" t="n">
        <v>0.504</v>
      </c>
      <c r="V24" s="15" t="n">
        <v>0.504</v>
      </c>
      <c r="W24" s="15" t="n">
        <v>0.504</v>
      </c>
      <c r="X24" s="15" t="n">
        <v>0.504</v>
      </c>
      <c r="Y24" s="15" t="n">
        <v>0.504</v>
      </c>
      <c r="Z24" s="15" t="n">
        <v>0.504</v>
      </c>
      <c r="AA24" s="15" t="n">
        <v>0.504</v>
      </c>
      <c r="AB24" s="15" t="n">
        <v>0.504</v>
      </c>
      <c r="AC24" s="15" t="n">
        <v>0.504</v>
      </c>
      <c r="AD24" s="15" t="n">
        <v>0.504</v>
      </c>
      <c r="AE24" s="15" t="n">
        <v>0.504</v>
      </c>
      <c r="AF24" s="15" t="n">
        <v>0.504</v>
      </c>
      <c r="AG24" s="15" t="n">
        <v>0.504</v>
      </c>
      <c r="AH24" s="15" t="n">
        <v>0.504</v>
      </c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</row>
    <row r="25" ht="13.5" customHeight="1" s="82">
      <c r="A25" s="12" t="inlineStr">
        <is>
          <t>10hrs TES - Class 1 - Moderate</t>
        </is>
      </c>
      <c r="B25" s="16" t="n">
        <v>0.504</v>
      </c>
      <c r="C25" s="16" t="n">
        <v>0.504</v>
      </c>
      <c r="D25" s="16" t="n">
        <v>0.504</v>
      </c>
      <c r="E25" s="16" t="n">
        <v>0.504</v>
      </c>
      <c r="F25" s="16" t="n">
        <v>0.504</v>
      </c>
      <c r="G25" s="16" t="n">
        <v>0.504</v>
      </c>
      <c r="H25" s="16" t="n">
        <v>0.504</v>
      </c>
      <c r="I25" s="16" t="n">
        <v>0.504</v>
      </c>
      <c r="J25" s="16" t="n">
        <v>0.504</v>
      </c>
      <c r="K25" s="16" t="n">
        <v>0.504</v>
      </c>
      <c r="L25" s="16" t="n">
        <v>0.504</v>
      </c>
      <c r="M25" s="16" t="n">
        <v>0.504</v>
      </c>
      <c r="N25" s="16" t="n">
        <v>0.504</v>
      </c>
      <c r="O25" s="16" t="n">
        <v>0.504</v>
      </c>
      <c r="P25" s="16" t="n">
        <v>0.504</v>
      </c>
      <c r="Q25" s="16" t="n">
        <v>0.504</v>
      </c>
      <c r="R25" s="16" t="n">
        <v>0.504</v>
      </c>
      <c r="S25" s="16" t="n">
        <v>0.504</v>
      </c>
      <c r="T25" s="16" t="n">
        <v>0.504</v>
      </c>
      <c r="U25" s="16" t="n">
        <v>0.504</v>
      </c>
      <c r="V25" s="16" t="n">
        <v>0.504</v>
      </c>
      <c r="W25" s="16" t="n">
        <v>0.504</v>
      </c>
      <c r="X25" s="16" t="n">
        <v>0.504</v>
      </c>
      <c r="Y25" s="16" t="n">
        <v>0.504</v>
      </c>
      <c r="Z25" s="16" t="n">
        <v>0.504</v>
      </c>
      <c r="AA25" s="16" t="n">
        <v>0.504</v>
      </c>
      <c r="AB25" s="16" t="n">
        <v>0.504</v>
      </c>
      <c r="AC25" s="16" t="n">
        <v>0.504</v>
      </c>
      <c r="AD25" s="16" t="n">
        <v>0.504</v>
      </c>
      <c r="AE25" s="16" t="n">
        <v>0.504</v>
      </c>
      <c r="AF25" s="16" t="n">
        <v>0.504</v>
      </c>
      <c r="AG25" s="16" t="n">
        <v>0.504</v>
      </c>
      <c r="AH25" s="16" t="n">
        <v>0.504</v>
      </c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</row>
    <row r="26" ht="13.5" customHeight="1" s="82">
      <c r="A26" s="17" t="inlineStr">
        <is>
          <t>10hrs TES - Class 1 - Conservative</t>
        </is>
      </c>
      <c r="B26" s="18" t="n">
        <v>0.504</v>
      </c>
      <c r="C26" s="18" t="n">
        <v>0.504</v>
      </c>
      <c r="D26" s="18" t="n">
        <v>0.504</v>
      </c>
      <c r="E26" s="18" t="n">
        <v>0.504</v>
      </c>
      <c r="F26" s="18" t="n">
        <v>0.504</v>
      </c>
      <c r="G26" s="18" t="n">
        <v>0.504</v>
      </c>
      <c r="H26" s="18" t="n">
        <v>0.504</v>
      </c>
      <c r="I26" s="18" t="n">
        <v>0.504</v>
      </c>
      <c r="J26" s="18" t="n">
        <v>0.504</v>
      </c>
      <c r="K26" s="18" t="n">
        <v>0.504</v>
      </c>
      <c r="L26" s="18" t="n">
        <v>0.504</v>
      </c>
      <c r="M26" s="18" t="n">
        <v>0.504</v>
      </c>
      <c r="N26" s="18" t="n">
        <v>0.504</v>
      </c>
      <c r="O26" s="18" t="n">
        <v>0.504</v>
      </c>
      <c r="P26" s="18" t="n">
        <v>0.504</v>
      </c>
      <c r="Q26" s="18" t="n">
        <v>0.504</v>
      </c>
      <c r="R26" s="18" t="n">
        <v>0.504</v>
      </c>
      <c r="S26" s="18" t="n">
        <v>0.504</v>
      </c>
      <c r="T26" s="18" t="n">
        <v>0.504</v>
      </c>
      <c r="U26" s="18" t="n">
        <v>0.504</v>
      </c>
      <c r="V26" s="18" t="n">
        <v>0.504</v>
      </c>
      <c r="W26" s="18" t="n">
        <v>0.504</v>
      </c>
      <c r="X26" s="18" t="n">
        <v>0.504</v>
      </c>
      <c r="Y26" s="18" t="n">
        <v>0.504</v>
      </c>
      <c r="Z26" s="18" t="n">
        <v>0.504</v>
      </c>
      <c r="AA26" s="18" t="n">
        <v>0.504</v>
      </c>
      <c r="AB26" s="18" t="n">
        <v>0.504</v>
      </c>
      <c r="AC26" s="18" t="n">
        <v>0.504</v>
      </c>
      <c r="AD26" s="18" t="n">
        <v>0.504</v>
      </c>
      <c r="AE26" s="18" t="n">
        <v>0.504</v>
      </c>
      <c r="AF26" s="18" t="n">
        <v>0.504</v>
      </c>
      <c r="AG26" s="18" t="n">
        <v>0.504</v>
      </c>
      <c r="AH26" s="18" t="n">
        <v>0.504</v>
      </c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</row>
    <row r="27" ht="13.5" customHeight="1" s="82">
      <c r="A27" s="14" t="inlineStr">
        <is>
          <t>10hrs TES - Class 3 - Advanced</t>
        </is>
      </c>
      <c r="B27" s="15" t="n">
        <v>0.612</v>
      </c>
      <c r="C27" s="15" t="n">
        <v>0.612</v>
      </c>
      <c r="D27" s="15" t="n">
        <v>0.612</v>
      </c>
      <c r="E27" s="15" t="n">
        <v>0.612</v>
      </c>
      <c r="F27" s="15" t="n">
        <v>0.612</v>
      </c>
      <c r="G27" s="15" t="n">
        <v>0.612</v>
      </c>
      <c r="H27" s="15" t="n">
        <v>0.612</v>
      </c>
      <c r="I27" s="15" t="n">
        <v>0.612</v>
      </c>
      <c r="J27" s="15" t="n">
        <v>0.612</v>
      </c>
      <c r="K27" s="15" t="n">
        <v>0.612</v>
      </c>
      <c r="L27" s="15" t="n">
        <v>0.612</v>
      </c>
      <c r="M27" s="15" t="n">
        <v>0.612</v>
      </c>
      <c r="N27" s="15" t="n">
        <v>0.612</v>
      </c>
      <c r="O27" s="15" t="n">
        <v>0.612</v>
      </c>
      <c r="P27" s="15" t="n">
        <v>0.612</v>
      </c>
      <c r="Q27" s="15" t="n">
        <v>0.612</v>
      </c>
      <c r="R27" s="15" t="n">
        <v>0.612</v>
      </c>
      <c r="S27" s="15" t="n">
        <v>0.612</v>
      </c>
      <c r="T27" s="15" t="n">
        <v>0.612</v>
      </c>
      <c r="U27" s="15" t="n">
        <v>0.612</v>
      </c>
      <c r="V27" s="15" t="n">
        <v>0.612</v>
      </c>
      <c r="W27" s="15" t="n">
        <v>0.612</v>
      </c>
      <c r="X27" s="15" t="n">
        <v>0.612</v>
      </c>
      <c r="Y27" s="15" t="n">
        <v>0.612</v>
      </c>
      <c r="Z27" s="15" t="n">
        <v>0.612</v>
      </c>
      <c r="AA27" s="15" t="n">
        <v>0.612</v>
      </c>
      <c r="AB27" s="15" t="n">
        <v>0.612</v>
      </c>
      <c r="AC27" s="15" t="n">
        <v>0.612</v>
      </c>
      <c r="AD27" s="15" t="n">
        <v>0.612</v>
      </c>
      <c r="AE27" s="15" t="n">
        <v>0.612</v>
      </c>
      <c r="AF27" s="15" t="n">
        <v>0.612</v>
      </c>
      <c r="AG27" s="15" t="n">
        <v>0.612</v>
      </c>
      <c r="AH27" s="15" t="n">
        <v>0.612</v>
      </c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</row>
    <row r="28" ht="13.5" customHeight="1" s="82">
      <c r="A28" s="12" t="inlineStr">
        <is>
          <t>10hrs TES - Class 3 - Moderate</t>
        </is>
      </c>
      <c r="B28" s="16" t="n">
        <v>0.612</v>
      </c>
      <c r="C28" s="16" t="n">
        <v>0.612</v>
      </c>
      <c r="D28" s="16" t="n">
        <v>0.612</v>
      </c>
      <c r="E28" s="16" t="n">
        <v>0.612</v>
      </c>
      <c r="F28" s="16" t="n">
        <v>0.612</v>
      </c>
      <c r="G28" s="16" t="n">
        <v>0.612</v>
      </c>
      <c r="H28" s="16" t="n">
        <v>0.612</v>
      </c>
      <c r="I28" s="16" t="n">
        <v>0.612</v>
      </c>
      <c r="J28" s="16" t="n">
        <v>0.612</v>
      </c>
      <c r="K28" s="16" t="n">
        <v>0.612</v>
      </c>
      <c r="L28" s="16" t="n">
        <v>0.612</v>
      </c>
      <c r="M28" s="16" t="n">
        <v>0.612</v>
      </c>
      <c r="N28" s="16" t="n">
        <v>0.612</v>
      </c>
      <c r="O28" s="16" t="n">
        <v>0.612</v>
      </c>
      <c r="P28" s="16" t="n">
        <v>0.612</v>
      </c>
      <c r="Q28" s="16" t="n">
        <v>0.612</v>
      </c>
      <c r="R28" s="16" t="n">
        <v>0.612</v>
      </c>
      <c r="S28" s="16" t="n">
        <v>0.612</v>
      </c>
      <c r="T28" s="16" t="n">
        <v>0.612</v>
      </c>
      <c r="U28" s="16" t="n">
        <v>0.612</v>
      </c>
      <c r="V28" s="16" t="n">
        <v>0.612</v>
      </c>
      <c r="W28" s="16" t="n">
        <v>0.612</v>
      </c>
      <c r="X28" s="16" t="n">
        <v>0.612</v>
      </c>
      <c r="Y28" s="16" t="n">
        <v>0.612</v>
      </c>
      <c r="Z28" s="16" t="n">
        <v>0.612</v>
      </c>
      <c r="AA28" s="16" t="n">
        <v>0.612</v>
      </c>
      <c r="AB28" s="16" t="n">
        <v>0.612</v>
      </c>
      <c r="AC28" s="16" t="n">
        <v>0.612</v>
      </c>
      <c r="AD28" s="16" t="n">
        <v>0.612</v>
      </c>
      <c r="AE28" s="16" t="n">
        <v>0.612</v>
      </c>
      <c r="AF28" s="16" t="n">
        <v>0.612</v>
      </c>
      <c r="AG28" s="16" t="n">
        <v>0.612</v>
      </c>
      <c r="AH28" s="16" t="n">
        <v>0.612</v>
      </c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</row>
    <row r="29" ht="13.5" customHeight="1" s="82">
      <c r="A29" s="17" t="inlineStr">
        <is>
          <t>10hrs TES - Class 3 - Conservative</t>
        </is>
      </c>
      <c r="B29" s="18" t="n">
        <v>0.612</v>
      </c>
      <c r="C29" s="18" t="n">
        <v>0.612</v>
      </c>
      <c r="D29" s="18" t="n">
        <v>0.612</v>
      </c>
      <c r="E29" s="18" t="n">
        <v>0.612</v>
      </c>
      <c r="F29" s="18" t="n">
        <v>0.612</v>
      </c>
      <c r="G29" s="18" t="n">
        <v>0.612</v>
      </c>
      <c r="H29" s="18" t="n">
        <v>0.612</v>
      </c>
      <c r="I29" s="18" t="n">
        <v>0.612</v>
      </c>
      <c r="J29" s="18" t="n">
        <v>0.612</v>
      </c>
      <c r="K29" s="18" t="n">
        <v>0.612</v>
      </c>
      <c r="L29" s="18" t="n">
        <v>0.612</v>
      </c>
      <c r="M29" s="18" t="n">
        <v>0.612</v>
      </c>
      <c r="N29" s="18" t="n">
        <v>0.612</v>
      </c>
      <c r="O29" s="18" t="n">
        <v>0.612</v>
      </c>
      <c r="P29" s="18" t="n">
        <v>0.612</v>
      </c>
      <c r="Q29" s="18" t="n">
        <v>0.612</v>
      </c>
      <c r="R29" s="18" t="n">
        <v>0.612</v>
      </c>
      <c r="S29" s="18" t="n">
        <v>0.612</v>
      </c>
      <c r="T29" s="18" t="n">
        <v>0.612</v>
      </c>
      <c r="U29" s="18" t="n">
        <v>0.612</v>
      </c>
      <c r="V29" s="18" t="n">
        <v>0.612</v>
      </c>
      <c r="W29" s="18" t="n">
        <v>0.612</v>
      </c>
      <c r="X29" s="18" t="n">
        <v>0.612</v>
      </c>
      <c r="Y29" s="18" t="n">
        <v>0.612</v>
      </c>
      <c r="Z29" s="18" t="n">
        <v>0.612</v>
      </c>
      <c r="AA29" s="18" t="n">
        <v>0.612</v>
      </c>
      <c r="AB29" s="18" t="n">
        <v>0.612</v>
      </c>
      <c r="AC29" s="18" t="n">
        <v>0.612</v>
      </c>
      <c r="AD29" s="18" t="n">
        <v>0.612</v>
      </c>
      <c r="AE29" s="18" t="n">
        <v>0.612</v>
      </c>
      <c r="AF29" s="18" t="n">
        <v>0.612</v>
      </c>
      <c r="AG29" s="18" t="n">
        <v>0.612</v>
      </c>
      <c r="AH29" s="18" t="n">
        <v>0.612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</row>
    <row r="30" ht="13.5" customHeight="1" s="82">
      <c r="A30" s="14" t="inlineStr">
        <is>
          <t>10hrs TES - Class 5 - Advanced</t>
        </is>
      </c>
      <c r="B30" s="15" t="n">
        <v>0.638</v>
      </c>
      <c r="C30" s="15" t="n">
        <v>0.638</v>
      </c>
      <c r="D30" s="15" t="n">
        <v>0.638</v>
      </c>
      <c r="E30" s="15" t="n">
        <v>0.638</v>
      </c>
      <c r="F30" s="15" t="n">
        <v>0.638</v>
      </c>
      <c r="G30" s="15" t="n">
        <v>0.638</v>
      </c>
      <c r="H30" s="15" t="n">
        <v>0.638</v>
      </c>
      <c r="I30" s="15" t="n">
        <v>0.638</v>
      </c>
      <c r="J30" s="15" t="n">
        <v>0.638</v>
      </c>
      <c r="K30" s="15" t="n">
        <v>0.638</v>
      </c>
      <c r="L30" s="15" t="n">
        <v>0.638</v>
      </c>
      <c r="M30" s="15" t="n">
        <v>0.638</v>
      </c>
      <c r="N30" s="15" t="n">
        <v>0.638</v>
      </c>
      <c r="O30" s="15" t="n">
        <v>0.638</v>
      </c>
      <c r="P30" s="15" t="n">
        <v>0.638</v>
      </c>
      <c r="Q30" s="15" t="n">
        <v>0.638</v>
      </c>
      <c r="R30" s="15" t="n">
        <v>0.638</v>
      </c>
      <c r="S30" s="15" t="n">
        <v>0.638</v>
      </c>
      <c r="T30" s="15" t="n">
        <v>0.638</v>
      </c>
      <c r="U30" s="15" t="n">
        <v>0.638</v>
      </c>
      <c r="V30" s="15" t="n">
        <v>0.638</v>
      </c>
      <c r="W30" s="15" t="n">
        <v>0.638</v>
      </c>
      <c r="X30" s="15" t="n">
        <v>0.638</v>
      </c>
      <c r="Y30" s="15" t="n">
        <v>0.638</v>
      </c>
      <c r="Z30" s="15" t="n">
        <v>0.638</v>
      </c>
      <c r="AA30" s="15" t="n">
        <v>0.638</v>
      </c>
      <c r="AB30" s="15" t="n">
        <v>0.638</v>
      </c>
      <c r="AC30" s="15" t="n">
        <v>0.638</v>
      </c>
      <c r="AD30" s="15" t="n">
        <v>0.638</v>
      </c>
      <c r="AE30" s="15" t="n">
        <v>0.638</v>
      </c>
      <c r="AF30" s="15" t="n">
        <v>0.638</v>
      </c>
      <c r="AG30" s="15" t="n">
        <v>0.638</v>
      </c>
      <c r="AH30" s="15" t="n">
        <v>0.638</v>
      </c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</row>
    <row r="31" ht="13.5" customHeight="1" s="82">
      <c r="A31" s="12" t="inlineStr">
        <is>
          <t>10hrs TES - Class 5 - Moderate</t>
        </is>
      </c>
      <c r="B31" s="16" t="n">
        <v>0.638</v>
      </c>
      <c r="C31" s="16" t="n">
        <v>0.638</v>
      </c>
      <c r="D31" s="16" t="n">
        <v>0.638</v>
      </c>
      <c r="E31" s="16" t="n">
        <v>0.638</v>
      </c>
      <c r="F31" s="16" t="n">
        <v>0.638</v>
      </c>
      <c r="G31" s="16" t="n">
        <v>0.638</v>
      </c>
      <c r="H31" s="16" t="n">
        <v>0.638</v>
      </c>
      <c r="I31" s="16" t="n">
        <v>0.638</v>
      </c>
      <c r="J31" s="16" t="n">
        <v>0.638</v>
      </c>
      <c r="K31" s="16" t="n">
        <v>0.638</v>
      </c>
      <c r="L31" s="16" t="n">
        <v>0.638</v>
      </c>
      <c r="M31" s="16" t="n">
        <v>0.638</v>
      </c>
      <c r="N31" s="16" t="n">
        <v>0.638</v>
      </c>
      <c r="O31" s="16" t="n">
        <v>0.638</v>
      </c>
      <c r="P31" s="16" t="n">
        <v>0.638</v>
      </c>
      <c r="Q31" s="16" t="n">
        <v>0.638</v>
      </c>
      <c r="R31" s="16" t="n">
        <v>0.638</v>
      </c>
      <c r="S31" s="16" t="n">
        <v>0.638</v>
      </c>
      <c r="T31" s="16" t="n">
        <v>0.638</v>
      </c>
      <c r="U31" s="16" t="n">
        <v>0.638</v>
      </c>
      <c r="V31" s="16" t="n">
        <v>0.638</v>
      </c>
      <c r="W31" s="16" t="n">
        <v>0.638</v>
      </c>
      <c r="X31" s="16" t="n">
        <v>0.638</v>
      </c>
      <c r="Y31" s="16" t="n">
        <v>0.638</v>
      </c>
      <c r="Z31" s="16" t="n">
        <v>0.638</v>
      </c>
      <c r="AA31" s="16" t="n">
        <v>0.638</v>
      </c>
      <c r="AB31" s="16" t="n">
        <v>0.638</v>
      </c>
      <c r="AC31" s="16" t="n">
        <v>0.638</v>
      </c>
      <c r="AD31" s="16" t="n">
        <v>0.638</v>
      </c>
      <c r="AE31" s="16" t="n">
        <v>0.638</v>
      </c>
      <c r="AF31" s="16" t="n">
        <v>0.638</v>
      </c>
      <c r="AG31" s="16" t="n">
        <v>0.638</v>
      </c>
      <c r="AH31" s="16" t="n">
        <v>0.638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</row>
    <row r="32" ht="13.5" customHeight="1" s="82">
      <c r="A32" s="17" t="inlineStr">
        <is>
          <t>10hrs TES - Class 5 - Conservative</t>
        </is>
      </c>
      <c r="B32" s="18" t="n">
        <v>0.638</v>
      </c>
      <c r="C32" s="18" t="n">
        <v>0.638</v>
      </c>
      <c r="D32" s="18" t="n">
        <v>0.638</v>
      </c>
      <c r="E32" s="18" t="n">
        <v>0.638</v>
      </c>
      <c r="F32" s="18" t="n">
        <v>0.638</v>
      </c>
      <c r="G32" s="18" t="n">
        <v>0.638</v>
      </c>
      <c r="H32" s="18" t="n">
        <v>0.638</v>
      </c>
      <c r="I32" s="18" t="n">
        <v>0.638</v>
      </c>
      <c r="J32" s="18" t="n">
        <v>0.638</v>
      </c>
      <c r="K32" s="18" t="n">
        <v>0.638</v>
      </c>
      <c r="L32" s="18" t="n">
        <v>0.638</v>
      </c>
      <c r="M32" s="18" t="n">
        <v>0.638</v>
      </c>
      <c r="N32" s="18" t="n">
        <v>0.638</v>
      </c>
      <c r="O32" s="18" t="n">
        <v>0.638</v>
      </c>
      <c r="P32" s="18" t="n">
        <v>0.638</v>
      </c>
      <c r="Q32" s="18" t="n">
        <v>0.638</v>
      </c>
      <c r="R32" s="18" t="n">
        <v>0.638</v>
      </c>
      <c r="S32" s="18" t="n">
        <v>0.638</v>
      </c>
      <c r="T32" s="18" t="n">
        <v>0.638</v>
      </c>
      <c r="U32" s="18" t="n">
        <v>0.638</v>
      </c>
      <c r="V32" s="18" t="n">
        <v>0.638</v>
      </c>
      <c r="W32" s="18" t="n">
        <v>0.638</v>
      </c>
      <c r="X32" s="18" t="n">
        <v>0.638</v>
      </c>
      <c r="Y32" s="18" t="n">
        <v>0.638</v>
      </c>
      <c r="Z32" s="18" t="n">
        <v>0.638</v>
      </c>
      <c r="AA32" s="18" t="n">
        <v>0.638</v>
      </c>
      <c r="AB32" s="18" t="n">
        <v>0.638</v>
      </c>
      <c r="AC32" s="18" t="n">
        <v>0.638</v>
      </c>
      <c r="AD32" s="18" t="n">
        <v>0.638</v>
      </c>
      <c r="AE32" s="18" t="n">
        <v>0.638</v>
      </c>
      <c r="AF32" s="18" t="n">
        <v>0.638</v>
      </c>
      <c r="AG32" s="18" t="n">
        <v>0.638</v>
      </c>
      <c r="AH32" s="18" t="n">
        <v>0.638</v>
      </c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</row>
    <row r="33" ht="15.75" customHeight="1" s="82">
      <c r="A33" s="2" t="n"/>
      <c r="F33" s="2" t="n"/>
    </row>
    <row r="34" ht="15.75" customHeight="1" s="82">
      <c r="A34" s="2" t="n"/>
      <c r="F34" s="2" t="n"/>
    </row>
    <row r="35" ht="15.75" customHeight="1" s="82">
      <c r="A35" s="21" t="inlineStr">
        <is>
          <t>ATB Onshore Wind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</row>
    <row r="36" ht="13.5" customHeight="1" s="82">
      <c r="A36" s="12" t="n"/>
      <c r="B36" s="13" t="n">
        <v>2018</v>
      </c>
      <c r="C36" s="13" t="n">
        <v>2019</v>
      </c>
      <c r="D36" s="13" t="n">
        <v>2020</v>
      </c>
      <c r="E36" s="13" t="n">
        <v>2021</v>
      </c>
      <c r="F36" s="13" t="n">
        <v>2022</v>
      </c>
      <c r="G36" s="13" t="n">
        <v>2023</v>
      </c>
      <c r="H36" s="13" t="n">
        <v>2024</v>
      </c>
      <c r="I36" s="13" t="n">
        <v>2025</v>
      </c>
      <c r="J36" s="13" t="n">
        <v>2026</v>
      </c>
      <c r="K36" s="13" t="n">
        <v>2027</v>
      </c>
      <c r="L36" s="13" t="n">
        <v>2028</v>
      </c>
      <c r="M36" s="13" t="n">
        <v>2029</v>
      </c>
      <c r="N36" s="13" t="n">
        <v>2030</v>
      </c>
      <c r="O36" s="13" t="n">
        <v>2031</v>
      </c>
      <c r="P36" s="13" t="n">
        <v>2032</v>
      </c>
      <c r="Q36" s="13" t="n">
        <v>2033</v>
      </c>
      <c r="R36" s="13" t="n">
        <v>2034</v>
      </c>
      <c r="S36" s="13" t="n">
        <v>2035</v>
      </c>
      <c r="T36" s="13" t="n">
        <v>2036</v>
      </c>
      <c r="U36" s="13" t="n">
        <v>2037</v>
      </c>
      <c r="V36" s="13" t="n">
        <v>2038</v>
      </c>
      <c r="W36" s="13" t="n">
        <v>2039</v>
      </c>
      <c r="X36" s="13" t="n">
        <v>2040</v>
      </c>
      <c r="Y36" s="13" t="n">
        <v>2041</v>
      </c>
      <c r="Z36" s="13" t="n">
        <v>2042</v>
      </c>
      <c r="AA36" s="13" t="n">
        <v>2043</v>
      </c>
      <c r="AB36" s="13" t="n">
        <v>2044</v>
      </c>
      <c r="AC36" s="13" t="n">
        <v>2045</v>
      </c>
      <c r="AD36" s="13" t="n">
        <v>2046</v>
      </c>
      <c r="AE36" s="13" t="n">
        <v>2047</v>
      </c>
      <c r="AF36" s="13" t="n">
        <v>2048</v>
      </c>
      <c r="AG36" s="13" t="n">
        <v>2049</v>
      </c>
      <c r="AH36" s="13" t="n">
        <v>2050</v>
      </c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</row>
    <row r="37" ht="13.5" customHeight="1" s="82">
      <c r="A37" s="14" t="inlineStr">
        <is>
          <t>Class 1 - Advanced</t>
        </is>
      </c>
      <c r="B37" s="22" t="n">
        <v>0.5210360000000001</v>
      </c>
      <c r="C37" s="22" t="n">
        <v>0.5249963333333333</v>
      </c>
      <c r="D37" s="22" t="n">
        <v>0.5289566666666667</v>
      </c>
      <c r="E37" s="22" t="n">
        <v>0.5329170000000001</v>
      </c>
      <c r="F37" s="22" t="n">
        <v>0.5368773333333333</v>
      </c>
      <c r="G37" s="22" t="n">
        <v>0.5408376666666667</v>
      </c>
      <c r="H37" s="22" t="n">
        <v>0.544798</v>
      </c>
      <c r="I37" s="22" t="n">
        <v>0.5487583333333333</v>
      </c>
      <c r="J37" s="22" t="n">
        <v>0.5527186666666667</v>
      </c>
      <c r="K37" s="22" t="n">
        <v>0.5566789999999999</v>
      </c>
      <c r="L37" s="22" t="n">
        <v>0.5606393333333333</v>
      </c>
      <c r="M37" s="22" t="n">
        <v>0.5645996666666666</v>
      </c>
      <c r="N37" s="22" t="n">
        <v>0.56856</v>
      </c>
      <c r="O37" s="22" t="n">
        <v>0.56912856</v>
      </c>
      <c r="P37" s="22" t="n">
        <v>0.5696971199999999</v>
      </c>
      <c r="Q37" s="22" t="n">
        <v>0.57026568</v>
      </c>
      <c r="R37" s="22" t="n">
        <v>0.5708342399999999</v>
      </c>
      <c r="S37" s="22" t="n">
        <v>0.5714028</v>
      </c>
      <c r="T37" s="22" t="n">
        <v>0.57197136</v>
      </c>
      <c r="U37" s="22" t="n">
        <v>0.57253992</v>
      </c>
      <c r="V37" s="22" t="n">
        <v>0.5731084799999999</v>
      </c>
      <c r="W37" s="22" t="n">
        <v>0.57367704</v>
      </c>
      <c r="X37" s="22" t="n">
        <v>0.5742455999999999</v>
      </c>
      <c r="Y37" s="22" t="n">
        <v>0.57481416</v>
      </c>
      <c r="Z37" s="22" t="n">
        <v>0.57538272</v>
      </c>
      <c r="AA37" s="22" t="n">
        <v>0.57595128</v>
      </c>
      <c r="AB37" s="22" t="n">
        <v>0.57651984</v>
      </c>
      <c r="AC37" s="22" t="n">
        <v>0.5770883999999998</v>
      </c>
      <c r="AD37" s="22" t="n">
        <v>0.57765696</v>
      </c>
      <c r="AE37" s="22" t="n">
        <v>0.5782255199999999</v>
      </c>
      <c r="AF37" s="22" t="n">
        <v>0.57879408</v>
      </c>
      <c r="AG37" s="22" t="n">
        <v>0.57936264</v>
      </c>
      <c r="AH37" s="22" t="n">
        <v>0.5799312</v>
      </c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</row>
    <row r="38" ht="13.5" customHeight="1" s="82">
      <c r="A38" s="12" t="inlineStr">
        <is>
          <t>Class 1 - Moderate</t>
        </is>
      </c>
      <c r="B38" s="16" t="n">
        <v>0.5210360000000001</v>
      </c>
      <c r="C38" s="16" t="n">
        <v>0.5228105833333333</v>
      </c>
      <c r="D38" s="16" t="n">
        <v>0.5245851666666667</v>
      </c>
      <c r="E38" s="16" t="n">
        <v>0.5263597500000001</v>
      </c>
      <c r="F38" s="16" t="n">
        <v>0.5281343333333334</v>
      </c>
      <c r="G38" s="16" t="n">
        <v>0.5299089166666667</v>
      </c>
      <c r="H38" s="16" t="n">
        <v>0.5316835000000001</v>
      </c>
      <c r="I38" s="16" t="n">
        <v>0.5334580833333334</v>
      </c>
      <c r="J38" s="16" t="n">
        <v>0.5352326666666667</v>
      </c>
      <c r="K38" s="16" t="n">
        <v>0.5370072499999999</v>
      </c>
      <c r="L38" s="16" t="n">
        <v>0.5387818333333333</v>
      </c>
      <c r="M38" s="16" t="n">
        <v>0.5405564166666667</v>
      </c>
      <c r="N38" s="16" t="n">
        <v>0.542331</v>
      </c>
      <c r="O38" s="16" t="n">
        <v>0.5426021655000001</v>
      </c>
      <c r="P38" s="16" t="n">
        <v>0.542873331</v>
      </c>
      <c r="Q38" s="16" t="n">
        <v>0.5431444965000001</v>
      </c>
      <c r="R38" s="16" t="n">
        <v>0.5434156619999999</v>
      </c>
      <c r="S38" s="16" t="n">
        <v>0.5436868275</v>
      </c>
      <c r="T38" s="16" t="n">
        <v>0.543957993</v>
      </c>
      <c r="U38" s="16" t="n">
        <v>0.5442291585</v>
      </c>
      <c r="V38" s="16" t="n">
        <v>0.544500324</v>
      </c>
      <c r="W38" s="16" t="n">
        <v>0.5447714895</v>
      </c>
      <c r="X38" s="16" t="n">
        <v>0.5450426549999999</v>
      </c>
      <c r="Y38" s="16" t="n">
        <v>0.5453138205</v>
      </c>
      <c r="Z38" s="16" t="n">
        <v>0.5455849859999999</v>
      </c>
      <c r="AA38" s="16" t="n">
        <v>0.5458561515</v>
      </c>
      <c r="AB38" s="16" t="n">
        <v>0.5461273170000001</v>
      </c>
      <c r="AC38" s="16" t="n">
        <v>0.5463984825</v>
      </c>
      <c r="AD38" s="16" t="n">
        <v>0.546669648</v>
      </c>
      <c r="AE38" s="16" t="n">
        <v>0.5469408135</v>
      </c>
      <c r="AF38" s="16" t="n">
        <v>0.547211979</v>
      </c>
      <c r="AG38" s="16" t="n">
        <v>0.5474831445</v>
      </c>
      <c r="AH38" s="16" t="n">
        <v>0.54775431</v>
      </c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</row>
    <row r="39" ht="13.5" customHeight="1" s="82">
      <c r="A39" s="17" t="inlineStr">
        <is>
          <t>Class 1 - Conservative</t>
        </is>
      </c>
      <c r="B39" s="23" t="n">
        <v>0.5210360000000001</v>
      </c>
      <c r="C39" s="23" t="n">
        <v>0.5200325833333334</v>
      </c>
      <c r="D39" s="23" t="n">
        <v>0.5190291666666668</v>
      </c>
      <c r="E39" s="23" t="n">
        <v>0.5180257500000001</v>
      </c>
      <c r="F39" s="23" t="n">
        <v>0.5170223333333334</v>
      </c>
      <c r="G39" s="23" t="n">
        <v>0.5160189166666668</v>
      </c>
      <c r="H39" s="23" t="n">
        <v>0.5150155</v>
      </c>
      <c r="I39" s="23" t="n">
        <v>0.5140120833333334</v>
      </c>
      <c r="J39" s="23" t="n">
        <v>0.5130086666666667</v>
      </c>
      <c r="K39" s="23" t="n">
        <v>0.51200525</v>
      </c>
      <c r="L39" s="23" t="n">
        <v>0.5110018333333334</v>
      </c>
      <c r="M39" s="23" t="n">
        <v>0.5099984166666666</v>
      </c>
      <c r="N39" s="23" t="n">
        <v>0.508995</v>
      </c>
      <c r="O39" s="23" t="n">
        <v>0.50912224875</v>
      </c>
      <c r="P39" s="23" t="n">
        <v>0.5092494974999999</v>
      </c>
      <c r="Q39" s="23" t="n">
        <v>0.50937674625</v>
      </c>
      <c r="R39" s="23" t="n">
        <v>0.509503995</v>
      </c>
      <c r="S39" s="23" t="n">
        <v>0.50963124375</v>
      </c>
      <c r="T39" s="23" t="n">
        <v>0.5097584924999999</v>
      </c>
      <c r="U39" s="23" t="n">
        <v>0.50988574125</v>
      </c>
      <c r="V39" s="23" t="n">
        <v>0.5100129899999999</v>
      </c>
      <c r="W39" s="23" t="n">
        <v>0.5101402387499999</v>
      </c>
      <c r="X39" s="23" t="n">
        <v>0.5102674874999999</v>
      </c>
      <c r="Y39" s="23" t="n">
        <v>0.51039473625</v>
      </c>
      <c r="Z39" s="23" t="n">
        <v>0.5105219849999999</v>
      </c>
      <c r="AA39" s="23" t="n">
        <v>0.5106492337499999</v>
      </c>
      <c r="AB39" s="23" t="n">
        <v>0.5107764825</v>
      </c>
      <c r="AC39" s="23" t="n">
        <v>0.51090373125</v>
      </c>
      <c r="AD39" s="23" t="n">
        <v>0.5110309799999999</v>
      </c>
      <c r="AE39" s="23" t="n">
        <v>0.5111582287499999</v>
      </c>
      <c r="AF39" s="23" t="n">
        <v>0.5112854774999999</v>
      </c>
      <c r="AG39" s="23" t="n">
        <v>0.5114127262499999</v>
      </c>
      <c r="AH39" s="23" t="n">
        <v>0.5115399749999999</v>
      </c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</row>
    <row r="40" ht="13.5" customHeight="1" s="82">
      <c r="A40" s="14" t="inlineStr">
        <is>
          <t>Class 2 - Advanced</t>
        </is>
      </c>
      <c r="B40" s="22" t="n">
        <v>0.467398</v>
      </c>
      <c r="C40" s="22" t="n">
        <v>0.4722306666666666</v>
      </c>
      <c r="D40" s="22" t="n">
        <v>0.4770633333333333</v>
      </c>
      <c r="E40" s="22" t="n">
        <v>0.481896</v>
      </c>
      <c r="F40" s="22" t="n">
        <v>0.4867286666666666</v>
      </c>
      <c r="G40" s="22" t="n">
        <v>0.4915613333333333</v>
      </c>
      <c r="H40" s="22" t="n">
        <v>0.496394</v>
      </c>
      <c r="I40" s="22" t="n">
        <v>0.5012266666666667</v>
      </c>
      <c r="J40" s="22" t="n">
        <v>0.5060593333333333</v>
      </c>
      <c r="K40" s="22" t="n">
        <v>0.510892</v>
      </c>
      <c r="L40" s="22" t="n">
        <v>0.5157246666666667</v>
      </c>
      <c r="M40" s="22" t="n">
        <v>0.5205573333333334</v>
      </c>
      <c r="N40" s="22" t="n">
        <v>0.52539</v>
      </c>
      <c r="O40" s="22" t="n">
        <v>0.526178085</v>
      </c>
      <c r="P40" s="22" t="n">
        <v>0.52696617</v>
      </c>
      <c r="Q40" s="22" t="n">
        <v>0.5277542549999999</v>
      </c>
      <c r="R40" s="22" t="n">
        <v>0.52854234</v>
      </c>
      <c r="S40" s="22" t="n">
        <v>0.529330425</v>
      </c>
      <c r="T40" s="22" t="n">
        <v>0.5301185100000001</v>
      </c>
      <c r="U40" s="22" t="n">
        <v>0.530906595</v>
      </c>
      <c r="V40" s="22" t="n">
        <v>0.53169468</v>
      </c>
      <c r="W40" s="22" t="n">
        <v>0.532482765</v>
      </c>
      <c r="X40" s="22" t="n">
        <v>0.53327085</v>
      </c>
      <c r="Y40" s="22" t="n">
        <v>0.534058935</v>
      </c>
      <c r="Z40" s="22" t="n">
        <v>0.5348470200000001</v>
      </c>
      <c r="AA40" s="22" t="n">
        <v>0.5356351050000001</v>
      </c>
      <c r="AB40" s="22" t="n">
        <v>0.53642319</v>
      </c>
      <c r="AC40" s="22" t="n">
        <v>0.537211275</v>
      </c>
      <c r="AD40" s="22" t="n">
        <v>0.53799936</v>
      </c>
      <c r="AE40" s="22" t="n">
        <v>0.538787445</v>
      </c>
      <c r="AF40" s="22" t="n">
        <v>0.53957553</v>
      </c>
      <c r="AG40" s="22" t="n">
        <v>0.540363615</v>
      </c>
      <c r="AH40" s="22" t="n">
        <v>0.5411517</v>
      </c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</row>
    <row r="41" ht="13.5" customHeight="1" s="82">
      <c r="A41" s="12" t="inlineStr">
        <is>
          <t>Class 2 - Moderate</t>
        </is>
      </c>
      <c r="B41" s="16" t="n">
        <v>0.467398</v>
      </c>
      <c r="C41" s="16" t="n">
        <v>0.4699876666666666</v>
      </c>
      <c r="D41" s="16" t="n">
        <v>0.4725773333333333</v>
      </c>
      <c r="E41" s="16" t="n">
        <v>0.4751670000000001</v>
      </c>
      <c r="F41" s="16" t="n">
        <v>0.4777566666666666</v>
      </c>
      <c r="G41" s="16" t="n">
        <v>0.4803463333333333</v>
      </c>
      <c r="H41" s="16" t="n">
        <v>0.482936</v>
      </c>
      <c r="I41" s="16" t="n">
        <v>0.4855256666666667</v>
      </c>
      <c r="J41" s="16" t="n">
        <v>0.4881153333333333</v>
      </c>
      <c r="K41" s="16" t="n">
        <v>0.4907049999999999</v>
      </c>
      <c r="L41" s="16" t="n">
        <v>0.4932946666666666</v>
      </c>
      <c r="M41" s="16" t="n">
        <v>0.4958843333333333</v>
      </c>
      <c r="N41" s="16" t="n">
        <v>0.498474</v>
      </c>
      <c r="O41" s="16" t="n">
        <v>0.4988478554999999</v>
      </c>
      <c r="P41" s="16" t="n">
        <v>0.499221711</v>
      </c>
      <c r="Q41" s="16" t="n">
        <v>0.4995955664999999</v>
      </c>
      <c r="R41" s="16" t="n">
        <v>0.4999694219999999</v>
      </c>
      <c r="S41" s="16" t="n">
        <v>0.5003432775</v>
      </c>
      <c r="T41" s="16" t="n">
        <v>0.500717133</v>
      </c>
      <c r="U41" s="16" t="n">
        <v>0.5010909885</v>
      </c>
      <c r="V41" s="16" t="n">
        <v>0.501464844</v>
      </c>
      <c r="W41" s="16" t="n">
        <v>0.5018386994999999</v>
      </c>
      <c r="X41" s="16" t="n">
        <v>0.5022125549999999</v>
      </c>
      <c r="Y41" s="16" t="n">
        <v>0.5025864105</v>
      </c>
      <c r="Z41" s="16" t="n">
        <v>0.502960266</v>
      </c>
      <c r="AA41" s="16" t="n">
        <v>0.5033341215</v>
      </c>
      <c r="AB41" s="16" t="n">
        <v>0.503707977</v>
      </c>
      <c r="AC41" s="16" t="n">
        <v>0.5040818324999999</v>
      </c>
      <c r="AD41" s="16" t="n">
        <v>0.504455688</v>
      </c>
      <c r="AE41" s="16" t="n">
        <v>0.5048295434999999</v>
      </c>
      <c r="AF41" s="16" t="n">
        <v>0.5052033989999999</v>
      </c>
      <c r="AG41" s="16" t="n">
        <v>0.5055772544999999</v>
      </c>
      <c r="AH41" s="16" t="n">
        <v>0.5059511099999999</v>
      </c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</row>
    <row r="42" ht="13.5" customHeight="1" s="82">
      <c r="A42" s="17" t="inlineStr">
        <is>
          <t>Class 2 - Conservative</t>
        </is>
      </c>
      <c r="B42" s="23" t="n">
        <v>0.467398</v>
      </c>
      <c r="C42" s="23" t="n">
        <v>0.4673369999999999</v>
      </c>
      <c r="D42" s="23" t="n">
        <v>0.467276</v>
      </c>
      <c r="E42" s="23" t="n">
        <v>0.467215</v>
      </c>
      <c r="F42" s="23" t="n">
        <v>0.467154</v>
      </c>
      <c r="G42" s="23" t="n">
        <v>0.467093</v>
      </c>
      <c r="H42" s="23" t="n">
        <v>0.4670319999999999</v>
      </c>
      <c r="I42" s="23" t="n">
        <v>0.466971</v>
      </c>
      <c r="J42" s="23" t="n">
        <v>0.46691</v>
      </c>
      <c r="K42" s="23" t="n">
        <v>0.466849</v>
      </c>
      <c r="L42" s="23" t="n">
        <v>0.466788</v>
      </c>
      <c r="M42" s="23" t="n">
        <v>0.4667270000000001</v>
      </c>
      <c r="N42" s="23" t="n">
        <v>0.466666</v>
      </c>
      <c r="O42" s="23" t="n">
        <v>0.46684099975</v>
      </c>
      <c r="P42" s="23" t="n">
        <v>0.4670159995000001</v>
      </c>
      <c r="Q42" s="23" t="n">
        <v>0.46719099925</v>
      </c>
      <c r="R42" s="23" t="n">
        <v>0.467365999</v>
      </c>
      <c r="S42" s="23" t="n">
        <v>0.46754099875</v>
      </c>
      <c r="T42" s="23" t="n">
        <v>0.4677159985</v>
      </c>
      <c r="U42" s="23" t="n">
        <v>0.46789099825</v>
      </c>
      <c r="V42" s="23" t="n">
        <v>0.468065998</v>
      </c>
      <c r="W42" s="23" t="n">
        <v>0.4682409977500001</v>
      </c>
      <c r="X42" s="23" t="n">
        <v>0.4684159975</v>
      </c>
      <c r="Y42" s="23" t="n">
        <v>0.4685909972500001</v>
      </c>
      <c r="Z42" s="23" t="n">
        <v>0.468765997</v>
      </c>
      <c r="AA42" s="23" t="n">
        <v>0.4689409967500001</v>
      </c>
      <c r="AB42" s="23" t="n">
        <v>0.4691159965000001</v>
      </c>
      <c r="AC42" s="23" t="n">
        <v>0.46929099625</v>
      </c>
      <c r="AD42" s="23" t="n">
        <v>0.4694659960000001</v>
      </c>
      <c r="AE42" s="23" t="n">
        <v>0.46964099575</v>
      </c>
      <c r="AF42" s="23" t="n">
        <v>0.4698159955</v>
      </c>
      <c r="AG42" s="23" t="n">
        <v>0.46999099525</v>
      </c>
      <c r="AH42" s="23" t="n">
        <v>0.4701659950000001</v>
      </c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</row>
    <row r="43" ht="13.5" customHeight="1" s="82">
      <c r="A43" s="14" t="inlineStr">
        <is>
          <t>Class 3 - Advanced</t>
        </is>
      </c>
      <c r="B43" s="22" t="n">
        <v>0.446015</v>
      </c>
      <c r="C43" s="22" t="n">
        <v>0.45147075</v>
      </c>
      <c r="D43" s="22" t="n">
        <v>0.4569265</v>
      </c>
      <c r="E43" s="22" t="n">
        <v>0.4623822499999999</v>
      </c>
      <c r="F43" s="22" t="n">
        <v>0.467838</v>
      </c>
      <c r="G43" s="22" t="n">
        <v>0.47329375</v>
      </c>
      <c r="H43" s="22" t="n">
        <v>0.4787495</v>
      </c>
      <c r="I43" s="22" t="n">
        <v>0.48420525</v>
      </c>
      <c r="J43" s="22" t="n">
        <v>0.4896610000000001</v>
      </c>
      <c r="K43" s="22" t="n">
        <v>0.49511675</v>
      </c>
      <c r="L43" s="22" t="n">
        <v>0.5005725000000001</v>
      </c>
      <c r="M43" s="22" t="n">
        <v>0.5060282500000001</v>
      </c>
      <c r="N43" s="22" t="n">
        <v>0.511484</v>
      </c>
      <c r="O43" s="22" t="n">
        <v>0.5125069680000001</v>
      </c>
      <c r="P43" s="22" t="n">
        <v>0.5135299360000001</v>
      </c>
      <c r="Q43" s="22" t="n">
        <v>0.5145529040000001</v>
      </c>
      <c r="R43" s="22" t="n">
        <v>0.5155758720000001</v>
      </c>
      <c r="S43" s="22" t="n">
        <v>0.5165988400000001</v>
      </c>
      <c r="T43" s="22" t="n">
        <v>0.517621808</v>
      </c>
      <c r="U43" s="22" t="n">
        <v>0.5186447760000001</v>
      </c>
      <c r="V43" s="22" t="n">
        <v>0.519667744</v>
      </c>
      <c r="W43" s="22" t="n">
        <v>0.5206907120000001</v>
      </c>
      <c r="X43" s="22" t="n">
        <v>0.5217136800000001</v>
      </c>
      <c r="Y43" s="22" t="n">
        <v>0.5227366480000001</v>
      </c>
      <c r="Z43" s="22" t="n">
        <v>0.5237596160000001</v>
      </c>
      <c r="AA43" s="22" t="n">
        <v>0.5247825840000001</v>
      </c>
      <c r="AB43" s="22" t="n">
        <v>0.5258055520000001</v>
      </c>
      <c r="AC43" s="22" t="n">
        <v>0.5268285200000001</v>
      </c>
      <c r="AD43" s="22" t="n">
        <v>0.5278514880000001</v>
      </c>
      <c r="AE43" s="22" t="n">
        <v>0.528874456</v>
      </c>
      <c r="AF43" s="22" t="n">
        <v>0.5298974240000001</v>
      </c>
      <c r="AG43" s="22" t="n">
        <v>0.5309203920000001</v>
      </c>
      <c r="AH43" s="22" t="n">
        <v>0.5319433600000001</v>
      </c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</row>
    <row r="44" ht="13.5" customHeight="1" s="82">
      <c r="A44" s="12" t="inlineStr">
        <is>
          <t>Class 3 - Moderate</t>
        </is>
      </c>
      <c r="B44" s="16" t="n">
        <v>0.446015</v>
      </c>
      <c r="C44" s="16" t="n">
        <v>0.4492359166666666</v>
      </c>
      <c r="D44" s="16" t="n">
        <v>0.4524568333333333</v>
      </c>
      <c r="E44" s="16" t="n">
        <v>0.45567775</v>
      </c>
      <c r="F44" s="16" t="n">
        <v>0.4588986666666666</v>
      </c>
      <c r="G44" s="16" t="n">
        <v>0.4621195833333333</v>
      </c>
      <c r="H44" s="16" t="n">
        <v>0.4653404999999999</v>
      </c>
      <c r="I44" s="16" t="n">
        <v>0.4685614166666667</v>
      </c>
      <c r="J44" s="16" t="n">
        <v>0.4717823333333333</v>
      </c>
      <c r="K44" s="16" t="n">
        <v>0.47500325</v>
      </c>
      <c r="L44" s="16" t="n">
        <v>0.4782241666666667</v>
      </c>
      <c r="M44" s="16" t="n">
        <v>0.4814450833333333</v>
      </c>
      <c r="N44" s="16" t="n">
        <v>0.484666</v>
      </c>
      <c r="O44" s="16" t="n">
        <v>0.4851506659999999</v>
      </c>
      <c r="P44" s="16" t="n">
        <v>0.485635332</v>
      </c>
      <c r="Q44" s="16" t="n">
        <v>0.4861199979999999</v>
      </c>
      <c r="R44" s="16" t="n">
        <v>0.486604664</v>
      </c>
      <c r="S44" s="16" t="n">
        <v>0.48708933</v>
      </c>
      <c r="T44" s="16" t="n">
        <v>0.487573996</v>
      </c>
      <c r="U44" s="16" t="n">
        <v>0.488058662</v>
      </c>
      <c r="V44" s="16" t="n">
        <v>0.488543328</v>
      </c>
      <c r="W44" s="16" t="n">
        <v>0.4890279939999999</v>
      </c>
      <c r="X44" s="16" t="n">
        <v>0.4895126599999999</v>
      </c>
      <c r="Y44" s="16" t="n">
        <v>0.489997326</v>
      </c>
      <c r="Z44" s="16" t="n">
        <v>0.490481992</v>
      </c>
      <c r="AA44" s="16" t="n">
        <v>0.4909666579999999</v>
      </c>
      <c r="AB44" s="16" t="n">
        <v>0.491451324</v>
      </c>
      <c r="AC44" s="16" t="n">
        <v>0.49193599</v>
      </c>
      <c r="AD44" s="16" t="n">
        <v>0.492420656</v>
      </c>
      <c r="AE44" s="16" t="n">
        <v>0.492905322</v>
      </c>
      <c r="AF44" s="16" t="n">
        <v>0.4933899879999999</v>
      </c>
      <c r="AG44" s="16" t="n">
        <v>0.493874654</v>
      </c>
      <c r="AH44" s="16" t="n">
        <v>0.49435932</v>
      </c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</row>
    <row r="45" ht="13.5" customHeight="1" s="82">
      <c r="A45" s="17" t="inlineStr">
        <is>
          <t>Class 3 - Conservative</t>
        </is>
      </c>
      <c r="B45" s="18" t="n">
        <v>0.446015</v>
      </c>
      <c r="C45" s="18" t="n">
        <v>0.4466270833333333</v>
      </c>
      <c r="D45" s="18" t="n">
        <v>0.4472391666666666</v>
      </c>
      <c r="E45" s="18" t="n">
        <v>0.44785125</v>
      </c>
      <c r="F45" s="18" t="n">
        <v>0.4484633333333334</v>
      </c>
      <c r="G45" s="18" t="n">
        <v>0.4490754166666666</v>
      </c>
      <c r="H45" s="18" t="n">
        <v>0.4496875</v>
      </c>
      <c r="I45" s="18" t="n">
        <v>0.4502995833333333</v>
      </c>
      <c r="J45" s="18" t="n">
        <v>0.4509116666666667</v>
      </c>
      <c r="K45" s="18" t="n">
        <v>0.45152375</v>
      </c>
      <c r="L45" s="18" t="n">
        <v>0.4521358333333333</v>
      </c>
      <c r="M45" s="18" t="n">
        <v>0.4527479166666666</v>
      </c>
      <c r="N45" s="18" t="n">
        <v>0.45336</v>
      </c>
      <c r="O45" s="18" t="n">
        <v>0.45358668</v>
      </c>
      <c r="P45" s="18" t="n">
        <v>0.45381336</v>
      </c>
      <c r="Q45" s="18" t="n">
        <v>0.45404004</v>
      </c>
      <c r="R45" s="18" t="n">
        <v>0.45426672</v>
      </c>
      <c r="S45" s="18" t="n">
        <v>0.4544933999999999</v>
      </c>
      <c r="T45" s="18" t="n">
        <v>0.45472008</v>
      </c>
      <c r="U45" s="18" t="n">
        <v>0.45494676</v>
      </c>
      <c r="V45" s="18" t="n">
        <v>0.45517344</v>
      </c>
      <c r="W45" s="18" t="n">
        <v>0.45540012</v>
      </c>
      <c r="X45" s="18" t="n">
        <v>0.4556268</v>
      </c>
      <c r="Y45" s="18" t="n">
        <v>0.45585348</v>
      </c>
      <c r="Z45" s="18" t="n">
        <v>0.45608016</v>
      </c>
      <c r="AA45" s="18" t="n">
        <v>0.45630684</v>
      </c>
      <c r="AB45" s="18" t="n">
        <v>0.45653352</v>
      </c>
      <c r="AC45" s="18" t="n">
        <v>0.4567602</v>
      </c>
      <c r="AD45" s="18" t="n">
        <v>0.45698688</v>
      </c>
      <c r="AE45" s="18" t="n">
        <v>0.45721356</v>
      </c>
      <c r="AF45" s="18" t="n">
        <v>0.4574402400000001</v>
      </c>
      <c r="AG45" s="18" t="n">
        <v>0.45766692</v>
      </c>
      <c r="AH45" s="18" t="n">
        <v>0.4578936</v>
      </c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</row>
    <row r="46" ht="13.5" customHeight="1" s="82">
      <c r="A46" s="14" t="inlineStr">
        <is>
          <t>Class 4 - Advanced</t>
        </is>
      </c>
      <c r="B46" s="22" t="n">
        <v>0.428546</v>
      </c>
      <c r="C46" s="22" t="n">
        <v>0.4342917499999999</v>
      </c>
      <c r="D46" s="22" t="n">
        <v>0.4400375</v>
      </c>
      <c r="E46" s="22" t="n">
        <v>0.44578325</v>
      </c>
      <c r="F46" s="22" t="n">
        <v>0.451529</v>
      </c>
      <c r="G46" s="22" t="n">
        <v>0.45727475</v>
      </c>
      <c r="H46" s="22" t="n">
        <v>0.4630205</v>
      </c>
      <c r="I46" s="22" t="n">
        <v>0.46876625</v>
      </c>
      <c r="J46" s="22" t="n">
        <v>0.474512</v>
      </c>
      <c r="K46" s="22" t="n">
        <v>0.48025775</v>
      </c>
      <c r="L46" s="22" t="n">
        <v>0.4860035</v>
      </c>
      <c r="M46" s="22" t="n">
        <v>0.49174925</v>
      </c>
      <c r="N46" s="22" t="n">
        <v>0.497495</v>
      </c>
      <c r="O46" s="22" t="n">
        <v>0.4987387375</v>
      </c>
      <c r="P46" s="22" t="n">
        <v>0.499982475</v>
      </c>
      <c r="Q46" s="22" t="n">
        <v>0.5012262125</v>
      </c>
      <c r="R46" s="22" t="n">
        <v>0.5024699500000001</v>
      </c>
      <c r="S46" s="22" t="n">
        <v>0.5037136875000001</v>
      </c>
      <c r="T46" s="22" t="n">
        <v>0.5049574250000001</v>
      </c>
      <c r="U46" s="22" t="n">
        <v>0.5062011625</v>
      </c>
      <c r="V46" s="22" t="n">
        <v>0.5074449000000001</v>
      </c>
      <c r="W46" s="22" t="n">
        <v>0.5086886375</v>
      </c>
      <c r="X46" s="22" t="n">
        <v>0.509932375</v>
      </c>
      <c r="Y46" s="22" t="n">
        <v>0.5111761125000001</v>
      </c>
      <c r="Z46" s="22" t="n">
        <v>0.51241985</v>
      </c>
      <c r="AA46" s="22" t="n">
        <v>0.5136635875000001</v>
      </c>
      <c r="AB46" s="22" t="n">
        <v>0.514907325</v>
      </c>
      <c r="AC46" s="22" t="n">
        <v>0.5161510625</v>
      </c>
      <c r="AD46" s="22" t="n">
        <v>0.5173948000000002</v>
      </c>
      <c r="AE46" s="22" t="n">
        <v>0.5186385375</v>
      </c>
      <c r="AF46" s="22" t="n">
        <v>0.5198822750000001</v>
      </c>
      <c r="AG46" s="22" t="n">
        <v>0.5211260125000001</v>
      </c>
      <c r="AH46" s="22" t="n">
        <v>0.5223697500000001</v>
      </c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</row>
    <row r="47" ht="13.5" customHeight="1" s="82">
      <c r="A47" s="12" t="inlineStr">
        <is>
          <t>Class 4 - Moderate</t>
        </is>
      </c>
      <c r="B47" s="16" t="n">
        <v>0.428546</v>
      </c>
      <c r="C47" s="16" t="n">
        <v>0.4320511666666667</v>
      </c>
      <c r="D47" s="16" t="n">
        <v>0.4355563333333333</v>
      </c>
      <c r="E47" s="16" t="n">
        <v>0.4390615</v>
      </c>
      <c r="F47" s="16" t="n">
        <v>0.4425666666666667</v>
      </c>
      <c r="G47" s="16" t="n">
        <v>0.4460718333333333</v>
      </c>
      <c r="H47" s="16" t="n">
        <v>0.4495770000000001</v>
      </c>
      <c r="I47" s="16" t="n">
        <v>0.4530821666666667</v>
      </c>
      <c r="J47" s="16" t="n">
        <v>0.4565873333333334</v>
      </c>
      <c r="K47" s="16" t="n">
        <v>0.4600925</v>
      </c>
      <c r="L47" s="16" t="n">
        <v>0.4635976666666666</v>
      </c>
      <c r="M47" s="16" t="n">
        <v>0.4671028333333334</v>
      </c>
      <c r="N47" s="16" t="n">
        <v>0.470608</v>
      </c>
      <c r="O47" s="16" t="n">
        <v>0.47119626</v>
      </c>
      <c r="P47" s="16" t="n">
        <v>0.47178452</v>
      </c>
      <c r="Q47" s="16" t="n">
        <v>0.47237278</v>
      </c>
      <c r="R47" s="16" t="n">
        <v>0.4729610400000001</v>
      </c>
      <c r="S47" s="16" t="n">
        <v>0.4735493</v>
      </c>
      <c r="T47" s="16" t="n">
        <v>0.4741375600000001</v>
      </c>
      <c r="U47" s="16" t="n">
        <v>0.47472582</v>
      </c>
      <c r="V47" s="16" t="n">
        <v>0.4753140800000001</v>
      </c>
      <c r="W47" s="16" t="n">
        <v>0.47590234</v>
      </c>
      <c r="X47" s="16" t="n">
        <v>0.4764906</v>
      </c>
      <c r="Y47" s="16" t="n">
        <v>0.47707886</v>
      </c>
      <c r="Z47" s="16" t="n">
        <v>0.47766712</v>
      </c>
      <c r="AA47" s="16" t="n">
        <v>0.4782553800000001</v>
      </c>
      <c r="AB47" s="16" t="n">
        <v>0.47884364</v>
      </c>
      <c r="AC47" s="16" t="n">
        <v>0.4794319</v>
      </c>
      <c r="AD47" s="16" t="n">
        <v>0.48002016</v>
      </c>
      <c r="AE47" s="16" t="n">
        <v>0.4806084200000001</v>
      </c>
      <c r="AF47" s="16" t="n">
        <v>0.48119668</v>
      </c>
      <c r="AG47" s="16" t="n">
        <v>0.48178494</v>
      </c>
      <c r="AH47" s="16" t="n">
        <v>0.4823732</v>
      </c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</row>
    <row r="48" ht="13.5" customHeight="1" s="82">
      <c r="A48" s="17" t="inlineStr">
        <is>
          <t>Class 4 - Conservative</t>
        </is>
      </c>
      <c r="B48" s="18" t="n">
        <v>0.428546</v>
      </c>
      <c r="C48" s="18" t="n">
        <v>0.4295004166666667</v>
      </c>
      <c r="D48" s="18" t="n">
        <v>0.4304548333333333</v>
      </c>
      <c r="E48" s="18" t="n">
        <v>0.43140925</v>
      </c>
      <c r="F48" s="18" t="n">
        <v>0.4323636666666666</v>
      </c>
      <c r="G48" s="18" t="n">
        <v>0.4333180833333333</v>
      </c>
      <c r="H48" s="18" t="n">
        <v>0.4342725</v>
      </c>
      <c r="I48" s="18" t="n">
        <v>0.4352269166666667</v>
      </c>
      <c r="J48" s="18" t="n">
        <v>0.4361813333333333</v>
      </c>
      <c r="K48" s="18" t="n">
        <v>0.4371357499999999</v>
      </c>
      <c r="L48" s="18" t="n">
        <v>0.4380901666666666</v>
      </c>
      <c r="M48" s="18" t="n">
        <v>0.4390445833333333</v>
      </c>
      <c r="N48" s="18" t="n">
        <v>0.439999</v>
      </c>
      <c r="O48" s="18" t="n">
        <v>0.440273999375</v>
      </c>
      <c r="P48" s="18" t="n">
        <v>0.4405489987499999</v>
      </c>
      <c r="Q48" s="18" t="n">
        <v>0.4408239981249999</v>
      </c>
      <c r="R48" s="18" t="n">
        <v>0.4410989975</v>
      </c>
      <c r="S48" s="18" t="n">
        <v>0.4413739968749999</v>
      </c>
      <c r="T48" s="18" t="n">
        <v>0.44164899625</v>
      </c>
      <c r="U48" s="18" t="n">
        <v>0.441923995625</v>
      </c>
      <c r="V48" s="18" t="n">
        <v>0.4421989949999999</v>
      </c>
      <c r="W48" s="18" t="n">
        <v>0.442473994375</v>
      </c>
      <c r="X48" s="18" t="n">
        <v>0.4427489937499999</v>
      </c>
      <c r="Y48" s="18" t="n">
        <v>0.443023993125</v>
      </c>
      <c r="Z48" s="18" t="n">
        <v>0.4432989924999999</v>
      </c>
      <c r="AA48" s="18" t="n">
        <v>0.443573991875</v>
      </c>
      <c r="AB48" s="18" t="n">
        <v>0.44384899125</v>
      </c>
      <c r="AC48" s="18" t="n">
        <v>0.444123990625</v>
      </c>
      <c r="AD48" s="18" t="n">
        <v>0.4443989899999999</v>
      </c>
      <c r="AE48" s="18" t="n">
        <v>0.4446739893749999</v>
      </c>
      <c r="AF48" s="18" t="n">
        <v>0.4449489887499999</v>
      </c>
      <c r="AG48" s="18" t="n">
        <v>0.445223988125</v>
      </c>
      <c r="AH48" s="18" t="n">
        <v>0.4454989874999999</v>
      </c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</row>
    <row r="49" ht="13.5" customHeight="1" s="82">
      <c r="A49" s="14" t="inlineStr">
        <is>
          <t>Class 5 - Advanced</t>
        </is>
      </c>
      <c r="B49" s="22" t="n">
        <v>0.409059</v>
      </c>
      <c r="C49" s="22" t="n">
        <v>0.41496025</v>
      </c>
      <c r="D49" s="22" t="n">
        <v>0.4208615</v>
      </c>
      <c r="E49" s="22" t="n">
        <v>0.42676275</v>
      </c>
      <c r="F49" s="22" t="n">
        <v>0.432664</v>
      </c>
      <c r="G49" s="22" t="n">
        <v>0.4385652500000001</v>
      </c>
      <c r="H49" s="22" t="n">
        <v>0.4444665</v>
      </c>
      <c r="I49" s="22" t="n">
        <v>0.45036775</v>
      </c>
      <c r="J49" s="22" t="n">
        <v>0.456269</v>
      </c>
      <c r="K49" s="22" t="n">
        <v>0.46217025</v>
      </c>
      <c r="L49" s="22" t="n">
        <v>0.4680715</v>
      </c>
      <c r="M49" s="22" t="n">
        <v>0.47397275</v>
      </c>
      <c r="N49" s="22" t="n">
        <v>0.479874</v>
      </c>
      <c r="O49" s="22" t="n">
        <v>0.4813136220000001</v>
      </c>
      <c r="P49" s="22" t="n">
        <v>0.482753244</v>
      </c>
      <c r="Q49" s="22" t="n">
        <v>0.4841928660000001</v>
      </c>
      <c r="R49" s="22" t="n">
        <v>0.4856324880000001</v>
      </c>
      <c r="S49" s="22" t="n">
        <v>0.4870721100000001</v>
      </c>
      <c r="T49" s="22" t="n">
        <v>0.488511732</v>
      </c>
      <c r="U49" s="22" t="n">
        <v>0.4899513540000001</v>
      </c>
      <c r="V49" s="22" t="n">
        <v>0.491390976</v>
      </c>
      <c r="W49" s="22" t="n">
        <v>0.492830598</v>
      </c>
      <c r="X49" s="22" t="n">
        <v>0.49427022</v>
      </c>
      <c r="Y49" s="22" t="n">
        <v>0.495709842</v>
      </c>
      <c r="Z49" s="22" t="n">
        <v>0.497149464</v>
      </c>
      <c r="AA49" s="22" t="n">
        <v>0.4985890860000001</v>
      </c>
      <c r="AB49" s="22" t="n">
        <v>0.5000287080000001</v>
      </c>
      <c r="AC49" s="22" t="n">
        <v>0.50146833</v>
      </c>
      <c r="AD49" s="22" t="n">
        <v>0.502907952</v>
      </c>
      <c r="AE49" s="22" t="n">
        <v>0.5043475740000001</v>
      </c>
      <c r="AF49" s="22" t="n">
        <v>0.505787196</v>
      </c>
      <c r="AG49" s="22" t="n">
        <v>0.5072268180000001</v>
      </c>
      <c r="AH49" s="22" t="n">
        <v>0.5086664400000001</v>
      </c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</row>
    <row r="50" ht="13.5" customHeight="1" s="82">
      <c r="A50" s="12" t="inlineStr">
        <is>
          <t>Class 5 - Moderate</t>
        </is>
      </c>
      <c r="B50" s="16" t="n">
        <v>0.409059</v>
      </c>
      <c r="C50" s="16" t="n">
        <v>0.4127261666666666</v>
      </c>
      <c r="D50" s="16" t="n">
        <v>0.4163933333333333</v>
      </c>
      <c r="E50" s="16" t="n">
        <v>0.4200605</v>
      </c>
      <c r="F50" s="16" t="n">
        <v>0.4237276666666667</v>
      </c>
      <c r="G50" s="16" t="n">
        <v>0.4273948333333333</v>
      </c>
      <c r="H50" s="16" t="n">
        <v>0.431062</v>
      </c>
      <c r="I50" s="16" t="n">
        <v>0.4347291666666666</v>
      </c>
      <c r="J50" s="16" t="n">
        <v>0.4383963333333333</v>
      </c>
      <c r="K50" s="16" t="n">
        <v>0.4420635</v>
      </c>
      <c r="L50" s="16" t="n">
        <v>0.4457306666666667</v>
      </c>
      <c r="M50" s="16" t="n">
        <v>0.4493978333333333</v>
      </c>
      <c r="N50" s="16" t="n">
        <v>0.453065</v>
      </c>
      <c r="O50" s="16" t="n">
        <v>0.4537445975000001</v>
      </c>
      <c r="P50" s="16" t="n">
        <v>0.454424195</v>
      </c>
      <c r="Q50" s="16" t="n">
        <v>0.4551037925</v>
      </c>
      <c r="R50" s="16" t="n">
        <v>0.45578339</v>
      </c>
      <c r="S50" s="16" t="n">
        <v>0.4564629875</v>
      </c>
      <c r="T50" s="16" t="n">
        <v>0.457142585</v>
      </c>
      <c r="U50" s="16" t="n">
        <v>0.4578221825</v>
      </c>
      <c r="V50" s="16" t="n">
        <v>0.45850178</v>
      </c>
      <c r="W50" s="16" t="n">
        <v>0.4591813775</v>
      </c>
      <c r="X50" s="16" t="n">
        <v>0.4598609749999999</v>
      </c>
      <c r="Y50" s="16" t="n">
        <v>0.4605405725000001</v>
      </c>
      <c r="Z50" s="16" t="n">
        <v>0.46122017</v>
      </c>
      <c r="AA50" s="16" t="n">
        <v>0.4618997675</v>
      </c>
      <c r="AB50" s="16" t="n">
        <v>0.462579365</v>
      </c>
      <c r="AC50" s="16" t="n">
        <v>0.4632589625</v>
      </c>
      <c r="AD50" s="16" t="n">
        <v>0.46393856</v>
      </c>
      <c r="AE50" s="16" t="n">
        <v>0.4646181575</v>
      </c>
      <c r="AF50" s="16" t="n">
        <v>0.465297755</v>
      </c>
      <c r="AG50" s="16" t="n">
        <v>0.4659773525000001</v>
      </c>
      <c r="AH50" s="16" t="n">
        <v>0.46665695</v>
      </c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</row>
    <row r="51" ht="13.5" customHeight="1" s="82">
      <c r="A51" s="17" t="inlineStr">
        <is>
          <t>Class 5 - Conservative</t>
        </is>
      </c>
      <c r="B51" s="18" t="n">
        <v>0.409059</v>
      </c>
      <c r="C51" s="18" t="n">
        <v>0.4102488333333333</v>
      </c>
      <c r="D51" s="18" t="n">
        <v>0.4114386666666667</v>
      </c>
      <c r="E51" s="18" t="n">
        <v>0.4126285</v>
      </c>
      <c r="F51" s="18" t="n">
        <v>0.4138183333333333</v>
      </c>
      <c r="G51" s="18" t="n">
        <v>0.4150081666666667</v>
      </c>
      <c r="H51" s="18" t="n">
        <v>0.416198</v>
      </c>
      <c r="I51" s="18" t="n">
        <v>0.4173878333333333</v>
      </c>
      <c r="J51" s="18" t="n">
        <v>0.4185776666666667</v>
      </c>
      <c r="K51" s="18" t="n">
        <v>0.4197675</v>
      </c>
      <c r="L51" s="18" t="n">
        <v>0.4209573333333334</v>
      </c>
      <c r="M51" s="18" t="n">
        <v>0.4221471666666667</v>
      </c>
      <c r="N51" s="18" t="n">
        <v>0.423337</v>
      </c>
      <c r="O51" s="18" t="n">
        <v>0.42365450275</v>
      </c>
      <c r="P51" s="18" t="n">
        <v>0.4239720055</v>
      </c>
      <c r="Q51" s="18" t="n">
        <v>0.4242895082500001</v>
      </c>
      <c r="R51" s="18" t="n">
        <v>0.424607011</v>
      </c>
      <c r="S51" s="18" t="n">
        <v>0.42492451375</v>
      </c>
      <c r="T51" s="18" t="n">
        <v>0.4252420165</v>
      </c>
      <c r="U51" s="18" t="n">
        <v>0.42555951925</v>
      </c>
      <c r="V51" s="18" t="n">
        <v>0.425877022</v>
      </c>
      <c r="W51" s="18" t="n">
        <v>0.42619452475</v>
      </c>
      <c r="X51" s="18" t="n">
        <v>0.4265120274999999</v>
      </c>
      <c r="Y51" s="18" t="n">
        <v>0.42682953025</v>
      </c>
      <c r="Z51" s="18" t="n">
        <v>0.427147033</v>
      </c>
      <c r="AA51" s="18" t="n">
        <v>0.42746453575</v>
      </c>
      <c r="AB51" s="18" t="n">
        <v>0.4277820385</v>
      </c>
      <c r="AC51" s="18" t="n">
        <v>0.42809954125</v>
      </c>
      <c r="AD51" s="18" t="n">
        <v>0.428417044</v>
      </c>
      <c r="AE51" s="18" t="n">
        <v>0.42873454675</v>
      </c>
      <c r="AF51" s="18" t="n">
        <v>0.4290520495</v>
      </c>
      <c r="AG51" s="18" t="n">
        <v>0.42936955225</v>
      </c>
      <c r="AH51" s="18" t="n">
        <v>0.429687055</v>
      </c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</row>
    <row r="52" ht="13.5" customHeight="1" s="82">
      <c r="A52" s="14" t="inlineStr">
        <is>
          <t>Class 6 - Advanced</t>
        </is>
      </c>
      <c r="B52" s="22" t="n">
        <v>0.380276</v>
      </c>
      <c r="C52" s="22" t="n">
        <v>0.3862735833333333</v>
      </c>
      <c r="D52" s="22" t="n">
        <v>0.3922711666666667</v>
      </c>
      <c r="E52" s="22" t="n">
        <v>0.39826875</v>
      </c>
      <c r="F52" s="22" t="n">
        <v>0.4042663333333333</v>
      </c>
      <c r="G52" s="22" t="n">
        <v>0.4102639166666667</v>
      </c>
      <c r="H52" s="22" t="n">
        <v>0.4162615</v>
      </c>
      <c r="I52" s="22" t="n">
        <v>0.4222590833333333</v>
      </c>
      <c r="J52" s="22" t="n">
        <v>0.4282566666666667</v>
      </c>
      <c r="K52" s="22" t="n">
        <v>0.43425425</v>
      </c>
      <c r="L52" s="22" t="n">
        <v>0.4402518333333333</v>
      </c>
      <c r="M52" s="22" t="n">
        <v>0.4462494166666667</v>
      </c>
      <c r="N52" s="22" t="n">
        <v>0.452247</v>
      </c>
      <c r="O52" s="22" t="n">
        <v>0.4538298645</v>
      </c>
      <c r="P52" s="22" t="n">
        <v>0.455412729</v>
      </c>
      <c r="Q52" s="22" t="n">
        <v>0.4569955935</v>
      </c>
      <c r="R52" s="22" t="n">
        <v>0.458578458</v>
      </c>
      <c r="S52" s="22" t="n">
        <v>0.4601613225</v>
      </c>
      <c r="T52" s="22" t="n">
        <v>0.461744187</v>
      </c>
      <c r="U52" s="22" t="n">
        <v>0.4633270515</v>
      </c>
      <c r="V52" s="22" t="n">
        <v>0.464909916</v>
      </c>
      <c r="W52" s="22" t="n">
        <v>0.4664927805</v>
      </c>
      <c r="X52" s="22" t="n">
        <v>0.468075645</v>
      </c>
      <c r="Y52" s="22" t="n">
        <v>0.4696585095</v>
      </c>
      <c r="Z52" s="22" t="n">
        <v>0.471241374</v>
      </c>
      <c r="AA52" s="22" t="n">
        <v>0.4728242385</v>
      </c>
      <c r="AB52" s="22" t="n">
        <v>0.4744071030000001</v>
      </c>
      <c r="AC52" s="22" t="n">
        <v>0.4759899675</v>
      </c>
      <c r="AD52" s="22" t="n">
        <v>0.477572832</v>
      </c>
      <c r="AE52" s="22" t="n">
        <v>0.4791556965</v>
      </c>
      <c r="AF52" s="22" t="n">
        <v>0.480738561</v>
      </c>
      <c r="AG52" s="22" t="n">
        <v>0.4823214255</v>
      </c>
      <c r="AH52" s="22" t="n">
        <v>0.48390429</v>
      </c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</row>
    <row r="53" ht="13.5" customHeight="1" s="82">
      <c r="A53" s="12" t="inlineStr">
        <is>
          <t>Class 6 - Moderate</t>
        </is>
      </c>
      <c r="B53" s="16" t="n">
        <v>0.380276</v>
      </c>
      <c r="C53" s="16" t="n">
        <v>0.3844028333333334</v>
      </c>
      <c r="D53" s="16" t="n">
        <v>0.3885296666666667</v>
      </c>
      <c r="E53" s="16" t="n">
        <v>0.3926565</v>
      </c>
      <c r="F53" s="16" t="n">
        <v>0.3967833333333333</v>
      </c>
      <c r="G53" s="16" t="n">
        <v>0.4009101666666666</v>
      </c>
      <c r="H53" s="16" t="n">
        <v>0.405037</v>
      </c>
      <c r="I53" s="16" t="n">
        <v>0.4091638333333334</v>
      </c>
      <c r="J53" s="16" t="n">
        <v>0.4132906666666667</v>
      </c>
      <c r="K53" s="16" t="n">
        <v>0.4174175</v>
      </c>
      <c r="L53" s="16" t="n">
        <v>0.4215443333333333</v>
      </c>
      <c r="M53" s="16" t="n">
        <v>0.4256711666666667</v>
      </c>
      <c r="N53" s="16" t="n">
        <v>0.429798</v>
      </c>
      <c r="O53" s="16" t="n">
        <v>0.4305501465</v>
      </c>
      <c r="P53" s="16" t="n">
        <v>0.431302293</v>
      </c>
      <c r="Q53" s="16" t="n">
        <v>0.4320544395</v>
      </c>
      <c r="R53" s="16" t="n">
        <v>0.432806586</v>
      </c>
      <c r="S53" s="16" t="n">
        <v>0.4335587325</v>
      </c>
      <c r="T53" s="16" t="n">
        <v>0.434310879</v>
      </c>
      <c r="U53" s="16" t="n">
        <v>0.4350630255</v>
      </c>
      <c r="V53" s="16" t="n">
        <v>0.435815172</v>
      </c>
      <c r="W53" s="16" t="n">
        <v>0.4365673185</v>
      </c>
      <c r="X53" s="16" t="n">
        <v>0.437319465</v>
      </c>
      <c r="Y53" s="16" t="n">
        <v>0.4380716115</v>
      </c>
      <c r="Z53" s="16" t="n">
        <v>0.438823758</v>
      </c>
      <c r="AA53" s="16" t="n">
        <v>0.4395759045</v>
      </c>
      <c r="AB53" s="16" t="n">
        <v>0.440328051</v>
      </c>
      <c r="AC53" s="16" t="n">
        <v>0.4410801975</v>
      </c>
      <c r="AD53" s="16" t="n">
        <v>0.441832344</v>
      </c>
      <c r="AE53" s="16" t="n">
        <v>0.4425844905</v>
      </c>
      <c r="AF53" s="16" t="n">
        <v>0.443336637</v>
      </c>
      <c r="AG53" s="16" t="n">
        <v>0.4440887835</v>
      </c>
      <c r="AH53" s="16" t="n">
        <v>0.44484093</v>
      </c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</row>
    <row r="54" ht="13.5" customHeight="1" s="82">
      <c r="A54" s="17" t="inlineStr">
        <is>
          <t>Class 6 - Conservative</t>
        </is>
      </c>
      <c r="B54" s="18" t="n">
        <v>0.380276</v>
      </c>
      <c r="C54" s="18" t="n">
        <v>0.38170525</v>
      </c>
      <c r="D54" s="18" t="n">
        <v>0.3831345</v>
      </c>
      <c r="E54" s="18" t="n">
        <v>0.38456375</v>
      </c>
      <c r="F54" s="18" t="n">
        <v>0.385993</v>
      </c>
      <c r="G54" s="18" t="n">
        <v>0.38742225</v>
      </c>
      <c r="H54" s="18" t="n">
        <v>0.3888515</v>
      </c>
      <c r="I54" s="18" t="n">
        <v>0.39028075</v>
      </c>
      <c r="J54" s="18" t="n">
        <v>0.39171</v>
      </c>
      <c r="K54" s="18" t="n">
        <v>0.3931392499999999</v>
      </c>
      <c r="L54" s="18" t="n">
        <v>0.3945684999999999</v>
      </c>
      <c r="M54" s="18" t="n">
        <v>0.39599775</v>
      </c>
      <c r="N54" s="18" t="n">
        <v>0.397427</v>
      </c>
      <c r="O54" s="18" t="n">
        <v>0.397774748625</v>
      </c>
      <c r="P54" s="18" t="n">
        <v>0.39812249725</v>
      </c>
      <c r="Q54" s="18" t="n">
        <v>0.398470245875</v>
      </c>
      <c r="R54" s="18" t="n">
        <v>0.3988179945</v>
      </c>
      <c r="S54" s="18" t="n">
        <v>0.399165743125</v>
      </c>
      <c r="T54" s="18" t="n">
        <v>0.3995134917499999</v>
      </c>
      <c r="U54" s="18" t="n">
        <v>0.399861240375</v>
      </c>
      <c r="V54" s="18" t="n">
        <v>0.400208989</v>
      </c>
      <c r="W54" s="18" t="n">
        <v>0.4005567376249999</v>
      </c>
      <c r="X54" s="18" t="n">
        <v>0.40090448625</v>
      </c>
      <c r="Y54" s="18" t="n">
        <v>0.401252234875</v>
      </c>
      <c r="Z54" s="18" t="n">
        <v>0.4015999835</v>
      </c>
      <c r="AA54" s="18" t="n">
        <v>0.401947732125</v>
      </c>
      <c r="AB54" s="18" t="n">
        <v>0.40229548075</v>
      </c>
      <c r="AC54" s="18" t="n">
        <v>0.402643229375</v>
      </c>
      <c r="AD54" s="18" t="n">
        <v>0.4029909780000001</v>
      </c>
      <c r="AE54" s="18" t="n">
        <v>0.403338726625</v>
      </c>
      <c r="AF54" s="18" t="n">
        <v>0.40368647525</v>
      </c>
      <c r="AG54" s="18" t="n">
        <v>0.404034223875</v>
      </c>
      <c r="AH54" s="18" t="n">
        <v>0.4043819725</v>
      </c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</row>
    <row r="55" ht="13.5" customHeight="1" s="82">
      <c r="A55" s="14" t="inlineStr">
        <is>
          <t>Class 7 - Advanced</t>
        </is>
      </c>
      <c r="B55" s="22" t="n">
        <v>0.3451</v>
      </c>
      <c r="C55" s="22" t="n">
        <v>0.3509643333333334</v>
      </c>
      <c r="D55" s="22" t="n">
        <v>0.3568286666666667</v>
      </c>
      <c r="E55" s="22" t="n">
        <v>0.362693</v>
      </c>
      <c r="F55" s="22" t="n">
        <v>0.3685573333333333</v>
      </c>
      <c r="G55" s="22" t="n">
        <v>0.3744216666666667</v>
      </c>
      <c r="H55" s="22" t="n">
        <v>0.3802860000000001</v>
      </c>
      <c r="I55" s="22" t="n">
        <v>0.3861503333333334</v>
      </c>
      <c r="J55" s="22" t="n">
        <v>0.3920146666666667</v>
      </c>
      <c r="K55" s="22" t="n">
        <v>0.397879</v>
      </c>
      <c r="L55" s="22" t="n">
        <v>0.4037433333333333</v>
      </c>
      <c r="M55" s="22" t="n">
        <v>0.4096076666666668</v>
      </c>
      <c r="N55" s="22" t="n">
        <v>0.415472</v>
      </c>
      <c r="O55" s="22" t="n">
        <v>0.4171338880000001</v>
      </c>
      <c r="P55" s="22" t="n">
        <v>0.418795776</v>
      </c>
      <c r="Q55" s="22" t="n">
        <v>0.420457664</v>
      </c>
      <c r="R55" s="22" t="n">
        <v>0.422119552</v>
      </c>
      <c r="S55" s="22" t="n">
        <v>0.42378144</v>
      </c>
      <c r="T55" s="22" t="n">
        <v>0.4254433280000001</v>
      </c>
      <c r="U55" s="22" t="n">
        <v>0.427105216</v>
      </c>
      <c r="V55" s="22" t="n">
        <v>0.428767104</v>
      </c>
      <c r="W55" s="22" t="n">
        <v>0.4304289920000001</v>
      </c>
      <c r="X55" s="22" t="n">
        <v>0.43209088</v>
      </c>
      <c r="Y55" s="22" t="n">
        <v>0.433752768</v>
      </c>
      <c r="Z55" s="22" t="n">
        <v>0.435414656</v>
      </c>
      <c r="AA55" s="22" t="n">
        <v>0.437076544</v>
      </c>
      <c r="AB55" s="22" t="n">
        <v>0.4387384320000001</v>
      </c>
      <c r="AC55" s="22" t="n">
        <v>0.44040032</v>
      </c>
      <c r="AD55" s="22" t="n">
        <v>0.442062208</v>
      </c>
      <c r="AE55" s="22" t="n">
        <v>0.4437240960000001</v>
      </c>
      <c r="AF55" s="22" t="n">
        <v>0.4453859840000001</v>
      </c>
      <c r="AG55" s="22" t="n">
        <v>0.447047872</v>
      </c>
      <c r="AH55" s="22" t="n">
        <v>0.44870976</v>
      </c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</row>
    <row r="56" ht="13.5" customHeight="1" s="82">
      <c r="A56" s="12" t="inlineStr">
        <is>
          <t>Class 7 - Moderate</t>
        </is>
      </c>
      <c r="B56" s="16" t="n">
        <v>0.3451</v>
      </c>
      <c r="C56" s="16" t="n">
        <v>0.3488183333333333</v>
      </c>
      <c r="D56" s="16" t="n">
        <v>0.3525366666666667</v>
      </c>
      <c r="E56" s="16" t="n">
        <v>0.356255</v>
      </c>
      <c r="F56" s="16" t="n">
        <v>0.3599733333333333</v>
      </c>
      <c r="G56" s="16" t="n">
        <v>0.3636916666666667</v>
      </c>
      <c r="H56" s="16" t="n">
        <v>0.36741</v>
      </c>
      <c r="I56" s="16" t="n">
        <v>0.3711283333333333</v>
      </c>
      <c r="J56" s="16" t="n">
        <v>0.3748466666666667</v>
      </c>
      <c r="K56" s="16" t="n">
        <v>0.378565</v>
      </c>
      <c r="L56" s="16" t="n">
        <v>0.3822833333333334</v>
      </c>
      <c r="M56" s="16" t="n">
        <v>0.3860016666666667</v>
      </c>
      <c r="N56" s="16" t="n">
        <v>0.38972</v>
      </c>
      <c r="O56" s="16" t="n">
        <v>0.39049944</v>
      </c>
      <c r="P56" s="16" t="n">
        <v>0.3912788800000001</v>
      </c>
      <c r="Q56" s="16" t="n">
        <v>0.39205832</v>
      </c>
      <c r="R56" s="16" t="n">
        <v>0.39283776</v>
      </c>
      <c r="S56" s="16" t="n">
        <v>0.3936172000000001</v>
      </c>
      <c r="T56" s="16" t="n">
        <v>0.39439664</v>
      </c>
      <c r="U56" s="16" t="n">
        <v>0.39517608</v>
      </c>
      <c r="V56" s="16" t="n">
        <v>0.39595552</v>
      </c>
      <c r="W56" s="16" t="n">
        <v>0.39673496</v>
      </c>
      <c r="X56" s="16" t="n">
        <v>0.3975144</v>
      </c>
      <c r="Y56" s="16" t="n">
        <v>0.39829384</v>
      </c>
      <c r="Z56" s="16" t="n">
        <v>0.39907328</v>
      </c>
      <c r="AA56" s="16" t="n">
        <v>0.3998527200000001</v>
      </c>
      <c r="AB56" s="16" t="n">
        <v>0.40063216</v>
      </c>
      <c r="AC56" s="16" t="n">
        <v>0.4014116</v>
      </c>
      <c r="AD56" s="16" t="n">
        <v>0.4021910400000001</v>
      </c>
      <c r="AE56" s="16" t="n">
        <v>0.40297048</v>
      </c>
      <c r="AF56" s="16" t="n">
        <v>0.40374992</v>
      </c>
      <c r="AG56" s="16" t="n">
        <v>0.40452936</v>
      </c>
      <c r="AH56" s="16" t="n">
        <v>0.4053088</v>
      </c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</row>
    <row r="57" ht="13.5" customHeight="1" s="82">
      <c r="A57" s="17" t="inlineStr">
        <is>
          <t>Class 7 - Conservative</t>
        </is>
      </c>
      <c r="B57" s="18" t="n">
        <v>0.3451</v>
      </c>
      <c r="C57" s="18" t="n">
        <v>0.3466185833333333</v>
      </c>
      <c r="D57" s="18" t="n">
        <v>0.3481371666666667</v>
      </c>
      <c r="E57" s="18" t="n">
        <v>0.34965575</v>
      </c>
      <c r="F57" s="18" t="n">
        <v>0.3511743333333333</v>
      </c>
      <c r="G57" s="18" t="n">
        <v>0.3526929166666666</v>
      </c>
      <c r="H57" s="18" t="n">
        <v>0.3542115000000001</v>
      </c>
      <c r="I57" s="18" t="n">
        <v>0.3557300833333334</v>
      </c>
      <c r="J57" s="18" t="n">
        <v>0.3572486666666667</v>
      </c>
      <c r="K57" s="18" t="n">
        <v>0.35876725</v>
      </c>
      <c r="L57" s="18" t="n">
        <v>0.3602858333333334</v>
      </c>
      <c r="M57" s="18" t="n">
        <v>0.3618044166666667</v>
      </c>
      <c r="N57" s="18" t="n">
        <v>0.363323</v>
      </c>
      <c r="O57" s="18" t="n">
        <v>0.363686323</v>
      </c>
      <c r="P57" s="18" t="n">
        <v>0.364049646</v>
      </c>
      <c r="Q57" s="18" t="n">
        <v>0.364412969</v>
      </c>
      <c r="R57" s="18" t="n">
        <v>0.364776292</v>
      </c>
      <c r="S57" s="18" t="n">
        <v>0.365139615</v>
      </c>
      <c r="T57" s="18" t="n">
        <v>0.365502938</v>
      </c>
      <c r="U57" s="18" t="n">
        <v>0.365866261</v>
      </c>
      <c r="V57" s="18" t="n">
        <v>0.366229584</v>
      </c>
      <c r="W57" s="18" t="n">
        <v>0.366592907</v>
      </c>
      <c r="X57" s="18" t="n">
        <v>0.36695623</v>
      </c>
      <c r="Y57" s="18" t="n">
        <v>0.367319553</v>
      </c>
      <c r="Z57" s="18" t="n">
        <v>0.367682876</v>
      </c>
      <c r="AA57" s="18" t="n">
        <v>0.368046199</v>
      </c>
      <c r="AB57" s="18" t="n">
        <v>0.368409522</v>
      </c>
      <c r="AC57" s="18" t="n">
        <v>0.3687728450000001</v>
      </c>
      <c r="AD57" s="18" t="n">
        <v>0.369136168</v>
      </c>
      <c r="AE57" s="18" t="n">
        <v>0.369499491</v>
      </c>
      <c r="AF57" s="18" t="n">
        <v>0.369862814</v>
      </c>
      <c r="AG57" s="18" t="n">
        <v>0.3702261370000001</v>
      </c>
      <c r="AH57" s="18" t="n">
        <v>0.37058946</v>
      </c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</row>
    <row r="58" ht="13.5" customHeight="1" s="82">
      <c r="A58" s="14" t="inlineStr">
        <is>
          <t>Class 8 - Advanced</t>
        </is>
      </c>
      <c r="B58" s="22" t="n">
        <v>0.304211</v>
      </c>
      <c r="C58" s="22" t="n">
        <v>0.3097436666666667</v>
      </c>
      <c r="D58" s="22" t="n">
        <v>0.3152763333333333</v>
      </c>
      <c r="E58" s="22" t="n">
        <v>0.320809</v>
      </c>
      <c r="F58" s="22" t="n">
        <v>0.3263416666666667</v>
      </c>
      <c r="G58" s="22" t="n">
        <v>0.3318743333333333</v>
      </c>
      <c r="H58" s="22" t="n">
        <v>0.337407</v>
      </c>
      <c r="I58" s="22" t="n">
        <v>0.3429396666666666</v>
      </c>
      <c r="J58" s="22" t="n">
        <v>0.3484723333333333</v>
      </c>
      <c r="K58" s="22" t="n">
        <v>0.3540050000000001</v>
      </c>
      <c r="L58" s="22" t="n">
        <v>0.3595376666666667</v>
      </c>
      <c r="M58" s="22" t="n">
        <v>0.3650703333333333</v>
      </c>
      <c r="N58" s="22" t="n">
        <v>0.370603</v>
      </c>
      <c r="O58" s="22" t="n">
        <v>0.3722707135</v>
      </c>
      <c r="P58" s="22" t="n">
        <v>0.373938427</v>
      </c>
      <c r="Q58" s="22" t="n">
        <v>0.3756061405</v>
      </c>
      <c r="R58" s="22" t="n">
        <v>0.377273854</v>
      </c>
      <c r="S58" s="22" t="n">
        <v>0.3789415675</v>
      </c>
      <c r="T58" s="22" t="n">
        <v>0.380609281</v>
      </c>
      <c r="U58" s="22" t="n">
        <v>0.3822769945</v>
      </c>
      <c r="V58" s="22" t="n">
        <v>0.383944708</v>
      </c>
      <c r="W58" s="22" t="n">
        <v>0.3856124215</v>
      </c>
      <c r="X58" s="22" t="n">
        <v>0.387280135</v>
      </c>
      <c r="Y58" s="22" t="n">
        <v>0.3889478485</v>
      </c>
      <c r="Z58" s="22" t="n">
        <v>0.390615562</v>
      </c>
      <c r="AA58" s="22" t="n">
        <v>0.3922832755</v>
      </c>
      <c r="AB58" s="22" t="n">
        <v>0.393950989</v>
      </c>
      <c r="AC58" s="22" t="n">
        <v>0.3956187025</v>
      </c>
      <c r="AD58" s="22" t="n">
        <v>0.397286416</v>
      </c>
      <c r="AE58" s="22" t="n">
        <v>0.3989541295</v>
      </c>
      <c r="AF58" s="22" t="n">
        <v>0.400621843</v>
      </c>
      <c r="AG58" s="22" t="n">
        <v>0.4022895565000001</v>
      </c>
      <c r="AH58" s="22" t="n">
        <v>0.40395727</v>
      </c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</row>
    <row r="59" ht="13.5" customHeight="1" s="82">
      <c r="A59" s="12" t="inlineStr">
        <is>
          <t>Class 8 - Moderate</t>
        </is>
      </c>
      <c r="B59" s="16" t="n">
        <v>0.304211</v>
      </c>
      <c r="C59" s="16" t="n">
        <v>0.3076925833333333</v>
      </c>
      <c r="D59" s="16" t="n">
        <v>0.3111741666666667</v>
      </c>
      <c r="E59" s="16" t="n">
        <v>0.31465575</v>
      </c>
      <c r="F59" s="16" t="n">
        <v>0.3181373333333333</v>
      </c>
      <c r="G59" s="16" t="n">
        <v>0.3216189166666667</v>
      </c>
      <c r="H59" s="16" t="n">
        <v>0.3251005</v>
      </c>
      <c r="I59" s="16" t="n">
        <v>0.3285820833333333</v>
      </c>
      <c r="J59" s="16" t="n">
        <v>0.3320636666666667</v>
      </c>
      <c r="K59" s="16" t="n">
        <v>0.33554525</v>
      </c>
      <c r="L59" s="16" t="n">
        <v>0.3390268333333333</v>
      </c>
      <c r="M59" s="16" t="n">
        <v>0.3425084166666667</v>
      </c>
      <c r="N59" s="16" t="n">
        <v>0.34599</v>
      </c>
      <c r="O59" s="16" t="n">
        <v>0.3467684775</v>
      </c>
      <c r="P59" s="16" t="n">
        <v>0.347546955</v>
      </c>
      <c r="Q59" s="16" t="n">
        <v>0.3483254325</v>
      </c>
      <c r="R59" s="16" t="n">
        <v>0.34910391</v>
      </c>
      <c r="S59" s="16" t="n">
        <v>0.3498823875</v>
      </c>
      <c r="T59" s="16" t="n">
        <v>0.350660865</v>
      </c>
      <c r="U59" s="16" t="n">
        <v>0.3514393425000001</v>
      </c>
      <c r="V59" s="16" t="n">
        <v>0.35221782</v>
      </c>
      <c r="W59" s="16" t="n">
        <v>0.3529962975</v>
      </c>
      <c r="X59" s="16" t="n">
        <v>0.353774775</v>
      </c>
      <c r="Y59" s="16" t="n">
        <v>0.3545532525</v>
      </c>
      <c r="Z59" s="16" t="n">
        <v>0.35533173</v>
      </c>
      <c r="AA59" s="16" t="n">
        <v>0.3561102075</v>
      </c>
      <c r="AB59" s="16" t="n">
        <v>0.356888685</v>
      </c>
      <c r="AC59" s="16" t="n">
        <v>0.3576671625</v>
      </c>
      <c r="AD59" s="16" t="n">
        <v>0.35844564</v>
      </c>
      <c r="AE59" s="16" t="n">
        <v>0.3592241175</v>
      </c>
      <c r="AF59" s="16" t="n">
        <v>0.360002595</v>
      </c>
      <c r="AG59" s="16" t="n">
        <v>0.3607810725</v>
      </c>
      <c r="AH59" s="16" t="n">
        <v>0.36155955</v>
      </c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</row>
    <row r="60" ht="13.5" customHeight="1" s="82">
      <c r="A60" s="17" t="inlineStr">
        <is>
          <t>Class 8 - Conservative</t>
        </is>
      </c>
      <c r="B60" s="18" t="n">
        <v>0.304211</v>
      </c>
      <c r="C60" s="18" t="n">
        <v>0.3056939166666667</v>
      </c>
      <c r="D60" s="18" t="n">
        <v>0.3071768333333333</v>
      </c>
      <c r="E60" s="18" t="n">
        <v>0.30865975</v>
      </c>
      <c r="F60" s="18" t="n">
        <v>0.3101426666666667</v>
      </c>
      <c r="G60" s="18" t="n">
        <v>0.3116255833333333</v>
      </c>
      <c r="H60" s="18" t="n">
        <v>0.3131085</v>
      </c>
      <c r="I60" s="18" t="n">
        <v>0.3145914166666667</v>
      </c>
      <c r="J60" s="18" t="n">
        <v>0.3160743333333333</v>
      </c>
      <c r="K60" s="18" t="n">
        <v>0.31755725</v>
      </c>
      <c r="L60" s="18" t="n">
        <v>0.3190401666666667</v>
      </c>
      <c r="M60" s="18" t="n">
        <v>0.3205230833333333</v>
      </c>
      <c r="N60" s="18" t="n">
        <v>0.322006</v>
      </c>
      <c r="O60" s="18" t="n">
        <v>0.32236825675</v>
      </c>
      <c r="P60" s="18" t="n">
        <v>0.3227305135</v>
      </c>
      <c r="Q60" s="18" t="n">
        <v>0.32309277025</v>
      </c>
      <c r="R60" s="18" t="n">
        <v>0.323455027</v>
      </c>
      <c r="S60" s="18" t="n">
        <v>0.32381728375</v>
      </c>
      <c r="T60" s="18" t="n">
        <v>0.3241795405</v>
      </c>
      <c r="U60" s="18" t="n">
        <v>0.32454179725</v>
      </c>
      <c r="V60" s="18" t="n">
        <v>0.324904054</v>
      </c>
      <c r="W60" s="18" t="n">
        <v>0.32526631075</v>
      </c>
      <c r="X60" s="18" t="n">
        <v>0.3256285675</v>
      </c>
      <c r="Y60" s="18" t="n">
        <v>0.32599082425</v>
      </c>
      <c r="Z60" s="18" t="n">
        <v>0.326353081</v>
      </c>
      <c r="AA60" s="18" t="n">
        <v>0.32671533775</v>
      </c>
      <c r="AB60" s="18" t="n">
        <v>0.3270775945000001</v>
      </c>
      <c r="AC60" s="18" t="n">
        <v>0.32743985125</v>
      </c>
      <c r="AD60" s="18" t="n">
        <v>0.327802108</v>
      </c>
      <c r="AE60" s="18" t="n">
        <v>0.32816436475</v>
      </c>
      <c r="AF60" s="18" t="n">
        <v>0.3285266215</v>
      </c>
      <c r="AG60" s="18" t="n">
        <v>0.32888887825</v>
      </c>
      <c r="AH60" s="18" t="n">
        <v>0.329251135</v>
      </c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</row>
    <row r="61" ht="13.5" customHeight="1" s="82">
      <c r="A61" s="14" t="inlineStr">
        <is>
          <t>Class 9 - Advanced</t>
        </is>
      </c>
      <c r="B61" s="22" t="n">
        <v>0.260007</v>
      </c>
      <c r="C61" s="22" t="n">
        <v>0.2650503333333333</v>
      </c>
      <c r="D61" s="22" t="n">
        <v>0.2700936666666666</v>
      </c>
      <c r="E61" s="22" t="n">
        <v>0.275137</v>
      </c>
      <c r="F61" s="22" t="n">
        <v>0.2801803333333333</v>
      </c>
      <c r="G61" s="22" t="n">
        <v>0.2852236666666667</v>
      </c>
      <c r="H61" s="22" t="n">
        <v>0.290267</v>
      </c>
      <c r="I61" s="22" t="n">
        <v>0.2953103333333333</v>
      </c>
      <c r="J61" s="22" t="n">
        <v>0.3003536666666667</v>
      </c>
      <c r="K61" s="22" t="n">
        <v>0.305397</v>
      </c>
      <c r="L61" s="22" t="n">
        <v>0.3104403333333334</v>
      </c>
      <c r="M61" s="22" t="n">
        <v>0.3154836666666667</v>
      </c>
      <c r="N61" s="22" t="n">
        <v>0.320527</v>
      </c>
      <c r="O61" s="22" t="n">
        <v>0.322129635</v>
      </c>
      <c r="P61" s="22" t="n">
        <v>0.32373227</v>
      </c>
      <c r="Q61" s="22" t="n">
        <v>0.325334905</v>
      </c>
      <c r="R61" s="22" t="n">
        <v>0.32693754</v>
      </c>
      <c r="S61" s="22" t="n">
        <v>0.328540175</v>
      </c>
      <c r="T61" s="22" t="n">
        <v>0.33014281</v>
      </c>
      <c r="U61" s="22" t="n">
        <v>0.331745445</v>
      </c>
      <c r="V61" s="22" t="n">
        <v>0.33334808</v>
      </c>
      <c r="W61" s="22" t="n">
        <v>0.334950715</v>
      </c>
      <c r="X61" s="22" t="n">
        <v>0.3365533500000001</v>
      </c>
      <c r="Y61" s="22" t="n">
        <v>0.338155985</v>
      </c>
      <c r="Z61" s="22" t="n">
        <v>0.33975862</v>
      </c>
      <c r="AA61" s="22" t="n">
        <v>0.341361255</v>
      </c>
      <c r="AB61" s="22" t="n">
        <v>0.34296389</v>
      </c>
      <c r="AC61" s="22" t="n">
        <v>0.3445665250000001</v>
      </c>
      <c r="AD61" s="22" t="n">
        <v>0.34616916</v>
      </c>
      <c r="AE61" s="22" t="n">
        <v>0.347771795</v>
      </c>
      <c r="AF61" s="22" t="n">
        <v>0.34937443</v>
      </c>
      <c r="AG61" s="22" t="n">
        <v>0.350977065</v>
      </c>
      <c r="AH61" s="22" t="n">
        <v>0.3525797000000001</v>
      </c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</row>
    <row r="62" ht="13.5" customHeight="1" s="82">
      <c r="A62" s="12" t="inlineStr">
        <is>
          <t>Class 9 - Moderate</t>
        </is>
      </c>
      <c r="B62" s="16" t="n">
        <v>0.260007</v>
      </c>
      <c r="C62" s="16" t="n">
        <v>0.26313675</v>
      </c>
      <c r="D62" s="16" t="n">
        <v>0.2662665</v>
      </c>
      <c r="E62" s="16" t="n">
        <v>0.26939625</v>
      </c>
      <c r="F62" s="16" t="n">
        <v>0.272526</v>
      </c>
      <c r="G62" s="16" t="n">
        <v>0.27565575</v>
      </c>
      <c r="H62" s="16" t="n">
        <v>0.2787855</v>
      </c>
      <c r="I62" s="16" t="n">
        <v>0.28191525</v>
      </c>
      <c r="J62" s="16" t="n">
        <v>0.285045</v>
      </c>
      <c r="K62" s="16" t="n">
        <v>0.28817475</v>
      </c>
      <c r="L62" s="16" t="n">
        <v>0.2913045</v>
      </c>
      <c r="M62" s="16" t="n">
        <v>0.29443425</v>
      </c>
      <c r="N62" s="16" t="n">
        <v>0.297564</v>
      </c>
      <c r="O62" s="16" t="n">
        <v>0.29830791</v>
      </c>
      <c r="P62" s="16" t="n">
        <v>0.29905182</v>
      </c>
      <c r="Q62" s="16" t="n">
        <v>0.29979573</v>
      </c>
      <c r="R62" s="16" t="n">
        <v>0.30053964</v>
      </c>
      <c r="S62" s="16" t="n">
        <v>0.30128355</v>
      </c>
      <c r="T62" s="16" t="n">
        <v>0.30202746</v>
      </c>
      <c r="U62" s="16" t="n">
        <v>0.30277137</v>
      </c>
      <c r="V62" s="16" t="n">
        <v>0.30351528</v>
      </c>
      <c r="W62" s="16" t="n">
        <v>0.30425919</v>
      </c>
      <c r="X62" s="16" t="n">
        <v>0.3050031</v>
      </c>
      <c r="Y62" s="16" t="n">
        <v>0.30574701</v>
      </c>
      <c r="Z62" s="16" t="n">
        <v>0.30649092</v>
      </c>
      <c r="AA62" s="16" t="n">
        <v>0.30723483</v>
      </c>
      <c r="AB62" s="16" t="n">
        <v>0.30797874</v>
      </c>
      <c r="AC62" s="16" t="n">
        <v>0.30872265</v>
      </c>
      <c r="AD62" s="16" t="n">
        <v>0.30946656</v>
      </c>
      <c r="AE62" s="16" t="n">
        <v>0.31021047</v>
      </c>
      <c r="AF62" s="16" t="n">
        <v>0.31095438</v>
      </c>
      <c r="AG62" s="16" t="n">
        <v>0.31169829</v>
      </c>
      <c r="AH62" s="16" t="n">
        <v>0.3124422</v>
      </c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4" t="n"/>
      <c r="BB62" s="24" t="n"/>
    </row>
    <row r="63" ht="13.5" customHeight="1" s="82">
      <c r="A63" s="17" t="inlineStr">
        <is>
          <t>Class 9 - Conservative</t>
        </is>
      </c>
      <c r="B63" s="23" t="n">
        <v>0.260007</v>
      </c>
      <c r="C63" s="23" t="n">
        <v>0.2613709166666667</v>
      </c>
      <c r="D63" s="23" t="n">
        <v>0.2627348333333333</v>
      </c>
      <c r="E63" s="23" t="n">
        <v>0.26409875</v>
      </c>
      <c r="F63" s="23" t="n">
        <v>0.2654626666666667</v>
      </c>
      <c r="G63" s="23" t="n">
        <v>0.2668265833333334</v>
      </c>
      <c r="H63" s="23" t="n">
        <v>0.2681905</v>
      </c>
      <c r="I63" s="23" t="n">
        <v>0.2695544166666666</v>
      </c>
      <c r="J63" s="23" t="n">
        <v>0.2709183333333333</v>
      </c>
      <c r="K63" s="23" t="n">
        <v>0.27228225</v>
      </c>
      <c r="L63" s="23" t="n">
        <v>0.2736461666666667</v>
      </c>
      <c r="M63" s="23" t="n">
        <v>0.2750100833333333</v>
      </c>
      <c r="N63" s="23" t="n">
        <v>0.276374</v>
      </c>
      <c r="O63" s="23" t="n">
        <v>0.2767194675</v>
      </c>
      <c r="P63" s="23" t="n">
        <v>0.277064935</v>
      </c>
      <c r="Q63" s="23" t="n">
        <v>0.2774104025</v>
      </c>
      <c r="R63" s="23" t="n">
        <v>0.27775587</v>
      </c>
      <c r="S63" s="23" t="n">
        <v>0.2781013375</v>
      </c>
      <c r="T63" s="23" t="n">
        <v>0.278446805</v>
      </c>
      <c r="U63" s="23" t="n">
        <v>0.2787922725</v>
      </c>
      <c r="V63" s="23" t="n">
        <v>0.27913774</v>
      </c>
      <c r="W63" s="23" t="n">
        <v>0.2794832075</v>
      </c>
      <c r="X63" s="23" t="n">
        <v>0.279828675</v>
      </c>
      <c r="Y63" s="23" t="n">
        <v>0.2801741425000001</v>
      </c>
      <c r="Z63" s="23" t="n">
        <v>0.28051961</v>
      </c>
      <c r="AA63" s="23" t="n">
        <v>0.2808650775</v>
      </c>
      <c r="AB63" s="23" t="n">
        <v>0.281210545</v>
      </c>
      <c r="AC63" s="23" t="n">
        <v>0.2815560125</v>
      </c>
      <c r="AD63" s="23" t="n">
        <v>0.28190148</v>
      </c>
      <c r="AE63" s="23" t="n">
        <v>0.2822469475</v>
      </c>
      <c r="AF63" s="23" t="n">
        <v>0.282592415</v>
      </c>
      <c r="AG63" s="23" t="n">
        <v>0.2829378825</v>
      </c>
      <c r="AH63" s="23" t="n">
        <v>0.28328335</v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</row>
    <row r="64" ht="13.5" customHeight="1" s="82">
      <c r="A64" s="14" t="inlineStr">
        <is>
          <t>Class 10 - Advanced</t>
        </is>
      </c>
      <c r="B64" s="22" t="n">
        <v>0.1649</v>
      </c>
      <c r="C64" s="22" t="n">
        <v>0.1682640833333333</v>
      </c>
      <c r="D64" s="22" t="n">
        <v>0.1716281666666667</v>
      </c>
      <c r="E64" s="22" t="n">
        <v>0.17499225</v>
      </c>
      <c r="F64" s="22" t="n">
        <v>0.1783563333333333</v>
      </c>
      <c r="G64" s="22" t="n">
        <v>0.1817204166666667</v>
      </c>
      <c r="H64" s="22" t="n">
        <v>0.1850845</v>
      </c>
      <c r="I64" s="22" t="n">
        <v>0.1884485833333334</v>
      </c>
      <c r="J64" s="22" t="n">
        <v>0.1918126666666667</v>
      </c>
      <c r="K64" s="22" t="n">
        <v>0.19517675</v>
      </c>
      <c r="L64" s="22" t="n">
        <v>0.1985408333333334</v>
      </c>
      <c r="M64" s="22" t="n">
        <v>0.2019049166666667</v>
      </c>
      <c r="N64" s="22" t="n">
        <v>0.205269</v>
      </c>
      <c r="O64" s="22" t="n">
        <v>0.2063979795</v>
      </c>
      <c r="P64" s="22" t="n">
        <v>0.207526959</v>
      </c>
      <c r="Q64" s="22" t="n">
        <v>0.2086559385</v>
      </c>
      <c r="R64" s="22" t="n">
        <v>0.209784918</v>
      </c>
      <c r="S64" s="22" t="n">
        <v>0.2109138975</v>
      </c>
      <c r="T64" s="22" t="n">
        <v>0.212042877</v>
      </c>
      <c r="U64" s="22" t="n">
        <v>0.2131718565</v>
      </c>
      <c r="V64" s="22" t="n">
        <v>0.214300836</v>
      </c>
      <c r="W64" s="22" t="n">
        <v>0.2154298155</v>
      </c>
      <c r="X64" s="22" t="n">
        <v>0.216558795</v>
      </c>
      <c r="Y64" s="22" t="n">
        <v>0.2176877745</v>
      </c>
      <c r="Z64" s="22" t="n">
        <v>0.218816754</v>
      </c>
      <c r="AA64" s="22" t="n">
        <v>0.2199457335</v>
      </c>
      <c r="AB64" s="22" t="n">
        <v>0.221074713</v>
      </c>
      <c r="AC64" s="22" t="n">
        <v>0.2222036925</v>
      </c>
      <c r="AD64" s="22" t="n">
        <v>0.223332672</v>
      </c>
      <c r="AE64" s="22" t="n">
        <v>0.2244616515</v>
      </c>
      <c r="AF64" s="22" t="n">
        <v>0.225590631</v>
      </c>
      <c r="AG64" s="22" t="n">
        <v>0.2267196105000001</v>
      </c>
      <c r="AH64" s="22" t="n">
        <v>0.22784859</v>
      </c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</row>
    <row r="65" ht="13.5" customHeight="1" s="82">
      <c r="A65" s="12" t="inlineStr">
        <is>
          <t>Class 10 - Moderate</t>
        </is>
      </c>
      <c r="B65" s="16" t="n">
        <v>0.1649</v>
      </c>
      <c r="C65" s="16" t="n">
        <v>0.1668126666666666</v>
      </c>
      <c r="D65" s="16" t="n">
        <v>0.1687253333333333</v>
      </c>
      <c r="E65" s="16" t="n">
        <v>0.170638</v>
      </c>
      <c r="F65" s="16" t="n">
        <v>0.1725506666666667</v>
      </c>
      <c r="G65" s="16" t="n">
        <v>0.1744633333333333</v>
      </c>
      <c r="H65" s="16" t="n">
        <v>0.176376</v>
      </c>
      <c r="I65" s="16" t="n">
        <v>0.1782886666666667</v>
      </c>
      <c r="J65" s="16" t="n">
        <v>0.1802013333333333</v>
      </c>
      <c r="K65" s="16" t="n">
        <v>0.182114</v>
      </c>
      <c r="L65" s="16" t="n">
        <v>0.1840266666666667</v>
      </c>
      <c r="M65" s="16" t="n">
        <v>0.1859393333333333</v>
      </c>
      <c r="N65" s="16" t="n">
        <v>0.187852</v>
      </c>
      <c r="O65" s="16" t="n">
        <v>0.188368593</v>
      </c>
      <c r="P65" s="16" t="n">
        <v>0.188885186</v>
      </c>
      <c r="Q65" s="16" t="n">
        <v>0.189401779</v>
      </c>
      <c r="R65" s="16" t="n">
        <v>0.189918372</v>
      </c>
      <c r="S65" s="16" t="n">
        <v>0.190434965</v>
      </c>
      <c r="T65" s="16" t="n">
        <v>0.190951558</v>
      </c>
      <c r="U65" s="16" t="n">
        <v>0.191468151</v>
      </c>
      <c r="V65" s="16" t="n">
        <v>0.191984744</v>
      </c>
      <c r="W65" s="16" t="n">
        <v>0.192501337</v>
      </c>
      <c r="X65" s="16" t="n">
        <v>0.19301793</v>
      </c>
      <c r="Y65" s="16" t="n">
        <v>0.193534523</v>
      </c>
      <c r="Z65" s="16" t="n">
        <v>0.194051116</v>
      </c>
      <c r="AA65" s="16" t="n">
        <v>0.194567709</v>
      </c>
      <c r="AB65" s="16" t="n">
        <v>0.195084302</v>
      </c>
      <c r="AC65" s="16" t="n">
        <v>0.195600895</v>
      </c>
      <c r="AD65" s="16" t="n">
        <v>0.196117488</v>
      </c>
      <c r="AE65" s="16" t="n">
        <v>0.196634081</v>
      </c>
      <c r="AF65" s="16" t="n">
        <v>0.197150674</v>
      </c>
      <c r="AG65" s="16" t="n">
        <v>0.197667267</v>
      </c>
      <c r="AH65" s="16" t="n">
        <v>0.19818386</v>
      </c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</row>
    <row r="66" ht="13.5" customHeight="1" s="82">
      <c r="A66" s="17" t="inlineStr">
        <is>
          <t>Class 10 - Conservative</t>
        </is>
      </c>
      <c r="B66" s="16" t="n">
        <v>0.1649</v>
      </c>
      <c r="C66" s="16" t="n">
        <v>0.1656186666666667</v>
      </c>
      <c r="D66" s="16" t="n">
        <v>0.1663373333333333</v>
      </c>
      <c r="E66" s="16" t="n">
        <v>0.167056</v>
      </c>
      <c r="F66" s="16" t="n">
        <v>0.1677746666666667</v>
      </c>
      <c r="G66" s="16" t="n">
        <v>0.1684933333333333</v>
      </c>
      <c r="H66" s="16" t="n">
        <v>0.169212</v>
      </c>
      <c r="I66" s="16" t="n">
        <v>0.1699306666666667</v>
      </c>
      <c r="J66" s="16" t="n">
        <v>0.1706493333333333</v>
      </c>
      <c r="K66" s="16" t="n">
        <v>0.171368</v>
      </c>
      <c r="L66" s="16" t="n">
        <v>0.1720866666666667</v>
      </c>
      <c r="M66" s="16" t="n">
        <v>0.1728053333333333</v>
      </c>
      <c r="N66" s="16" t="n">
        <v>0.173524</v>
      </c>
      <c r="O66" s="16" t="n">
        <v>0.1737625955</v>
      </c>
      <c r="P66" s="16" t="n">
        <v>0.174001191</v>
      </c>
      <c r="Q66" s="16" t="n">
        <v>0.1742397865</v>
      </c>
      <c r="R66" s="16" t="n">
        <v>0.174478382</v>
      </c>
      <c r="S66" s="16" t="n">
        <v>0.1747169775</v>
      </c>
      <c r="T66" s="16" t="n">
        <v>0.174955573</v>
      </c>
      <c r="U66" s="16" t="n">
        <v>0.1751941685</v>
      </c>
      <c r="V66" s="16" t="n">
        <v>0.175432764</v>
      </c>
      <c r="W66" s="16" t="n">
        <v>0.1756713595</v>
      </c>
      <c r="X66" s="16" t="n">
        <v>0.175909955</v>
      </c>
      <c r="Y66" s="16" t="n">
        <v>0.1761485505</v>
      </c>
      <c r="Z66" s="16" t="n">
        <v>0.176387146</v>
      </c>
      <c r="AA66" s="16" t="n">
        <v>0.1766257415</v>
      </c>
      <c r="AB66" s="16" t="n">
        <v>0.176864337</v>
      </c>
      <c r="AC66" s="16" t="n">
        <v>0.1771029325</v>
      </c>
      <c r="AD66" s="16" t="n">
        <v>0.177341528</v>
      </c>
      <c r="AE66" s="16" t="n">
        <v>0.1775801235</v>
      </c>
      <c r="AF66" s="16" t="n">
        <v>0.177818719</v>
      </c>
      <c r="AG66" s="16" t="n">
        <v>0.1780573145</v>
      </c>
      <c r="AH66" s="16" t="n">
        <v>0.17829591</v>
      </c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</row>
    <row r="67" ht="15.75" customHeight="1" s="82">
      <c r="A67" s="2" t="n"/>
      <c r="F67" s="2" t="n"/>
    </row>
    <row r="68" ht="15.75" customHeight="1" s="82">
      <c r="A68" s="26" t="inlineStr">
        <is>
          <t>Land-Based Wind Techno-Resource Groups (TRG)</t>
        </is>
      </c>
      <c r="B68" s="27" t="n"/>
      <c r="C68" s="27" t="n"/>
      <c r="D68" s="27" t="n"/>
      <c r="F68" s="2" t="n"/>
    </row>
    <row r="69" ht="15.75" customHeight="1" s="82">
      <c r="A69" s="77" t="inlineStr">
        <is>
          <t>Techno-Resource Group (TRG)</t>
        </is>
      </c>
      <c r="B69" s="77" t="inlineStr">
        <is>
          <t>Wind Speed Range (m/s)</t>
        </is>
      </c>
      <c r="C69" s="77" t="inlineStr">
        <is>
          <t>Weighted Average Wind Speed (m/s)</t>
        </is>
      </c>
      <c r="D69" s="77" t="inlineStr">
        <is>
          <t>Potential Wind Plant Capacity (GW)</t>
        </is>
      </c>
      <c r="F69" s="2" t="n"/>
    </row>
    <row r="70" ht="50.25" customHeight="1" s="82">
      <c r="A70" s="78" t="n"/>
      <c r="B70" s="78" t="n"/>
      <c r="C70" s="78" t="n"/>
      <c r="D70" s="78" t="n"/>
      <c r="F70" s="2" t="n"/>
      <c r="G70" s="10">
        <f>B36</f>
        <v/>
      </c>
      <c r="H70" s="10">
        <f>C36</f>
        <v/>
      </c>
      <c r="I70" s="10">
        <f>D36</f>
        <v/>
      </c>
      <c r="J70" s="10">
        <f>E36</f>
        <v/>
      </c>
      <c r="K70" s="10">
        <f>F36</f>
        <v/>
      </c>
      <c r="L70" s="10">
        <f>G36</f>
        <v/>
      </c>
      <c r="M70" s="10">
        <f>H36</f>
        <v/>
      </c>
      <c r="N70" s="10">
        <f>I36</f>
        <v/>
      </c>
      <c r="O70" s="10">
        <f>J36</f>
        <v/>
      </c>
      <c r="P70" s="10">
        <f>K36</f>
        <v/>
      </c>
      <c r="Q70" s="10">
        <f>L36</f>
        <v/>
      </c>
      <c r="R70" s="10">
        <f>M36</f>
        <v/>
      </c>
      <c r="S70" s="10">
        <f>N36</f>
        <v/>
      </c>
      <c r="T70" s="10">
        <f>O36</f>
        <v/>
      </c>
      <c r="U70" s="10">
        <f>P36</f>
        <v/>
      </c>
      <c r="V70" s="10">
        <f>Q36</f>
        <v/>
      </c>
      <c r="W70" s="10">
        <f>R36</f>
        <v/>
      </c>
      <c r="X70" s="10">
        <f>S36</f>
        <v/>
      </c>
      <c r="Y70" s="10">
        <f>T36</f>
        <v/>
      </c>
      <c r="Z70" s="10">
        <f>U36</f>
        <v/>
      </c>
      <c r="AA70" s="10">
        <f>V36</f>
        <v/>
      </c>
      <c r="AB70" s="10">
        <f>W36</f>
        <v/>
      </c>
      <c r="AC70" s="10">
        <f>X36</f>
        <v/>
      </c>
      <c r="AD70" s="10">
        <f>Y36</f>
        <v/>
      </c>
      <c r="AE70" s="10">
        <f>Z36</f>
        <v/>
      </c>
      <c r="AF70" s="10">
        <f>AA36</f>
        <v/>
      </c>
      <c r="AG70" s="10">
        <f>AB36</f>
        <v/>
      </c>
      <c r="AH70" s="10">
        <f>AC36</f>
        <v/>
      </c>
      <c r="AI70" s="10">
        <f>AD36</f>
        <v/>
      </c>
      <c r="AJ70" s="10">
        <f>AE36</f>
        <v/>
      </c>
      <c r="AK70" s="10">
        <f>AF36</f>
        <v/>
      </c>
      <c r="AL70" s="10">
        <f>AG36</f>
        <v/>
      </c>
      <c r="AM70" s="10">
        <f>AH36</f>
        <v/>
      </c>
    </row>
    <row r="71" ht="15.75" customHeight="1" s="82">
      <c r="A71" s="28" t="inlineStr">
        <is>
          <t>Class1</t>
        </is>
      </c>
      <c r="B71" s="28" t="inlineStr">
        <is>
          <t>&gt; 9.0</t>
        </is>
      </c>
      <c r="C71" s="29" t="n">
        <v>9.5</v>
      </c>
      <c r="D71" s="30" t="n">
        <v>153</v>
      </c>
      <c r="F71" s="31">
        <f>A38</f>
        <v/>
      </c>
      <c r="G71" s="31">
        <f>B38</f>
        <v/>
      </c>
      <c r="H71" s="31">
        <f>C38</f>
        <v/>
      </c>
      <c r="I71" s="31">
        <f>D38</f>
        <v/>
      </c>
      <c r="J71" s="31">
        <f>E38</f>
        <v/>
      </c>
      <c r="K71" s="31">
        <f>F38</f>
        <v/>
      </c>
      <c r="L71" s="31">
        <f>G38</f>
        <v/>
      </c>
      <c r="M71" s="31">
        <f>H38</f>
        <v/>
      </c>
      <c r="N71" s="31">
        <f>I38</f>
        <v/>
      </c>
      <c r="O71" s="31">
        <f>J38</f>
        <v/>
      </c>
      <c r="P71" s="31">
        <f>K38</f>
        <v/>
      </c>
      <c r="Q71" s="31">
        <f>L38</f>
        <v/>
      </c>
      <c r="R71" s="31">
        <f>M38</f>
        <v/>
      </c>
      <c r="S71" s="31">
        <f>N38</f>
        <v/>
      </c>
      <c r="T71" s="31">
        <f>O38</f>
        <v/>
      </c>
      <c r="U71" s="31">
        <f>P38</f>
        <v/>
      </c>
      <c r="V71" s="31">
        <f>Q38</f>
        <v/>
      </c>
      <c r="W71" s="31">
        <f>R38</f>
        <v/>
      </c>
      <c r="X71" s="31">
        <f>S38</f>
        <v/>
      </c>
      <c r="Y71" s="31">
        <f>T38</f>
        <v/>
      </c>
      <c r="Z71" s="31">
        <f>U38</f>
        <v/>
      </c>
      <c r="AA71" s="31">
        <f>V38</f>
        <v/>
      </c>
      <c r="AB71" s="31">
        <f>W38</f>
        <v/>
      </c>
      <c r="AC71" s="31">
        <f>X38</f>
        <v/>
      </c>
      <c r="AD71" s="31">
        <f>Y38</f>
        <v/>
      </c>
      <c r="AE71" s="31">
        <f>Z38</f>
        <v/>
      </c>
      <c r="AF71" s="31">
        <f>AA38</f>
        <v/>
      </c>
      <c r="AG71" s="31">
        <f>AB38</f>
        <v/>
      </c>
      <c r="AH71" s="31">
        <f>AC38</f>
        <v/>
      </c>
      <c r="AI71" s="31">
        <f>AD38</f>
        <v/>
      </c>
      <c r="AJ71" s="31">
        <f>AE38</f>
        <v/>
      </c>
      <c r="AK71" s="31">
        <f>AF38</f>
        <v/>
      </c>
      <c r="AL71" s="31">
        <f>AG38</f>
        <v/>
      </c>
      <c r="AM71" s="31">
        <f>AH38</f>
        <v/>
      </c>
    </row>
    <row r="72" ht="15.75" customHeight="1" s="82">
      <c r="A72" s="32" t="inlineStr">
        <is>
          <t>Class2</t>
        </is>
      </c>
      <c r="B72" s="32" t="inlineStr">
        <is>
          <t>8.8 - 9.0</t>
        </is>
      </c>
      <c r="C72" s="33" t="n">
        <v>8.9</v>
      </c>
      <c r="D72" s="34" t="n">
        <v>152</v>
      </c>
      <c r="F72" s="31">
        <f>A41</f>
        <v/>
      </c>
      <c r="G72" s="31">
        <f>B41</f>
        <v/>
      </c>
      <c r="H72" s="31">
        <f>C41</f>
        <v/>
      </c>
      <c r="I72" s="31">
        <f>D41</f>
        <v/>
      </c>
      <c r="J72" s="31">
        <f>E41</f>
        <v/>
      </c>
      <c r="K72" s="31">
        <f>F41</f>
        <v/>
      </c>
      <c r="L72" s="31">
        <f>G41</f>
        <v/>
      </c>
      <c r="M72" s="31">
        <f>H41</f>
        <v/>
      </c>
      <c r="N72" s="31">
        <f>I41</f>
        <v/>
      </c>
      <c r="O72" s="31">
        <f>J41</f>
        <v/>
      </c>
      <c r="P72" s="31">
        <f>K41</f>
        <v/>
      </c>
      <c r="Q72" s="31">
        <f>L41</f>
        <v/>
      </c>
      <c r="R72" s="31">
        <f>M41</f>
        <v/>
      </c>
      <c r="S72" s="31">
        <f>N41</f>
        <v/>
      </c>
      <c r="T72" s="31">
        <f>O41</f>
        <v/>
      </c>
      <c r="U72" s="31">
        <f>P41</f>
        <v/>
      </c>
      <c r="V72" s="31">
        <f>Q41</f>
        <v/>
      </c>
      <c r="W72" s="31">
        <f>R41</f>
        <v/>
      </c>
      <c r="X72" s="31">
        <f>S41</f>
        <v/>
      </c>
      <c r="Y72" s="31">
        <f>T41</f>
        <v/>
      </c>
      <c r="Z72" s="31">
        <f>U41</f>
        <v/>
      </c>
      <c r="AA72" s="31">
        <f>V41</f>
        <v/>
      </c>
      <c r="AB72" s="31">
        <f>W41</f>
        <v/>
      </c>
      <c r="AC72" s="31">
        <f>X41</f>
        <v/>
      </c>
      <c r="AD72" s="31">
        <f>Y41</f>
        <v/>
      </c>
      <c r="AE72" s="31">
        <f>Z41</f>
        <v/>
      </c>
      <c r="AF72" s="31">
        <f>AA41</f>
        <v/>
      </c>
      <c r="AG72" s="31">
        <f>AB41</f>
        <v/>
      </c>
      <c r="AH72" s="31">
        <f>AC41</f>
        <v/>
      </c>
      <c r="AI72" s="31">
        <f>AD41</f>
        <v/>
      </c>
      <c r="AJ72" s="31">
        <f>AE41</f>
        <v/>
      </c>
      <c r="AK72" s="31">
        <f>AF41</f>
        <v/>
      </c>
      <c r="AL72" s="31">
        <f>AG41</f>
        <v/>
      </c>
      <c r="AM72" s="31">
        <f>AH41</f>
        <v/>
      </c>
    </row>
    <row r="73" ht="15.75" customHeight="1" s="82">
      <c r="A73" s="35" t="inlineStr">
        <is>
          <t>Class3</t>
        </is>
      </c>
      <c r="B73" s="35" t="inlineStr">
        <is>
          <t>8.6 - 8.8</t>
        </is>
      </c>
      <c r="C73" s="36" t="n">
        <v>8.699999999999999</v>
      </c>
      <c r="D73" s="37" t="n">
        <v>304</v>
      </c>
      <c r="F73" s="31">
        <f>A44</f>
        <v/>
      </c>
      <c r="G73" s="31">
        <f>B44</f>
        <v/>
      </c>
      <c r="H73" s="31">
        <f>C44</f>
        <v/>
      </c>
      <c r="I73" s="31">
        <f>D44</f>
        <v/>
      </c>
      <c r="J73" s="31">
        <f>E44</f>
        <v/>
      </c>
      <c r="K73" s="31">
        <f>F44</f>
        <v/>
      </c>
      <c r="L73" s="31">
        <f>G44</f>
        <v/>
      </c>
      <c r="M73" s="31">
        <f>H44</f>
        <v/>
      </c>
      <c r="N73" s="31">
        <f>I44</f>
        <v/>
      </c>
      <c r="O73" s="31">
        <f>J44</f>
        <v/>
      </c>
      <c r="P73" s="31">
        <f>K44</f>
        <v/>
      </c>
      <c r="Q73" s="31">
        <f>L44</f>
        <v/>
      </c>
      <c r="R73" s="31">
        <f>M44</f>
        <v/>
      </c>
      <c r="S73" s="31">
        <f>N44</f>
        <v/>
      </c>
      <c r="T73" s="31">
        <f>O44</f>
        <v/>
      </c>
      <c r="U73" s="31">
        <f>P44</f>
        <v/>
      </c>
      <c r="V73" s="31">
        <f>Q44</f>
        <v/>
      </c>
      <c r="W73" s="31">
        <f>R44</f>
        <v/>
      </c>
      <c r="X73" s="31">
        <f>S44</f>
        <v/>
      </c>
      <c r="Y73" s="31">
        <f>T44</f>
        <v/>
      </c>
      <c r="Z73" s="31">
        <f>U44</f>
        <v/>
      </c>
      <c r="AA73" s="31">
        <f>V44</f>
        <v/>
      </c>
      <c r="AB73" s="31">
        <f>W44</f>
        <v/>
      </c>
      <c r="AC73" s="31">
        <f>X44</f>
        <v/>
      </c>
      <c r="AD73" s="31">
        <f>Y44</f>
        <v/>
      </c>
      <c r="AE73" s="31">
        <f>Z44</f>
        <v/>
      </c>
      <c r="AF73" s="31">
        <f>AA44</f>
        <v/>
      </c>
      <c r="AG73" s="31">
        <f>AB44</f>
        <v/>
      </c>
      <c r="AH73" s="31">
        <f>AC44</f>
        <v/>
      </c>
      <c r="AI73" s="31">
        <f>AD44</f>
        <v/>
      </c>
      <c r="AJ73" s="31">
        <f>AE44</f>
        <v/>
      </c>
      <c r="AK73" s="31">
        <f>AF44</f>
        <v/>
      </c>
      <c r="AL73" s="31">
        <f>AG44</f>
        <v/>
      </c>
      <c r="AM73" s="31">
        <f>AH44</f>
        <v/>
      </c>
    </row>
    <row r="74" ht="15.75" customHeight="1" s="82">
      <c r="A74" s="32" t="inlineStr">
        <is>
          <t>Class4</t>
        </is>
      </c>
      <c r="B74" s="32" t="inlineStr">
        <is>
          <t>8.4 - 8.6</t>
        </is>
      </c>
      <c r="C74" s="33" t="n">
        <v>8.5</v>
      </c>
      <c r="D74" s="34" t="n">
        <v>606</v>
      </c>
      <c r="F74" s="31">
        <f>A47</f>
        <v/>
      </c>
      <c r="G74" s="31">
        <f>B47</f>
        <v/>
      </c>
      <c r="H74" s="31">
        <f>C47</f>
        <v/>
      </c>
      <c r="I74" s="31">
        <f>D47</f>
        <v/>
      </c>
      <c r="J74" s="31">
        <f>E47</f>
        <v/>
      </c>
      <c r="K74" s="31">
        <f>F47</f>
        <v/>
      </c>
      <c r="L74" s="31">
        <f>G47</f>
        <v/>
      </c>
      <c r="M74" s="31">
        <f>H47</f>
        <v/>
      </c>
      <c r="N74" s="31">
        <f>I47</f>
        <v/>
      </c>
      <c r="O74" s="31">
        <f>J47</f>
        <v/>
      </c>
      <c r="P74" s="31">
        <f>K47</f>
        <v/>
      </c>
      <c r="Q74" s="31">
        <f>L47</f>
        <v/>
      </c>
      <c r="R74" s="31">
        <f>M47</f>
        <v/>
      </c>
      <c r="S74" s="31">
        <f>N47</f>
        <v/>
      </c>
      <c r="T74" s="31">
        <f>O47</f>
        <v/>
      </c>
      <c r="U74" s="31">
        <f>P47</f>
        <v/>
      </c>
      <c r="V74" s="31">
        <f>Q47</f>
        <v/>
      </c>
      <c r="W74" s="31">
        <f>R47</f>
        <v/>
      </c>
      <c r="X74" s="31">
        <f>S47</f>
        <v/>
      </c>
      <c r="Y74" s="31">
        <f>T47</f>
        <v/>
      </c>
      <c r="Z74" s="31">
        <f>U47</f>
        <v/>
      </c>
      <c r="AA74" s="31">
        <f>V47</f>
        <v/>
      </c>
      <c r="AB74" s="31">
        <f>W47</f>
        <v/>
      </c>
      <c r="AC74" s="31">
        <f>X47</f>
        <v/>
      </c>
      <c r="AD74" s="31">
        <f>Y47</f>
        <v/>
      </c>
      <c r="AE74" s="31">
        <f>Z47</f>
        <v/>
      </c>
      <c r="AF74" s="31">
        <f>AA47</f>
        <v/>
      </c>
      <c r="AG74" s="31">
        <f>AB47</f>
        <v/>
      </c>
      <c r="AH74" s="31">
        <f>AC47</f>
        <v/>
      </c>
      <c r="AI74" s="31">
        <f>AD47</f>
        <v/>
      </c>
      <c r="AJ74" s="31">
        <f>AE47</f>
        <v/>
      </c>
      <c r="AK74" s="31">
        <f>AF47</f>
        <v/>
      </c>
      <c r="AL74" s="31">
        <f>AG47</f>
        <v/>
      </c>
      <c r="AM74" s="31">
        <f>AH47</f>
        <v/>
      </c>
    </row>
    <row r="75" ht="15.75" customHeight="1" s="82">
      <c r="A75" s="35" t="inlineStr">
        <is>
          <t>Class5</t>
        </is>
      </c>
      <c r="B75" s="35" t="inlineStr">
        <is>
          <t>8.1 - 8.4</t>
        </is>
      </c>
      <c r="C75" s="36" t="n">
        <v>8.199999999999999</v>
      </c>
      <c r="D75" s="37" t="n">
        <v>1222</v>
      </c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  <c r="AL75" s="31" t="n"/>
      <c r="AM75" s="31" t="n"/>
    </row>
    <row r="76" ht="15.75" customHeight="1" s="82">
      <c r="A76" s="32" t="inlineStr">
        <is>
          <t>Class6</t>
        </is>
      </c>
      <c r="B76" s="33" t="inlineStr">
        <is>
          <t>7.6 - 8.1</t>
        </is>
      </c>
      <c r="C76" s="33" t="n">
        <v>7.8</v>
      </c>
      <c r="D76" s="34" t="n">
        <v>2404</v>
      </c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  <c r="AL76" s="31" t="n"/>
      <c r="AM76" s="31" t="n"/>
    </row>
    <row r="77" ht="15.75" customHeight="1" s="82">
      <c r="A77" s="35" t="inlineStr">
        <is>
          <t>Class7</t>
        </is>
      </c>
      <c r="B77" s="35" t="inlineStr">
        <is>
          <t>7.1 - 7.6</t>
        </is>
      </c>
      <c r="C77" s="36" t="n">
        <v>7.4</v>
      </c>
      <c r="D77" s="37" t="n">
        <v>2444</v>
      </c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  <c r="AL77" s="31" t="n"/>
      <c r="AM77" s="31" t="n"/>
    </row>
    <row r="78" ht="15.75" customHeight="1" s="82">
      <c r="A78" s="32" t="inlineStr">
        <is>
          <t>Class8</t>
        </is>
      </c>
      <c r="B78" s="32" t="inlineStr">
        <is>
          <t>6.5 - 7.1</t>
        </is>
      </c>
      <c r="C78" s="33" t="n">
        <v>6.8</v>
      </c>
      <c r="D78" s="34" t="n">
        <v>2441</v>
      </c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  <c r="AG78" s="31" t="n"/>
      <c r="AH78" s="31" t="n"/>
      <c r="AI78" s="31" t="n"/>
      <c r="AJ78" s="31" t="n"/>
      <c r="AK78" s="31" t="n"/>
      <c r="AL78" s="31" t="n"/>
      <c r="AM78" s="31" t="n"/>
    </row>
    <row r="79" ht="31.5" customHeight="1" s="82">
      <c r="A79" s="35" t="inlineStr">
        <is>
          <t>Class9</t>
        </is>
      </c>
      <c r="B79" s="35" t="inlineStr">
        <is>
          <t>5.9 - 6.5</t>
        </is>
      </c>
      <c r="C79" s="36" t="n">
        <v>6.2</v>
      </c>
      <c r="D79" s="37" t="n">
        <v>2406</v>
      </c>
      <c r="F79" s="38" t="inlineStr">
        <is>
          <t>Weighted average of first 4 classes</t>
        </is>
      </c>
      <c r="G79" s="31">
        <f>SUMPRODUCT(G71:G74,$D$71:$D$74)/SUM($D$71:$D$74)</f>
        <v/>
      </c>
      <c r="H79" s="31">
        <f>SUMPRODUCT(H71:H74,$D$71:$D$74)/SUM($D$71:$D$74)</f>
        <v/>
      </c>
      <c r="I79" s="31">
        <f>SUMPRODUCT(I71:I74,$D$71:$D$74)/SUM($D$71:$D$74)</f>
        <v/>
      </c>
      <c r="J79" s="31">
        <f>SUMPRODUCT(J71:J74,$D$71:$D$74)/SUM($D$71:$D$74)</f>
        <v/>
      </c>
      <c r="K79" s="31">
        <f>SUMPRODUCT(K71:K74,$D$71:$D$74)/SUM($D$71:$D$74)</f>
        <v/>
      </c>
      <c r="L79" s="31">
        <f>SUMPRODUCT(L71:L74,$D$71:$D$74)/SUM($D$71:$D$74)</f>
        <v/>
      </c>
      <c r="M79" s="31">
        <f>SUMPRODUCT(M71:M74,$D$71:$D$74)/SUM($D$71:$D$74)</f>
        <v/>
      </c>
      <c r="N79" s="31">
        <f>SUMPRODUCT(N71:N74,$D$71:$D$74)/SUM($D$71:$D$74)</f>
        <v/>
      </c>
      <c r="O79" s="31">
        <f>SUMPRODUCT(O71:O74,$D$71:$D$74)/SUM($D$71:$D$74)</f>
        <v/>
      </c>
      <c r="P79" s="31">
        <f>SUMPRODUCT(P71:P74,$D$71:$D$74)/SUM($D$71:$D$74)</f>
        <v/>
      </c>
      <c r="Q79" s="31">
        <f>SUMPRODUCT(Q71:Q74,$D$71:$D$74)/SUM($D$71:$D$74)</f>
        <v/>
      </c>
      <c r="R79" s="31">
        <f>SUMPRODUCT(R71:R74,$D$71:$D$74)/SUM($D$71:$D$74)</f>
        <v/>
      </c>
      <c r="S79" s="31">
        <f>SUMPRODUCT(S71:S74,$D$71:$D$74)/SUM($D$71:$D$74)</f>
        <v/>
      </c>
      <c r="T79" s="31">
        <f>SUMPRODUCT(T71:T74,$D$71:$D$74)/SUM($D$71:$D$74)</f>
        <v/>
      </c>
      <c r="U79" s="31">
        <f>SUMPRODUCT(U71:U74,$D$71:$D$74)/SUM($D$71:$D$74)</f>
        <v/>
      </c>
      <c r="V79" s="31">
        <f>SUMPRODUCT(V71:V74,$D$71:$D$74)/SUM($D$71:$D$74)</f>
        <v/>
      </c>
      <c r="W79" s="31">
        <f>SUMPRODUCT(W71:W74,$D$71:$D$74)/SUM($D$71:$D$74)</f>
        <v/>
      </c>
      <c r="X79" s="31">
        <f>SUMPRODUCT(X71:X74,$D$71:$D$74)/SUM($D$71:$D$74)</f>
        <v/>
      </c>
      <c r="Y79" s="31">
        <f>SUMPRODUCT(Y71:Y74,$D$71:$D$74)/SUM($D$71:$D$74)</f>
        <v/>
      </c>
      <c r="Z79" s="31">
        <f>SUMPRODUCT(Z71:Z74,$D$71:$D$74)/SUM($D$71:$D$74)</f>
        <v/>
      </c>
      <c r="AA79" s="31">
        <f>SUMPRODUCT(AA71:AA74,$D$71:$D$74)/SUM($D$71:$D$74)</f>
        <v/>
      </c>
      <c r="AB79" s="31">
        <f>SUMPRODUCT(AB71:AB74,$D$71:$D$74)/SUM($D$71:$D$74)</f>
        <v/>
      </c>
      <c r="AC79" s="31">
        <f>SUMPRODUCT(AC71:AC74,$D$71:$D$74)/SUM($D$71:$D$74)</f>
        <v/>
      </c>
      <c r="AD79" s="31">
        <f>SUMPRODUCT(AD71:AD74,$D$71:$D$74)/SUM($D$71:$D$74)</f>
        <v/>
      </c>
      <c r="AE79" s="31">
        <f>SUMPRODUCT(AE71:AE74,$D$71:$D$74)/SUM($D$71:$D$74)</f>
        <v/>
      </c>
      <c r="AF79" s="31">
        <f>SUMPRODUCT(AF71:AF74,$D$71:$D$74)/SUM($D$71:$D$74)</f>
        <v/>
      </c>
      <c r="AG79" s="31">
        <f>SUMPRODUCT(AG71:AG74,$D$71:$D$74)/SUM($D$71:$D$74)</f>
        <v/>
      </c>
      <c r="AH79" s="31">
        <f>SUMPRODUCT(AH71:AH74,$D$71:$D$74)/SUM($D$71:$D$74)</f>
        <v/>
      </c>
      <c r="AI79" s="31">
        <f>SUMPRODUCT(AI71:AI74,$D$71:$D$74)/SUM($D$71:$D$74)</f>
        <v/>
      </c>
      <c r="AJ79" s="31">
        <f>SUMPRODUCT(AJ71:AJ74,$D$71:$D$74)/SUM($D$71:$D$74)</f>
        <v/>
      </c>
      <c r="AK79" s="31">
        <f>SUMPRODUCT(AK71:AK74,$D$71:$D$74)/SUM($D$71:$D$74)</f>
        <v/>
      </c>
      <c r="AL79" s="31">
        <f>SUMPRODUCT(AL71:AL74,$D$71:$D$74)/SUM($D$71:$D$74)</f>
        <v/>
      </c>
      <c r="AM79" s="31">
        <f>SUMPRODUCT(AM71:AM74,$D$71:$D$74)/SUM($D$71:$D$74)</f>
        <v/>
      </c>
    </row>
    <row r="80" ht="15.75" customHeight="1" s="82">
      <c r="A80" s="39" t="inlineStr">
        <is>
          <t>Class10</t>
        </is>
      </c>
      <c r="B80" s="39" t="inlineStr">
        <is>
          <t>0 - 5.9</t>
        </is>
      </c>
      <c r="C80" s="40" t="n">
        <v>5.2</v>
      </c>
      <c r="D80" s="41" t="n">
        <v>3044</v>
      </c>
      <c r="F80" s="2" t="n"/>
    </row>
    <row r="81" ht="15.75" customHeight="1" s="82">
      <c r="A81" s="42" t="inlineStr">
        <is>
          <t>Total</t>
        </is>
      </c>
      <c r="B81" s="43" t="n"/>
      <c r="C81" s="43" t="n"/>
      <c r="D81" s="44" t="n">
        <v>15176</v>
      </c>
      <c r="F81" s="2" t="n"/>
    </row>
    <row r="82" ht="15.75" customHeight="1" s="82">
      <c r="A82" s="2" t="n"/>
      <c r="F82" s="2" t="n"/>
    </row>
    <row r="83" ht="15.75" customHeight="1" s="82">
      <c r="A83" s="21" t="inlineStr">
        <is>
          <t>ATB Offshore Wind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</row>
    <row r="84" ht="15.75" customHeight="1" s="82">
      <c r="A84" s="12" t="n"/>
      <c r="B84" s="13" t="n">
        <v>2018</v>
      </c>
      <c r="C84" s="13" t="n">
        <v>2019</v>
      </c>
      <c r="D84" s="13" t="n">
        <v>2020</v>
      </c>
      <c r="E84" s="13" t="n">
        <v>2021</v>
      </c>
      <c r="F84" s="13" t="n">
        <v>2022</v>
      </c>
      <c r="G84" s="13" t="n">
        <v>2023</v>
      </c>
      <c r="H84" s="13" t="n">
        <v>2024</v>
      </c>
      <c r="I84" s="13" t="n">
        <v>2025</v>
      </c>
      <c r="J84" s="13" t="n">
        <v>2026</v>
      </c>
      <c r="K84" s="13" t="n">
        <v>2027</v>
      </c>
      <c r="L84" s="13" t="n">
        <v>2028</v>
      </c>
      <c r="M84" s="13" t="n">
        <v>2029</v>
      </c>
      <c r="N84" s="13" t="n">
        <v>2030</v>
      </c>
      <c r="O84" s="13" t="n">
        <v>2031</v>
      </c>
      <c r="P84" s="13" t="n">
        <v>2032</v>
      </c>
      <c r="Q84" s="13" t="n">
        <v>2033</v>
      </c>
      <c r="R84" s="13" t="n">
        <v>2034</v>
      </c>
      <c r="S84" s="13" t="n">
        <v>2035</v>
      </c>
      <c r="T84" s="13" t="n">
        <v>2036</v>
      </c>
      <c r="U84" s="13" t="n">
        <v>2037</v>
      </c>
      <c r="V84" s="13" t="n">
        <v>2038</v>
      </c>
      <c r="W84" s="13" t="n">
        <v>2039</v>
      </c>
      <c r="X84" s="13" t="n">
        <v>2040</v>
      </c>
      <c r="Y84" s="13" t="n">
        <v>2041</v>
      </c>
      <c r="Z84" s="13" t="n">
        <v>2042</v>
      </c>
      <c r="AA84" s="13" t="n">
        <v>2043</v>
      </c>
      <c r="AB84" s="13" t="n">
        <v>2044</v>
      </c>
      <c r="AC84" s="13" t="n">
        <v>2045</v>
      </c>
      <c r="AD84" s="13" t="n">
        <v>2046</v>
      </c>
      <c r="AE84" s="13" t="n">
        <v>2047</v>
      </c>
      <c r="AF84" s="13" t="n">
        <v>2048</v>
      </c>
      <c r="AG84" s="13" t="n">
        <v>2049</v>
      </c>
      <c r="AH84" s="13" t="n">
        <v>2050</v>
      </c>
    </row>
    <row r="85" ht="15.75" customHeight="1" s="82">
      <c r="A85" s="14" t="inlineStr">
        <is>
          <t>Class 1 - Advanced</t>
        </is>
      </c>
      <c r="B85" s="22" t="n">
        <v>0.4388755534209584</v>
      </c>
      <c r="C85" s="22" t="n">
        <v>0.4518620977077075</v>
      </c>
      <c r="D85" s="22" t="n">
        <v>0.4594953022569039</v>
      </c>
      <c r="E85" s="22" t="n">
        <v>0.4649261835087564</v>
      </c>
      <c r="F85" s="22" t="n">
        <v>0.4691469194645805</v>
      </c>
      <c r="G85" s="22" t="n">
        <v>0.4726006905529389</v>
      </c>
      <c r="H85" s="22" t="n">
        <v>0.4755243734514709</v>
      </c>
      <c r="I85" s="22" t="n">
        <v>0.4780595806591297</v>
      </c>
      <c r="J85" s="22" t="n">
        <v>0.480297770129186</v>
      </c>
      <c r="K85" s="22" t="n">
        <v>0.4823014550312244</v>
      </c>
      <c r="L85" s="22" t="n">
        <v>0.4841152643904463</v>
      </c>
      <c r="M85" s="22" t="n">
        <v>0.4857721772453863</v>
      </c>
      <c r="N85" s="22" t="n">
        <v>0.4872972562964175</v>
      </c>
      <c r="O85" s="22" t="n">
        <v>0.4887099958538048</v>
      </c>
      <c r="P85" s="22" t="n">
        <v>0.4900258588884955</v>
      </c>
      <c r="Q85" s="22" t="n">
        <v>0.491257317690513</v>
      </c>
      <c r="R85" s="22" t="n">
        <v>0.4924145789171445</v>
      </c>
      <c r="S85" s="22" t="n">
        <v>0.4935061013693995</v>
      </c>
      <c r="T85" s="22" t="n">
        <v>0.4945389737818771</v>
      </c>
      <c r="U85" s="22" t="n">
        <v>0.4955191957286761</v>
      </c>
      <c r="V85" s="22" t="n">
        <v>0.4964518900158361</v>
      </c>
      <c r="W85" s="22" t="n">
        <v>0.4973414656868178</v>
      </c>
      <c r="X85" s="22" t="n">
        <v>0.4981917448135055</v>
      </c>
      <c r="Y85" s="22" t="n">
        <v>0.4990060623197118</v>
      </c>
      <c r="Z85" s="22" t="n">
        <v>0.4997873454413053</v>
      </c>
      <c r="AA85" s="22" t="n">
        <v>0.5005381776137869</v>
      </c>
      <c r="AB85" s="22" t="n">
        <v>0.5012608503124828</v>
      </c>
      <c r="AC85" s="22" t="n">
        <v>0.5019574054731691</v>
      </c>
      <c r="AD85" s="22" t="n">
        <v>0.5026296704755472</v>
      </c>
      <c r="AE85" s="22" t="n">
        <v>0.5032792872016171</v>
      </c>
      <c r="AF85" s="22" t="n">
        <v>0.5039077363340412</v>
      </c>
      <c r="AG85" s="22" t="n">
        <v>0.504516357800727</v>
      </c>
      <c r="AH85" s="22" t="n">
        <v>0.5051063680767242</v>
      </c>
    </row>
    <row r="86" ht="15.75" customHeight="1" s="82">
      <c r="A86" s="12" t="inlineStr">
        <is>
          <t>Class 1 - Moderate</t>
        </is>
      </c>
      <c r="B86" s="16" t="n">
        <v>0.4388755534209584</v>
      </c>
      <c r="C86" s="16" t="n">
        <v>0.4496976736599159</v>
      </c>
      <c r="D86" s="16" t="n">
        <v>0.4560282081780016</v>
      </c>
      <c r="E86" s="16" t="n">
        <v>0.4605197938988736</v>
      </c>
      <c r="F86" s="16" t="n">
        <v>0.4640037384500432</v>
      </c>
      <c r="G86" s="16" t="n">
        <v>0.4668503284169593</v>
      </c>
      <c r="H86" s="16" t="n">
        <v>0.4692570859408953</v>
      </c>
      <c r="I86" s="16" t="n">
        <v>0.4713419141378313</v>
      </c>
      <c r="J86" s="16" t="n">
        <v>0.473180862935045</v>
      </c>
      <c r="K86" s="16" t="n">
        <v>0.4748258586890009</v>
      </c>
      <c r="L86" s="16" t="n">
        <v>0.476313938356303</v>
      </c>
      <c r="M86" s="16" t="n">
        <v>0.477672448655917</v>
      </c>
      <c r="N86" s="16" t="n">
        <v>0.4789221569876957</v>
      </c>
      <c r="O86" s="16" t="n">
        <v>0.4800792061798528</v>
      </c>
      <c r="P86" s="16" t="n">
        <v>0.4811563932070865</v>
      </c>
      <c r="Q86" s="16" t="n">
        <v>0.4821640343767889</v>
      </c>
      <c r="R86" s="16" t="n">
        <v>0.4831105677612409</v>
      </c>
      <c r="S86" s="16" t="n">
        <v>0.4840029831740026</v>
      </c>
      <c r="T86" s="16" t="n">
        <v>0.4848471357378212</v>
      </c>
      <c r="U86" s="16" t="n">
        <v>0.4856479789279585</v>
      </c>
      <c r="V86" s="16" t="n">
        <v>0.4864097406979387</v>
      </c>
      <c r="W86" s="16" t="n">
        <v>0.4871360585952607</v>
      </c>
      <c r="X86" s="16" t="n">
        <v>0.4878300848177817</v>
      </c>
      <c r="Y86" s="16" t="n">
        <v>0.4884945688948746</v>
      </c>
      <c r="Z86" s="16" t="n">
        <v>0.489131923479128</v>
      </c>
      <c r="AA86" s="16" t="n">
        <v>0.4897442772266533</v>
      </c>
      <c r="AB86" s="16" t="n">
        <v>0.4903335176920883</v>
      </c>
      <c r="AC86" s="16" t="n">
        <v>0.4909013264188105</v>
      </c>
      <c r="AD86" s="16" t="n">
        <v>0.4914492078688</v>
      </c>
      <c r="AE86" s="16" t="n">
        <v>0.4919785134460442</v>
      </c>
      <c r="AF86" s="16" t="n">
        <v>0.4924904615793654</v>
      </c>
      <c r="AG86" s="16" t="n">
        <v>0.4929861546157465</v>
      </c>
      <c r="AH86" s="16" t="n">
        <v>0.4934665931133464</v>
      </c>
    </row>
    <row r="87" ht="15.75" customHeight="1" s="82">
      <c r="A87" s="17" t="inlineStr">
        <is>
          <t>Class 1 - Conservative</t>
        </is>
      </c>
      <c r="B87" s="23" t="n">
        <v>0.4388755534209584</v>
      </c>
      <c r="C87" s="23" t="n">
        <v>0.4442866135404371</v>
      </c>
      <c r="D87" s="23" t="n">
        <v>0.4474137942083409</v>
      </c>
      <c r="E87" s="23" t="n">
        <v>0.4496171638391544</v>
      </c>
      <c r="F87" s="23" t="n">
        <v>0.4513178955870863</v>
      </c>
      <c r="G87" s="23" t="n">
        <v>0.4527022777450397</v>
      </c>
      <c r="H87" s="23" t="n">
        <v>0.4538691877231908</v>
      </c>
      <c r="I87" s="23" t="n">
        <v>0.4548774189344346</v>
      </c>
      <c r="J87" s="23" t="n">
        <v>0.4557647750737238</v>
      </c>
      <c r="K87" s="23" t="n">
        <v>0.4565569997583281</v>
      </c>
      <c r="L87" s="23" t="n">
        <v>0.4572724127627722</v>
      </c>
      <c r="M87" s="23" t="n">
        <v>0.4579245134388632</v>
      </c>
      <c r="N87" s="23" t="n">
        <v>0.4585235348827214</v>
      </c>
      <c r="O87" s="23" t="n">
        <v>0.4590774185127438</v>
      </c>
      <c r="P87" s="23" t="n">
        <v>0.4595924504422174</v>
      </c>
      <c r="Q87" s="23" t="n">
        <v>0.4600736913452669</v>
      </c>
      <c r="R87" s="23" t="n">
        <v>0.4605252753261512</v>
      </c>
      <c r="S87" s="23" t="n">
        <v>0.4609506229391954</v>
      </c>
      <c r="T87" s="23" t="n">
        <v>0.4613525963398511</v>
      </c>
      <c r="U87" s="23" t="n">
        <v>0.4617336144564876</v>
      </c>
      <c r="V87" s="23" t="n">
        <v>0.462095739936948</v>
      </c>
      <c r="W87" s="23" t="n">
        <v>0.4624407457809005</v>
      </c>
      <c r="X87" s="23" t="n">
        <v>0.4627701670978726</v>
      </c>
      <c r="Y87" s="23" t="n">
        <v>0.4630853418041487</v>
      </c>
      <c r="Z87" s="23" t="n">
        <v>0.4633874429781363</v>
      </c>
      <c r="AA87" s="23" t="n">
        <v>0.4636775048445194</v>
      </c>
      <c r="AB87" s="23" t="n">
        <v>0.463956443835204</v>
      </c>
      <c r="AC87" s="23" t="n">
        <v>0.4642250758052033</v>
      </c>
      <c r="AD87" s="23" t="n">
        <v>0.4644841302159024</v>
      </c>
      <c r="AE87" s="23" t="n">
        <v>0.4647342619047201</v>
      </c>
      <c r="AF87" s="23" t="n">
        <v>0.4649760609176546</v>
      </c>
      <c r="AG87" s="23" t="n">
        <v>0.4652100607749732</v>
      </c>
      <c r="AH87" s="23" t="n">
        <v>0.4654367454603082</v>
      </c>
    </row>
    <row r="88" ht="15.75" customHeight="1" s="82">
      <c r="A88" s="14" t="inlineStr">
        <is>
          <t>Class 2 - Advanced</t>
        </is>
      </c>
      <c r="B88" s="22" t="n">
        <v>0.4276869155490552</v>
      </c>
      <c r="C88" s="22" t="n">
        <v>0.440342382517646</v>
      </c>
      <c r="D88" s="22" t="n">
        <v>0.4477809871151308</v>
      </c>
      <c r="E88" s="22" t="n">
        <v>0.4530734141669746</v>
      </c>
      <c r="F88" s="22" t="n">
        <v>0.4571865472139683</v>
      </c>
      <c r="G88" s="22" t="n">
        <v>0.4605522682988601</v>
      </c>
      <c r="H88" s="22" t="n">
        <v>0.4634014151952179</v>
      </c>
      <c r="I88" s="22" t="n">
        <v>0.4658719901508508</v>
      </c>
      <c r="J88" s="22" t="n">
        <v>0.4680531195015317</v>
      </c>
      <c r="K88" s="22" t="n">
        <v>0.4700057227140033</v>
      </c>
      <c r="L88" s="22" t="n">
        <v>0.4717732910467409</v>
      </c>
      <c r="M88" s="22" t="n">
        <v>0.4733879627748405</v>
      </c>
      <c r="N88" s="22" t="n">
        <v>0.4748741616533603</v>
      </c>
      <c r="O88" s="22" t="n">
        <v>0.4762508850070842</v>
      </c>
      <c r="P88" s="22" t="n">
        <v>0.477533201595933</v>
      </c>
      <c r="Q88" s="22" t="n">
        <v>0.478733265742945</v>
      </c>
      <c r="R88" s="22" t="n">
        <v>0.4798610238981773</v>
      </c>
      <c r="S88" s="22" t="n">
        <v>0.4809247192150358</v>
      </c>
      <c r="T88" s="22" t="n">
        <v>0.4819312597088156</v>
      </c>
      <c r="U88" s="22" t="n">
        <v>0.4828864920012323</v>
      </c>
      <c r="V88" s="22" t="n">
        <v>0.4837954082981559</v>
      </c>
      <c r="W88" s="22" t="n">
        <v>0.4846623052394506</v>
      </c>
      <c r="X88" s="22" t="n">
        <v>0.4854909074575832</v>
      </c>
      <c r="Y88" s="22" t="n">
        <v>0.4862844648562405</v>
      </c>
      <c r="Z88" s="22" t="n">
        <v>0.4870458300447096</v>
      </c>
      <c r="AA88" s="22" t="n">
        <v>0.4877775205967137</v>
      </c>
      <c r="AB88" s="22" t="n">
        <v>0.4884817695689964</v>
      </c>
      <c r="AC88" s="22" t="n">
        <v>0.4891605668404816</v>
      </c>
      <c r="AD88" s="22" t="n">
        <v>0.4898156932038835</v>
      </c>
      <c r="AE88" s="22" t="n">
        <v>0.4904487486832699</v>
      </c>
      <c r="AF88" s="22" t="n">
        <v>0.4910611762129668</v>
      </c>
      <c r="AG88" s="22" t="n">
        <v>0.4916542815609289</v>
      </c>
      <c r="AH88" s="22" t="n">
        <v>0.4922292501895448</v>
      </c>
    </row>
    <row r="89" ht="15.75" customHeight="1" s="82">
      <c r="A89" s="12" t="inlineStr">
        <is>
          <t>Class 2 - Moderate</t>
        </is>
      </c>
      <c r="B89" s="16" t="n">
        <v>0.4276869155490552</v>
      </c>
      <c r="C89" s="16" t="n">
        <v>0.4382331380228808</v>
      </c>
      <c r="D89" s="16" t="n">
        <v>0.4444022826943315</v>
      </c>
      <c r="E89" s="16" t="n">
        <v>0.4487793604967065</v>
      </c>
      <c r="F89" s="16" t="n">
        <v>0.4521744858059635</v>
      </c>
      <c r="G89" s="16" t="n">
        <v>0.4549485051681573</v>
      </c>
      <c r="H89" s="16" t="n">
        <v>0.4572939051200642</v>
      </c>
      <c r="I89" s="16" t="n">
        <v>0.4593255829705322</v>
      </c>
      <c r="J89" s="16" t="n">
        <v>0.4611176498396079</v>
      </c>
      <c r="K89" s="16" t="n">
        <v>0.4627207082797892</v>
      </c>
      <c r="L89" s="16" t="n">
        <v>0.4641708510321909</v>
      </c>
      <c r="M89" s="16" t="n">
        <v>0.4654947276419829</v>
      </c>
      <c r="N89" s="16" t="n">
        <v>0.4667125760675518</v>
      </c>
      <c r="O89" s="16" t="n">
        <v>0.4678401275938898</v>
      </c>
      <c r="P89" s="16" t="n">
        <v>0.4688898529512398</v>
      </c>
      <c r="Q89" s="16" t="n">
        <v>0.4698718054443578</v>
      </c>
      <c r="R89" s="16" t="n">
        <v>0.4707942080263768</v>
      </c>
      <c r="S89" s="16" t="n">
        <v>0.4716638723134337</v>
      </c>
      <c r="T89" s="16" t="n">
        <v>0.4724865041585163</v>
      </c>
      <c r="U89" s="16" t="n">
        <v>0.4732669307536148</v>
      </c>
      <c r="V89" s="16" t="n">
        <v>0.4740092722653406</v>
      </c>
      <c r="W89" s="16" t="n">
        <v>0.4747170735060166</v>
      </c>
      <c r="X89" s="16" t="n">
        <v>0.4753934063117664</v>
      </c>
      <c r="Y89" s="16" t="n">
        <v>0.4760409501158085</v>
      </c>
      <c r="Z89" s="16" t="n">
        <v>0.4766620560628717</v>
      </c>
      <c r="AA89" s="16" t="n">
        <v>0.4772587985413774</v>
      </c>
      <c r="AB89" s="16" t="n">
        <v>0.4778330169848843</v>
      </c>
      <c r="AC89" s="16" t="n">
        <v>0.4783863500677154</v>
      </c>
      <c r="AD89" s="16" t="n">
        <v>0.4789202638972874</v>
      </c>
      <c r="AE89" s="16" t="n">
        <v>0.4794360754250654</v>
      </c>
      <c r="AF89" s="16" t="n">
        <v>0.4799349720174013</v>
      </c>
      <c r="AG89" s="16" t="n">
        <v>0.4804180279181834</v>
      </c>
      <c r="AH89" s="16" t="n">
        <v>0.4808862181774673</v>
      </c>
    </row>
    <row r="90" ht="15.75" customHeight="1" s="82">
      <c r="A90" s="17" t="inlineStr">
        <is>
          <t>Class 2 - Conservative</t>
        </is>
      </c>
      <c r="B90" s="23" t="n">
        <v>0.4276869155490552</v>
      </c>
      <c r="C90" s="23" t="n">
        <v>0.432960026785968</v>
      </c>
      <c r="D90" s="23" t="n">
        <v>0.4360074835052935</v>
      </c>
      <c r="E90" s="23" t="n">
        <v>0.4381546807093109</v>
      </c>
      <c r="F90" s="23" t="n">
        <v>0.4398120542170845</v>
      </c>
      <c r="G90" s="23" t="n">
        <v>0.4411611431113303</v>
      </c>
      <c r="H90" s="23" t="n">
        <v>0.4422983040340308</v>
      </c>
      <c r="I90" s="23" t="n">
        <v>0.4432808315262457</v>
      </c>
      <c r="J90" s="23" t="n">
        <v>0.4441455655203083</v>
      </c>
      <c r="K90" s="23" t="n">
        <v>0.4449175933289641</v>
      </c>
      <c r="L90" s="23" t="n">
        <v>0.4456147676847226</v>
      </c>
      <c r="M90" s="23" t="n">
        <v>0.4462502437886224</v>
      </c>
      <c r="N90" s="23" t="n">
        <v>0.4468339938555251</v>
      </c>
      <c r="O90" s="23" t="n">
        <v>0.4473737568463112</v>
      </c>
      <c r="P90" s="23" t="n">
        <v>0.4478756586168903</v>
      </c>
      <c r="Q90" s="23" t="n">
        <v>0.4483446308252006</v>
      </c>
      <c r="R90" s="23" t="n">
        <v>0.4487847021811701</v>
      </c>
      <c r="S90" s="23" t="n">
        <v>0.449199206035944</v>
      </c>
      <c r="T90" s="23" t="n">
        <v>0.4495909315775449</v>
      </c>
      <c r="U90" s="23" t="n">
        <v>0.4499622360664879</v>
      </c>
      <c r="V90" s="23" t="n">
        <v>0.4503151295657329</v>
      </c>
      <c r="W90" s="23" t="n">
        <v>0.4506513398743188</v>
      </c>
      <c r="X90" s="23" t="n">
        <v>0.4509723629658847</v>
      </c>
      <c r="Y90" s="23" t="n">
        <v>0.4512795026480465</v>
      </c>
      <c r="Z90" s="23" t="n">
        <v>0.451573902092899</v>
      </c>
      <c r="AA90" s="23" t="n">
        <v>0.4518565691587331</v>
      </c>
      <c r="AB90" s="23" t="n">
        <v>0.4521283969140555</v>
      </c>
      <c r="AC90" s="23" t="n">
        <v>0.4523901804145747</v>
      </c>
      <c r="AD90" s="23" t="n">
        <v>0.4526426305248796</v>
      </c>
      <c r="AE90" s="23" t="n">
        <v>0.4528863853880468</v>
      </c>
      <c r="AF90" s="23" t="n">
        <v>0.4531220200075162</v>
      </c>
      <c r="AG90" s="23" t="n">
        <v>0.4533500543020569</v>
      </c>
      <c r="AH90" s="23" t="n">
        <v>0.4535709599166836</v>
      </c>
    </row>
    <row r="91" ht="15.75" customHeight="1" s="82">
      <c r="A91" s="14" t="inlineStr">
        <is>
          <t>Class 3 - Advanced</t>
        </is>
      </c>
      <c r="B91" s="22" t="n">
        <v>0.4308838077390511</v>
      </c>
      <c r="C91" s="22" t="n">
        <v>0.4436338723257632</v>
      </c>
      <c r="D91" s="22" t="n">
        <v>0.4511280793185461</v>
      </c>
      <c r="E91" s="22" t="n">
        <v>0.4564600664272751</v>
      </c>
      <c r="F91" s="22" t="n">
        <v>0.460603944494601</v>
      </c>
      <c r="G91" s="22" t="n">
        <v>0.4639948238133756</v>
      </c>
      <c r="H91" s="22" t="n">
        <v>0.4668652676330902</v>
      </c>
      <c r="I91" s="22" t="n">
        <v>0.4693543097465745</v>
      </c>
      <c r="J91" s="22" t="n">
        <v>0.4715517426948944</v>
      </c>
      <c r="K91" s="22" t="n">
        <v>0.4735189413081911</v>
      </c>
      <c r="L91" s="22" t="n">
        <v>0.4752997219352327</v>
      </c>
      <c r="M91" s="22" t="n">
        <v>0.4769264630796491</v>
      </c>
      <c r="N91" s="45" t="n">
        <v>0.4784237710602124</v>
      </c>
      <c r="O91" s="22" t="n">
        <v>0.479810785203711</v>
      </c>
      <c r="P91" s="22" t="n">
        <v>0.4811026869066677</v>
      </c>
      <c r="Q91" s="22" t="n">
        <v>0.4823117213437672</v>
      </c>
      <c r="R91" s="22" t="n">
        <v>0.4834479093132107</v>
      </c>
      <c r="S91" s="22" t="n">
        <v>0.4845195555846749</v>
      </c>
      <c r="T91" s="22" t="n">
        <v>0.485533619809779</v>
      </c>
      <c r="U91" s="22" t="n">
        <v>0.4864959923128129</v>
      </c>
      <c r="V91" s="22" t="n">
        <v>0.4874117026155977</v>
      </c>
      <c r="W91" s="22" t="n">
        <v>0.4882850794747024</v>
      </c>
      <c r="X91" s="22" t="n">
        <v>0.4891198753636335</v>
      </c>
      <c r="Y91" s="22" t="n">
        <v>0.4899193644785951</v>
      </c>
      <c r="Z91" s="22" t="n">
        <v>0.4906864207516783</v>
      </c>
      <c r="AA91" s="22" t="n">
        <v>0.4914235805750727</v>
      </c>
      <c r="AB91" s="22" t="n">
        <v>0.4921330936972685</v>
      </c>
      <c r="AC91" s="22" t="n">
        <v>0.4928169648712205</v>
      </c>
      <c r="AD91" s="22" t="n">
        <v>0.4934769882007872</v>
      </c>
      <c r="AE91" s="22" t="n">
        <v>0.4941147756699641</v>
      </c>
      <c r="AF91" s="22" t="n">
        <v>0.4947317809987833</v>
      </c>
      <c r="AG91" s="22" t="n">
        <v>0.4953293197156091</v>
      </c>
      <c r="AH91" s="22" t="n">
        <v>0.495908586143974</v>
      </c>
    </row>
    <row r="92" ht="15.75" customHeight="1" s="82">
      <c r="A92" s="12" t="inlineStr">
        <is>
          <t>Class 3 - Moderate</t>
        </is>
      </c>
      <c r="B92" s="16" t="n">
        <v>0.4308838077390511</v>
      </c>
      <c r="C92" s="16" t="n">
        <v>0.4415088615613112</v>
      </c>
      <c r="D92" s="16" t="n">
        <v>0.4477241196154774</v>
      </c>
      <c r="E92" s="16" t="n">
        <v>0.4521339153835714</v>
      </c>
      <c r="F92" s="16" t="n">
        <v>0.4555544187186474</v>
      </c>
      <c r="G92" s="16" t="n">
        <v>0.4583491734377377</v>
      </c>
      <c r="H92" s="16" t="n">
        <v>0.4607121048841002</v>
      </c>
      <c r="I92" s="16" t="n">
        <v>0.4627589692058316</v>
      </c>
      <c r="J92" s="16" t="n">
        <v>0.4645644314919038</v>
      </c>
      <c r="K92" s="16" t="n">
        <v>0.4661794725409076</v>
      </c>
      <c r="L92" s="16" t="n">
        <v>0.467640454881501</v>
      </c>
      <c r="M92" s="16" t="n">
        <v>0.4689742272599978</v>
      </c>
      <c r="N92" s="46" t="n">
        <v>0.4702011789103295</v>
      </c>
      <c r="O92" s="16" t="n">
        <v>0.4713371587063603</v>
      </c>
      <c r="P92" s="16" t="n">
        <v>0.4723947305950736</v>
      </c>
      <c r="Q92" s="16" t="n">
        <v>0.4733840230280918</v>
      </c>
      <c r="R92" s="16" t="n">
        <v>0.4743133204238245</v>
      </c>
      <c r="S92" s="16" t="n">
        <v>0.4751894853141641</v>
      </c>
      <c r="T92" s="16" t="n">
        <v>0.4760182662024491</v>
      </c>
      <c r="U92" s="16" t="n">
        <v>0.4768045263631677</v>
      </c>
      <c r="V92" s="16" t="n">
        <v>0.4775524167605266</v>
      </c>
      <c r="W92" s="16" t="n">
        <v>0.4782655087037612</v>
      </c>
      <c r="X92" s="16" t="n">
        <v>0.4789468969904853</v>
      </c>
      <c r="Y92" s="16" t="n">
        <v>0.479599281082258</v>
      </c>
      <c r="Z92" s="16" t="n">
        <v>0.4802250296982436</v>
      </c>
      <c r="AA92" s="16" t="n">
        <v>0.4808262327325896</v>
      </c>
      <c r="AB92" s="16" t="n">
        <v>0.4814047433683302</v>
      </c>
      <c r="AC92" s="16" t="n">
        <v>0.4819622125286205</v>
      </c>
      <c r="AD92" s="16" t="n">
        <v>0.4825001172797986</v>
      </c>
      <c r="AE92" s="16" t="n">
        <v>0.483019784417334</v>
      </c>
      <c r="AF92" s="16" t="n">
        <v>0.4835224101829544</v>
      </c>
      <c r="AG92" s="16" t="n">
        <v>0.484009076850352</v>
      </c>
      <c r="AH92" s="16" t="n">
        <v>0.4844807667579275</v>
      </c>
    </row>
    <row r="93" ht="15.75" customHeight="1" s="82">
      <c r="A93" s="17" t="inlineStr">
        <is>
          <t>Class 3 - Conservative</t>
        </is>
      </c>
      <c r="B93" s="23" t="n">
        <v>0.4308838077390511</v>
      </c>
      <c r="C93" s="23" t="n">
        <v>0.4361963346501812</v>
      </c>
      <c r="D93" s="23" t="n">
        <v>0.4392665706274899</v>
      </c>
      <c r="E93" s="23" t="n">
        <v>0.4414298177917056</v>
      </c>
      <c r="F93" s="23" t="n">
        <v>0.4430995799048592</v>
      </c>
      <c r="G93" s="23" t="n">
        <v>0.4444587530256568</v>
      </c>
      <c r="H93" s="23" t="n">
        <v>0.4456044140467713</v>
      </c>
      <c r="I93" s="23" t="n">
        <v>0.4465942857769138</v>
      </c>
      <c r="J93" s="23" t="n">
        <v>0.4474654835210972</v>
      </c>
      <c r="K93" s="23" t="n">
        <v>0.4482432821157702</v>
      </c>
      <c r="L93" s="23" t="n">
        <v>0.4489456677397997</v>
      </c>
      <c r="M93" s="23" t="n">
        <v>0.4495858939272762</v>
      </c>
      <c r="N93" s="47" t="n">
        <v>0.4501740074337931</v>
      </c>
      <c r="O93" s="23" t="n">
        <v>0.4507178050677422</v>
      </c>
      <c r="P93" s="23" t="n">
        <v>0.4512234584748389</v>
      </c>
      <c r="Q93" s="23" t="n">
        <v>0.4516959361763864</v>
      </c>
      <c r="R93" s="23" t="n">
        <v>0.4521392969962833</v>
      </c>
      <c r="S93" s="23" t="n">
        <v>0.4525568992019487</v>
      </c>
      <c r="T93" s="23" t="n">
        <v>0.4529515528301452</v>
      </c>
      <c r="U93" s="23" t="n">
        <v>0.4533256327615385</v>
      </c>
      <c r="V93" s="23" t="n">
        <v>0.4536811640839916</v>
      </c>
      <c r="W93" s="23" t="n">
        <v>0.4540198875115685</v>
      </c>
      <c r="X93" s="23" t="n">
        <v>0.4543433102000754</v>
      </c>
      <c r="Y93" s="23" t="n">
        <v>0.4546527457028842</v>
      </c>
      <c r="Z93" s="23" t="n">
        <v>0.4549493457371206</v>
      </c>
      <c r="AA93" s="23" t="n">
        <v>0.4552341256946572</v>
      </c>
      <c r="AB93" s="23" t="n">
        <v>0.4555079853195468</v>
      </c>
      <c r="AC93" s="23" t="n">
        <v>0.4557717256104139</v>
      </c>
      <c r="AD93" s="23" t="n">
        <v>0.4560260627454481</v>
      </c>
      <c r="AE93" s="23" t="n">
        <v>0.4562716396377445</v>
      </c>
      <c r="AF93" s="23" t="n">
        <v>0.4565090355888032</v>
      </c>
      <c r="AG93" s="23" t="n">
        <v>0.456738774403704</v>
      </c>
      <c r="AH93" s="23" t="n">
        <v>0.4569613312529335</v>
      </c>
    </row>
    <row r="94" ht="15.75" customHeight="1" s="82">
      <c r="A94" s="14" t="inlineStr">
        <is>
          <t>Class 4 - Advanced</t>
        </is>
      </c>
      <c r="B94" s="22" t="n">
        <v>0.4289237030471056</v>
      </c>
      <c r="C94" s="22" t="n">
        <v>0.4416157671683323</v>
      </c>
      <c r="D94" s="22" t="n">
        <v>0.4490758827656505</v>
      </c>
      <c r="E94" s="22" t="n">
        <v>0.454383614488678</v>
      </c>
      <c r="F94" s="22" t="n">
        <v>0.4585086419176259</v>
      </c>
      <c r="G94" s="22" t="n">
        <v>0.4618840960142335</v>
      </c>
      <c r="H94" s="22" t="n">
        <v>0.4647414820900785</v>
      </c>
      <c r="I94" s="22" t="n">
        <v>0.467219201468669</v>
      </c>
      <c r="J94" s="22" t="n">
        <v>0.4694066382218317</v>
      </c>
      <c r="K94" s="22" t="n">
        <v>0.4713648879835757</v>
      </c>
      <c r="L94" s="22" t="n">
        <v>0.4731375677806496</v>
      </c>
      <c r="M94" s="22" t="n">
        <v>0.474756908825799</v>
      </c>
      <c r="N94" s="22" t="n">
        <v>0.4762474055028386</v>
      </c>
      <c r="O94" s="22" t="n">
        <v>0.4776281100731259</v>
      </c>
      <c r="P94" s="22" t="n">
        <v>0.4789141348725091</v>
      </c>
      <c r="Q94" s="22" t="n">
        <v>0.480117669371968</v>
      </c>
      <c r="R94" s="22" t="n">
        <v>0.4812486887847616</v>
      </c>
      <c r="S94" s="22" t="n">
        <v>0.4823154601018945</v>
      </c>
      <c r="T94" s="22" t="n">
        <v>0.4833249113153007</v>
      </c>
      <c r="U94" s="22" t="n">
        <v>0.48428290595399</v>
      </c>
      <c r="V94" s="22" t="n">
        <v>0.4851944506603223</v>
      </c>
      <c r="W94" s="22" t="n">
        <v>0.4860638544992099</v>
      </c>
      <c r="X94" s="22" t="n">
        <v>0.4868948528740332</v>
      </c>
      <c r="Y94" s="22" t="n">
        <v>0.4876907050865694</v>
      </c>
      <c r="Z94" s="22" t="n">
        <v>0.4884542719952977</v>
      </c>
      <c r="AA94" s="22" t="n">
        <v>0.4891880784542755</v>
      </c>
      <c r="AB94" s="22" t="n">
        <v>0.4898943639778129</v>
      </c>
      <c r="AC94" s="22" t="n">
        <v>0.490575124199177</v>
      </c>
      <c r="AD94" s="22" t="n">
        <v>0.4912321450607887</v>
      </c>
      <c r="AE94" s="22" t="n">
        <v>0.4918670312136749</v>
      </c>
      <c r="AF94" s="22" t="n">
        <v>0.4924812297648472</v>
      </c>
      <c r="AG94" s="22" t="n">
        <v>0.4930760502582877</v>
      </c>
      <c r="AH94" s="22" t="n">
        <v>0.493652681584512</v>
      </c>
    </row>
    <row r="95" ht="15.75" customHeight="1" s="82">
      <c r="A95" s="12" t="inlineStr">
        <is>
          <t>Class 4 - Moderate</t>
        </is>
      </c>
      <c r="B95" s="16" t="n">
        <v>0.4289237030471056</v>
      </c>
      <c r="C95" s="16" t="n">
        <v>0.4395004231481278</v>
      </c>
      <c r="D95" s="16" t="n">
        <v>0.4456874077878495</v>
      </c>
      <c r="E95" s="16" t="n">
        <v>0.4500771432491502</v>
      </c>
      <c r="F95" s="16" t="n">
        <v>0.4534820866014291</v>
      </c>
      <c r="G95" s="16" t="n">
        <v>0.4562641278888719</v>
      </c>
      <c r="H95" s="16" t="n">
        <v>0.4586163102819361</v>
      </c>
      <c r="I95" s="16" t="n">
        <v>0.4606538633501724</v>
      </c>
      <c r="J95" s="16" t="n">
        <v>0.4624511125285936</v>
      </c>
      <c r="K95" s="16" t="n">
        <v>0.4640588067024515</v>
      </c>
      <c r="L95" s="16" t="n">
        <v>0.4655131429860588</v>
      </c>
      <c r="M95" s="16" t="n">
        <v>0.4668408479898942</v>
      </c>
      <c r="N95" s="16" t="n">
        <v>0.4680622181965897</v>
      </c>
      <c r="O95" s="16" t="n">
        <v>0.4691930303829583</v>
      </c>
      <c r="P95" s="16" t="n">
        <v>0.4702457913421731</v>
      </c>
      <c r="Q95" s="16" t="n">
        <v>0.4712305834511947</v>
      </c>
      <c r="R95" s="16" t="n">
        <v>0.4721556534423397</v>
      </c>
      <c r="S95" s="16" t="n">
        <v>0.473027832629616</v>
      </c>
      <c r="T95" s="16" t="n">
        <v>0.4738528433662301</v>
      </c>
      <c r="U95" s="16" t="n">
        <v>0.4746355268034738</v>
      </c>
      <c r="V95" s="16" t="n">
        <v>0.4753800150226802</v>
      </c>
      <c r="W95" s="16" t="n">
        <v>0.4760898630870811</v>
      </c>
      <c r="X95" s="16" t="n">
        <v>0.4767681517159535</v>
      </c>
      <c r="Y95" s="16" t="n">
        <v>0.4774175680909165</v>
      </c>
      <c r="Z95" s="16" t="n">
        <v>0.4780404701557527</v>
      </c>
      <c r="AA95" s="16" t="n">
        <v>0.478638938297612</v>
      </c>
      <c r="AB95" s="16" t="n">
        <v>0.4792148172693377</v>
      </c>
      <c r="AC95" s="16" t="n">
        <v>0.4797697504839807</v>
      </c>
      <c r="AD95" s="16" t="n">
        <v>0.4803052082886556</v>
      </c>
      <c r="AE95" s="16" t="n">
        <v>0.4808225114431955</v>
      </c>
      <c r="AF95" s="16" t="n">
        <v>0.4813228507475849</v>
      </c>
      <c r="AG95" s="16" t="n">
        <v>0.4818073035522171</v>
      </c>
      <c r="AH95" s="16" t="n">
        <v>0.4822768477268028</v>
      </c>
    </row>
    <row r="96" ht="15.75" customHeight="1" s="82">
      <c r="A96" s="17" t="inlineStr">
        <is>
          <t>Class 4 - Conservative</t>
        </is>
      </c>
      <c r="B96" s="23" t="n">
        <v>0.4289237030471056</v>
      </c>
      <c r="C96" s="23" t="n">
        <v>0.4342120630976167</v>
      </c>
      <c r="D96" s="23" t="n">
        <v>0.4372683324699234</v>
      </c>
      <c r="E96" s="23" t="n">
        <v>0.4394217389512444</v>
      </c>
      <c r="F96" s="23" t="n">
        <v>0.4410839052613214</v>
      </c>
      <c r="G96" s="23" t="n">
        <v>0.4424368954586408</v>
      </c>
      <c r="H96" s="23" t="n">
        <v>0.4435773448298801</v>
      </c>
      <c r="I96" s="23" t="n">
        <v>0.4445627136007843</v>
      </c>
      <c r="J96" s="23" t="n">
        <v>0.4454299482376165</v>
      </c>
      <c r="K96" s="23" t="n">
        <v>0.4462042086007583</v>
      </c>
      <c r="L96" s="23" t="n">
        <v>0.4469033990493543</v>
      </c>
      <c r="M96" s="23" t="n">
        <v>0.4475407128267299</v>
      </c>
      <c r="N96" s="23" t="n">
        <v>0.4481261509854551</v>
      </c>
      <c r="O96" s="23" t="n">
        <v>0.4486674748659824</v>
      </c>
      <c r="P96" s="23" t="n">
        <v>0.4491708280390068</v>
      </c>
      <c r="Q96" s="23" t="n">
        <v>0.4496411564238638</v>
      </c>
      <c r="R96" s="23" t="n">
        <v>0.4500825003807278</v>
      </c>
      <c r="S96" s="23" t="n">
        <v>0.4504982029001484</v>
      </c>
      <c r="T96" s="23" t="n">
        <v>0.4508910612359379</v>
      </c>
      <c r="U96" s="23" t="n">
        <v>0.4512634394653514</v>
      </c>
      <c r="V96" s="23" t="n">
        <v>0.4516173534640602</v>
      </c>
      <c r="W96" s="23" t="n">
        <v>0.4519545360275627</v>
      </c>
      <c r="X96" s="23" t="n">
        <v>0.452276487455563</v>
      </c>
      <c r="Y96" s="23" t="n">
        <v>0.4525845153260356</v>
      </c>
      <c r="Z96" s="23" t="n">
        <v>0.4528797661169069</v>
      </c>
      <c r="AA96" s="23" t="n">
        <v>0.4531632506009981</v>
      </c>
      <c r="AB96" s="23" t="n">
        <v>0.4534358644293968</v>
      </c>
      <c r="AC96" s="23" t="n">
        <v>0.4536984049569582</v>
      </c>
      <c r="AD96" s="23" t="n">
        <v>0.4539515851039534</v>
      </c>
      <c r="AE96" s="23" t="n">
        <v>0.4541960448588448</v>
      </c>
      <c r="AF96" s="23" t="n">
        <v>0.4544323608878708</v>
      </c>
      <c r="AG96" s="23" t="n">
        <v>0.4546610546133045</v>
      </c>
      <c r="AH96" s="23" t="n">
        <v>0.4548825990440663</v>
      </c>
    </row>
    <row r="97" ht="15.75" customHeight="1" s="82">
      <c r="A97" s="14" t="inlineStr">
        <is>
          <t>Class 5 - Advanced</t>
        </is>
      </c>
      <c r="B97" s="22" t="n">
        <v>0.4220117556670824</v>
      </c>
      <c r="C97" s="22" t="n">
        <v>0.4344992918530922</v>
      </c>
      <c r="D97" s="22" t="n">
        <v>0.4418391904372417</v>
      </c>
      <c r="E97" s="22" t="n">
        <v>0.4470613900198996</v>
      </c>
      <c r="F97" s="22" t="n">
        <v>0.4511199441522507</v>
      </c>
      <c r="G97" s="22" t="n">
        <v>0.4544410040502312</v>
      </c>
      <c r="H97" s="22" t="n">
        <v>0.4572523444026519</v>
      </c>
      <c r="I97" s="22" t="n">
        <v>0.4596901362467051</v>
      </c>
      <c r="J97" s="22" t="n">
        <v>0.4618423232628455</v>
      </c>
      <c r="K97" s="22" t="n">
        <v>0.4637690165514594</v>
      </c>
      <c r="L97" s="22" t="n">
        <v>0.4655131302669854</v>
      </c>
      <c r="M97" s="22" t="n">
        <v>0.4671063762280561</v>
      </c>
      <c r="N97" s="22" t="n">
        <v>0.468572854100519</v>
      </c>
      <c r="O97" s="22" t="n">
        <v>0.4699313091255623</v>
      </c>
      <c r="P97" s="22" t="n">
        <v>0.4711966101093121</v>
      </c>
      <c r="Q97" s="22" t="n">
        <v>0.4723807500939162</v>
      </c>
      <c r="R97" s="22" t="n">
        <v>0.4734935435457487</v>
      </c>
      <c r="S97" s="22" t="n">
        <v>0.4745431242363013</v>
      </c>
      <c r="T97" s="22" t="n">
        <v>0.4755363085154714</v>
      </c>
      <c r="U97" s="22" t="n">
        <v>0.47647886542366</v>
      </c>
      <c r="V97" s="22" t="n">
        <v>0.4773757209230309</v>
      </c>
      <c r="W97" s="22" t="n">
        <v>0.4782311146395035</v>
      </c>
      <c r="X97" s="22" t="n">
        <v>0.4790487217818097</v>
      </c>
      <c r="Y97" s="22" t="n">
        <v>0.4798317491292795</v>
      </c>
      <c r="Z97" s="22" t="n">
        <v>0.4805830114387125</v>
      </c>
      <c r="AA97" s="22" t="n">
        <v>0.4813049928770735</v>
      </c>
      <c r="AB97" s="22" t="n">
        <v>0.4819998968697248</v>
      </c>
      <c r="AC97" s="22" t="n">
        <v>0.4826696868910393</v>
      </c>
      <c r="AD97" s="22" t="n">
        <v>0.4833161201036337</v>
      </c>
      <c r="AE97" s="22" t="n">
        <v>0.4839407753001753</v>
      </c>
      <c r="AF97" s="22" t="n">
        <v>0.4845450762680795</v>
      </c>
      <c r="AG97" s="22" t="n">
        <v>0.4851303114485098</v>
      </c>
      <c r="AH97" s="22" t="n">
        <v>0.4856976505734492</v>
      </c>
    </row>
    <row r="98" ht="15.75" customHeight="1" s="82">
      <c r="A98" s="12" t="inlineStr">
        <is>
          <t>Class 5 - Moderate</t>
        </is>
      </c>
      <c r="B98" s="16" t="n">
        <v>0.4220117556670824</v>
      </c>
      <c r="C98" s="16" t="n">
        <v>0.4324180358220905</v>
      </c>
      <c r="D98" s="16" t="n">
        <v>0.4385053194847691</v>
      </c>
      <c r="E98" s="16" t="n">
        <v>0.4428243159770988</v>
      </c>
      <c r="F98" s="16" t="n">
        <v>0.4461743899222647</v>
      </c>
      <c r="G98" s="16" t="n">
        <v>0.4489115996397773</v>
      </c>
      <c r="H98" s="16" t="n">
        <v>0.451225877480555</v>
      </c>
      <c r="I98" s="16" t="n">
        <v>0.453230596132107</v>
      </c>
      <c r="J98" s="16" t="n">
        <v>0.4549988833024558</v>
      </c>
      <c r="K98" s="16" t="n">
        <v>0.4565806700772729</v>
      </c>
      <c r="L98" s="16" t="n">
        <v>0.4580115702677156</v>
      </c>
      <c r="M98" s="16" t="n">
        <v>0.4593178797947854</v>
      </c>
      <c r="N98" s="16" t="n">
        <v>0.4605195680707781</v>
      </c>
      <c r="O98" s="16" t="n">
        <v>0.4616321576355631</v>
      </c>
      <c r="P98" s="16" t="n">
        <v>0.4626679537399513</v>
      </c>
      <c r="Q98" s="16" t="n">
        <v>0.4636368762871151</v>
      </c>
      <c r="R98" s="16" t="n">
        <v>0.4645470391163191</v>
      </c>
      <c r="S98" s="16" t="n">
        <v>0.465405163457464</v>
      </c>
      <c r="T98" s="16" t="n">
        <v>0.4662168794501437</v>
      </c>
      <c r="U98" s="16" t="n">
        <v>0.466986950232281</v>
      </c>
      <c r="V98" s="16" t="n">
        <v>0.4677194412982417</v>
      </c>
      <c r="W98" s="16" t="n">
        <v>0.4684178504227237</v>
      </c>
      <c r="X98" s="16" t="n">
        <v>0.4690852086803484</v>
      </c>
      <c r="Y98" s="16" t="n">
        <v>0.4697241599497937</v>
      </c>
      <c r="Z98" s="16" t="n">
        <v>0.470337024177447</v>
      </c>
      <c r="AA98" s="16" t="n">
        <v>0.4709258482257863</v>
      </c>
      <c r="AB98" s="16" t="n">
        <v>0.4714924471201425</v>
      </c>
      <c r="AC98" s="16" t="n">
        <v>0.4720384377905713</v>
      </c>
      <c r="AD98" s="16" t="n">
        <v>0.4725652668900853</v>
      </c>
      <c r="AE98" s="16" t="n">
        <v>0.4730742338949596</v>
      </c>
      <c r="AF98" s="16" t="n">
        <v>0.4735665104158761</v>
      </c>
      <c r="AG98" s="16" t="n">
        <v>0.4740431564421233</v>
      </c>
      <c r="AH98" s="16" t="n">
        <v>0.4745051340854023</v>
      </c>
    </row>
    <row r="99" ht="15.75" customHeight="1" s="82">
      <c r="A99" s="17" t="inlineStr">
        <is>
          <t>Class 5 - Conservative</t>
        </is>
      </c>
      <c r="B99" s="23" t="n">
        <v>0.4220117556670824</v>
      </c>
      <c r="C99" s="23" t="n">
        <v>0.4272148957445864</v>
      </c>
      <c r="D99" s="23" t="n">
        <v>0.4302219144624515</v>
      </c>
      <c r="E99" s="23" t="n">
        <v>0.4323406195920381</v>
      </c>
      <c r="F99" s="23" t="n">
        <v>0.4339760007046767</v>
      </c>
      <c r="G99" s="23" t="n">
        <v>0.4353071879636574</v>
      </c>
      <c r="H99" s="23" t="n">
        <v>0.436429259413631</v>
      </c>
      <c r="I99" s="23" t="n">
        <v>0.4373987493299837</v>
      </c>
      <c r="J99" s="23" t="n">
        <v>0.4382520088002924</v>
      </c>
      <c r="K99" s="23" t="n">
        <v>0.4390137922430625</v>
      </c>
      <c r="L99" s="23" t="n">
        <v>0.43970171549529</v>
      </c>
      <c r="M99" s="23" t="n">
        <v>0.440328759196047</v>
      </c>
      <c r="N99" s="23" t="n">
        <v>0.4409047632346277</v>
      </c>
      <c r="O99" s="23" t="n">
        <v>0.4414373638803438</v>
      </c>
      <c r="P99" s="23" t="n">
        <v>0.4419326057025131</v>
      </c>
      <c r="Q99" s="23" t="n">
        <v>0.4423953549188038</v>
      </c>
      <c r="R99" s="23" t="n">
        <v>0.4428295867804755</v>
      </c>
      <c r="S99" s="23" t="n">
        <v>0.443238590407017</v>
      </c>
      <c r="T99" s="23" t="n">
        <v>0.4436251179755267</v>
      </c>
      <c r="U99" s="23" t="n">
        <v>0.443991495467026</v>
      </c>
      <c r="V99" s="23" t="n">
        <v>0.4443397062720928</v>
      </c>
      <c r="W99" s="23" t="n">
        <v>0.4446714552628647</v>
      </c>
      <c r="X99" s="23" t="n">
        <v>0.4449882185622691</v>
      </c>
      <c r="Y99" s="23" t="n">
        <v>0.4452912826771432</v>
      </c>
      <c r="Z99" s="23" t="n">
        <v>0.4455817756103445</v>
      </c>
      <c r="AA99" s="23" t="n">
        <v>0.4458606918464625</v>
      </c>
      <c r="AB99" s="23" t="n">
        <v>0.4461289126034978</v>
      </c>
      <c r="AC99" s="23" t="n">
        <v>0.4463872223872258</v>
      </c>
      <c r="AD99" s="23" t="n">
        <v>0.4466363226294705</v>
      </c>
      <c r="AE99" s="23" t="n">
        <v>0.4468768430055159</v>
      </c>
      <c r="AF99" s="23" t="n">
        <v>0.4471093508888365</v>
      </c>
      <c r="AG99" s="23" t="n">
        <v>0.4473343592991777</v>
      </c>
      <c r="AH99" s="23" t="n">
        <v>0.4475523336230957</v>
      </c>
    </row>
    <row r="100" ht="15.75" customHeight="1" s="82">
      <c r="A100" s="14" t="inlineStr">
        <is>
          <t>Class 6 - Advanced</t>
        </is>
      </c>
      <c r="B100" s="22" t="n">
        <v>0.3623172473549429</v>
      </c>
      <c r="C100" s="22" t="n">
        <v>0.3730383935704278</v>
      </c>
      <c r="D100" s="22" t="n">
        <v>0.3793400470555773</v>
      </c>
      <c r="E100" s="22" t="n">
        <v>0.3838235548074784</v>
      </c>
      <c r="F100" s="22" t="n">
        <v>0.387308017365044</v>
      </c>
      <c r="G100" s="22" t="n">
        <v>0.3901593058999692</v>
      </c>
      <c r="H100" s="22" t="n">
        <v>0.392572975861027</v>
      </c>
      <c r="I100" s="22" t="n">
        <v>0.3946659365871222</v>
      </c>
      <c r="J100" s="22" t="n">
        <v>0.3965136919280805</v>
      </c>
      <c r="K100" s="22" t="n">
        <v>0.3981678501344659</v>
      </c>
      <c r="L100" s="22" t="n">
        <v>0.3996652550574272</v>
      </c>
      <c r="M100" s="22" t="n">
        <v>0.4010331328078041</v>
      </c>
      <c r="N100" s="22" t="n">
        <v>0.4022921740997174</v>
      </c>
      <c r="O100" s="22" t="n">
        <v>0.4034584726179925</v>
      </c>
      <c r="P100" s="22" t="n">
        <v>0.4045447939428169</v>
      </c>
      <c r="Q100" s="22" t="n">
        <v>0.4055614346736574</v>
      </c>
      <c r="R100" s="22" t="n">
        <v>0.4065168209986313</v>
      </c>
      <c r="S100" s="22" t="n">
        <v>0.4074179361490299</v>
      </c>
      <c r="T100" s="22" t="n">
        <v>0.4082706322867863</v>
      </c>
      <c r="U100" s="22" t="n">
        <v>0.4090798624086119</v>
      </c>
      <c r="V100" s="22" t="n">
        <v>0.4098498556882862</v>
      </c>
      <c r="W100" s="22" t="n">
        <v>0.4105842520471439</v>
      </c>
      <c r="X100" s="22" t="n">
        <v>0.4112862068274079</v>
      </c>
      <c r="Y100" s="22" t="n">
        <v>0.4119584732022876</v>
      </c>
      <c r="Z100" s="22" t="n">
        <v>0.412603467774927</v>
      </c>
      <c r="AA100" s="22" t="n">
        <v>0.4132233233213082</v>
      </c>
      <c r="AB100" s="22" t="n">
        <v>0.4138199315873395</v>
      </c>
      <c r="AC100" s="22" t="n">
        <v>0.4143949783095448</v>
      </c>
      <c r="AD100" s="22" t="n">
        <v>0.414949972095952</v>
      </c>
      <c r="AE100" s="22" t="n">
        <v>0.4154862684154683</v>
      </c>
      <c r="AF100" s="22" t="n">
        <v>0.4160050896575896</v>
      </c>
      <c r="AG100" s="22" t="n">
        <v>0.41650754201059</v>
      </c>
      <c r="AH100" s="22" t="n">
        <v>0.4169946297452431</v>
      </c>
    </row>
    <row r="101" ht="15.75" customHeight="1" s="82">
      <c r="A101" s="12" t="inlineStr">
        <is>
          <t>Class 6 - Moderate</t>
        </is>
      </c>
      <c r="B101" s="16" t="n">
        <v>0.3623172473549429</v>
      </c>
      <c r="C101" s="16" t="n">
        <v>0.371251535867847</v>
      </c>
      <c r="D101" s="16" t="n">
        <v>0.3764777596185197</v>
      </c>
      <c r="E101" s="16" t="n">
        <v>0.3801858243807512</v>
      </c>
      <c r="F101" s="16" t="n">
        <v>0.3830620228608845</v>
      </c>
      <c r="G101" s="16" t="n">
        <v>0.385412048131424</v>
      </c>
      <c r="H101" s="16" t="n">
        <v>0.3873989661867271</v>
      </c>
      <c r="I101" s="16" t="n">
        <v>0.3891201128936554</v>
      </c>
      <c r="J101" s="16" t="n">
        <v>0.3906382718820967</v>
      </c>
      <c r="K101" s="16" t="n">
        <v>0.3919963113737887</v>
      </c>
      <c r="L101" s="16" t="n">
        <v>0.3932248075265116</v>
      </c>
      <c r="M101" s="16" t="n">
        <v>0.3943463366443281</v>
      </c>
      <c r="N101" s="16" t="n">
        <v>0.3953780434214252</v>
      </c>
      <c r="O101" s="16" t="n">
        <v>0.3963332546996313</v>
      </c>
      <c r="P101" s="16" t="n">
        <v>0.3972225351244614</v>
      </c>
      <c r="Q101" s="16" t="n">
        <v>0.3980544014065596</v>
      </c>
      <c r="R101" s="16" t="n">
        <v>0.3988358196644484</v>
      </c>
      <c r="S101" s="16" t="n">
        <v>0.3995725603950009</v>
      </c>
      <c r="T101" s="16" t="n">
        <v>0.4002694573419516</v>
      </c>
      <c r="U101" s="16" t="n">
        <v>0.4009305998866929</v>
      </c>
      <c r="V101" s="16" t="n">
        <v>0.4015594784503041</v>
      </c>
      <c r="W101" s="16" t="n">
        <v>0.4021590960394158</v>
      </c>
      <c r="X101" s="16" t="n">
        <v>0.4027320549763534</v>
      </c>
      <c r="Y101" s="16" t="n">
        <v>0.4032806251572323</v>
      </c>
      <c r="Z101" s="16" t="n">
        <v>0.4038067983668261</v>
      </c>
      <c r="AA101" s="16" t="n">
        <v>0.4043123319343294</v>
      </c>
      <c r="AB101" s="16" t="n">
        <v>0.4047987841456736</v>
      </c>
      <c r="AC101" s="16" t="n">
        <v>0.4052675432125354</v>
      </c>
      <c r="AD101" s="16" t="n">
        <v>0.4057198511556179</v>
      </c>
      <c r="AE101" s="16" t="n">
        <v>0.4061568236373655</v>
      </c>
      <c r="AF101" s="16" t="n">
        <v>0.4065794665415045</v>
      </c>
      <c r="AG101" s="16" t="n">
        <v>0.4069886899194637</v>
      </c>
      <c r="AH101" s="16" t="n">
        <v>0.4073853197900885</v>
      </c>
    </row>
    <row r="102" ht="15.75" customHeight="1" s="82">
      <c r="A102" s="17" t="inlineStr">
        <is>
          <t>Class 6 - Conservative</t>
        </is>
      </c>
      <c r="B102" s="23" t="n">
        <v>0.3623172473549429</v>
      </c>
      <c r="C102" s="23" t="n">
        <v>0.3667843916113949</v>
      </c>
      <c r="D102" s="23" t="n">
        <v>0.3693660607947082</v>
      </c>
      <c r="E102" s="23" t="n">
        <v>0.3711850703369784</v>
      </c>
      <c r="F102" s="23" t="n">
        <v>0.3725891231273347</v>
      </c>
      <c r="G102" s="23" t="n">
        <v>0.3737320109661473</v>
      </c>
      <c r="H102" s="23" t="n">
        <v>0.3746953628956388</v>
      </c>
      <c r="I102" s="23" t="n">
        <v>0.375527716291283</v>
      </c>
      <c r="J102" s="23" t="n">
        <v>0.3762602802978783</v>
      </c>
      <c r="K102" s="23" t="n">
        <v>0.3769143077659727</v>
      </c>
      <c r="L102" s="23" t="n">
        <v>0.3775049227329528</v>
      </c>
      <c r="M102" s="23" t="n">
        <v>0.3780432696974122</v>
      </c>
      <c r="N102" s="23" t="n">
        <v>0.3785377966742591</v>
      </c>
      <c r="O102" s="23" t="n">
        <v>0.3789950597654029</v>
      </c>
      <c r="P102" s="23" t="n">
        <v>0.379420248522289</v>
      </c>
      <c r="Q102" s="23" t="n">
        <v>0.3798175408251944</v>
      </c>
      <c r="R102" s="23" t="n">
        <v>0.3801903496171817</v>
      </c>
      <c r="S102" s="23" t="n">
        <v>0.3805414987644192</v>
      </c>
      <c r="T102" s="23" t="n">
        <v>0.3808733511423888</v>
      </c>
      <c r="U102" s="23" t="n">
        <v>0.3811879037168853</v>
      </c>
      <c r="V102" s="23" t="n">
        <v>0.3814868593234456</v>
      </c>
      <c r="W102" s="23" t="n">
        <v>0.3817716816762239</v>
      </c>
      <c r="X102" s="23" t="n">
        <v>0.3820436380972527</v>
      </c>
      <c r="Y102" s="23" t="n">
        <v>0.3823038331140945</v>
      </c>
      <c r="Z102" s="23" t="n">
        <v>0.3825532351710756</v>
      </c>
      <c r="AA102" s="23" t="n">
        <v>0.3827926980807122</v>
      </c>
      <c r="AB102" s="23" t="n">
        <v>0.3830229784107443</v>
      </c>
      <c r="AC102" s="23" t="n">
        <v>0.3832447496968481</v>
      </c>
      <c r="AD102" s="23" t="n">
        <v>0.3834586141517443</v>
      </c>
      <c r="AE102" s="23" t="n">
        <v>0.3836651123817374</v>
      </c>
      <c r="AF102" s="23" t="n">
        <v>0.3838647315040528</v>
      </c>
      <c r="AG102" s="23" t="n">
        <v>0.3840579119706435</v>
      </c>
      <c r="AH102" s="23" t="n">
        <v>0.3842450533380947</v>
      </c>
    </row>
    <row r="103" ht="15.75" customHeight="1" s="82">
      <c r="A103" s="14" t="inlineStr">
        <is>
          <t>Class 7 - Advanced</t>
        </is>
      </c>
      <c r="B103" s="22" t="n">
        <v>0.2799008430189988</v>
      </c>
      <c r="C103" s="22" t="n">
        <v>0.2881832471434274</v>
      </c>
      <c r="D103" s="22" t="n">
        <v>0.2930514617696525</v>
      </c>
      <c r="E103" s="22" t="n">
        <v>0.2965151047747837</v>
      </c>
      <c r="F103" s="22" t="n">
        <v>0.2992069556718935</v>
      </c>
      <c r="G103" s="22" t="n">
        <v>0.3014096608161896</v>
      </c>
      <c r="H103" s="22" t="n">
        <v>0.3032742926044961</v>
      </c>
      <c r="I103" s="22" t="n">
        <v>0.3048911669761039</v>
      </c>
      <c r="J103" s="22" t="n">
        <v>0.3063186128992632</v>
      </c>
      <c r="K103" s="22" t="n">
        <v>0.3075964992815266</v>
      </c>
      <c r="L103" s="22" t="n">
        <v>0.3087532890930452</v>
      </c>
      <c r="M103" s="22" t="n">
        <v>0.3098100153137055</v>
      </c>
      <c r="N103" s="22" t="n">
        <v>0.310782662135172</v>
      </c>
      <c r="O103" s="22" t="n">
        <v>0.3116836624073373</v>
      </c>
      <c r="P103" s="22" t="n">
        <v>0.3125228779203377</v>
      </c>
      <c r="Q103" s="22" t="n">
        <v>0.3133082631033151</v>
      </c>
      <c r="R103" s="22" t="n">
        <v>0.3140463274370482</v>
      </c>
      <c r="S103" s="22" t="n">
        <v>0.3147424656752775</v>
      </c>
      <c r="T103" s="22" t="n">
        <v>0.3154011987870447</v>
      </c>
      <c r="U103" s="22" t="n">
        <v>0.3160263531095311</v>
      </c>
      <c r="V103" s="22" t="n">
        <v>0.3166211958051886</v>
      </c>
      <c r="W103" s="22" t="n">
        <v>0.3171885388214403</v>
      </c>
      <c r="X103" s="22" t="n">
        <v>0.317730819753942</v>
      </c>
      <c r="Y103" s="22" t="n">
        <v>0.3182501655108328</v>
      </c>
      <c r="Z103" s="22" t="n">
        <v>0.318748442989872</v>
      </c>
      <c r="AA103" s="22" t="n">
        <v>0.3192272998239</v>
      </c>
      <c r="AB103" s="22" t="n">
        <v>0.3196881974428606</v>
      </c>
      <c r="AC103" s="22" t="n">
        <v>0.3201324381283251</v>
      </c>
      <c r="AD103" s="22" t="n">
        <v>0.3205611873248366</v>
      </c>
      <c r="AE103" s="22" t="n">
        <v>0.3209754921724156</v>
      </c>
      <c r="AF103" s="22" t="n">
        <v>0.3213762970032815</v>
      </c>
      <c r="AG103" s="22" t="n">
        <v>0.3217644563807564</v>
      </c>
      <c r="AH103" s="22" t="n">
        <v>0.3221407461338634</v>
      </c>
    </row>
    <row r="104" ht="15.75" customHeight="1" s="82">
      <c r="A104" s="12" t="inlineStr">
        <is>
          <t>Class 7 - Moderate</t>
        </is>
      </c>
      <c r="B104" s="16" t="n">
        <v>0.2799008430189988</v>
      </c>
      <c r="C104" s="16" t="n">
        <v>0.2868028464560226</v>
      </c>
      <c r="D104" s="16" t="n">
        <v>0.2908402596465301</v>
      </c>
      <c r="E104" s="16" t="n">
        <v>0.2937048498930465</v>
      </c>
      <c r="F104" s="16" t="n">
        <v>0.2959267987104336</v>
      </c>
      <c r="G104" s="16" t="n">
        <v>0.297742263083554</v>
      </c>
      <c r="H104" s="16" t="n">
        <v>0.2992772163399862</v>
      </c>
      <c r="I104" s="16" t="n">
        <v>0.3006068533300704</v>
      </c>
      <c r="J104" s="16" t="n">
        <v>0.3017796762740614</v>
      </c>
      <c r="K104" s="16" t="n">
        <v>0.3028288021474575</v>
      </c>
      <c r="L104" s="16" t="n">
        <v>0.3037778519409824</v>
      </c>
      <c r="M104" s="16" t="n">
        <v>0.3046442665205778</v>
      </c>
      <c r="N104" s="16" t="n">
        <v>0.3054412906721082</v>
      </c>
      <c r="O104" s="16" t="n">
        <v>0.30617921977701</v>
      </c>
      <c r="P104" s="16" t="n">
        <v>0.3068662153379649</v>
      </c>
      <c r="Q104" s="16" t="n">
        <v>0.3075088567670942</v>
      </c>
      <c r="R104" s="16" t="n">
        <v>0.3081125255980159</v>
      </c>
      <c r="S104" s="16" t="n">
        <v>0.3086816797110854</v>
      </c>
      <c r="T104" s="16" t="n">
        <v>0.3092200533170147</v>
      </c>
      <c r="U104" s="16" t="n">
        <v>0.3097308055844814</v>
      </c>
      <c r="V104" s="16" t="n">
        <v>0.3102166329675176</v>
      </c>
      <c r="W104" s="16" t="n">
        <v>0.3106798553780063</v>
      </c>
      <c r="X104" s="16" t="n">
        <v>0.3111224831872946</v>
      </c>
      <c r="Y104" s="16" t="n">
        <v>0.3115462699576017</v>
      </c>
      <c r="Z104" s="16" t="n">
        <v>0.3119527544018684</v>
      </c>
      <c r="AA104" s="16" t="n">
        <v>0.312343294109132</v>
      </c>
      <c r="AB104" s="16" t="n">
        <v>0.3127190929015928</v>
      </c>
      <c r="AC104" s="16" t="n">
        <v>0.3130812232140339</v>
      </c>
      <c r="AD104" s="16" t="n">
        <v>0.3134306445443659</v>
      </c>
      <c r="AE104" s="16" t="n">
        <v>0.3137682187749888</v>
      </c>
      <c r="AF104" s="16" t="n">
        <v>0.3140947229809799</v>
      </c>
      <c r="AG104" s="16" t="n">
        <v>0.3144108602041181</v>
      </c>
      <c r="AH104" s="16" t="n">
        <v>0.3147172685685138</v>
      </c>
    </row>
    <row r="105" ht="15.75" customHeight="1" s="82">
      <c r="A105" s="17" t="inlineStr">
        <is>
          <t>Class 7 - Conservative</t>
        </is>
      </c>
      <c r="B105" s="23" t="n">
        <v>0.2799008430189988</v>
      </c>
      <c r="C105" s="23" t="n">
        <v>0.2833518447375107</v>
      </c>
      <c r="D105" s="23" t="n">
        <v>0.2853462609185811</v>
      </c>
      <c r="E105" s="23" t="n">
        <v>0.28675149985782</v>
      </c>
      <c r="F105" s="23" t="n">
        <v>0.2878361723721232</v>
      </c>
      <c r="G105" s="23" t="n">
        <v>0.2887190871985499</v>
      </c>
      <c r="H105" s="23" t="n">
        <v>0.2894633051985407</v>
      </c>
      <c r="I105" s="23" t="n">
        <v>0.2901063229373631</v>
      </c>
      <c r="J105" s="23" t="n">
        <v>0.2906722504070276</v>
      </c>
      <c r="K105" s="23" t="n">
        <v>0.2911775060662976</v>
      </c>
      <c r="L105" s="23" t="n">
        <v>0.2916337736835977</v>
      </c>
      <c r="M105" s="23" t="n">
        <v>0.292049662715348</v>
      </c>
      <c r="N105" s="23" t="n">
        <v>0.2924316995041722</v>
      </c>
      <c r="O105" s="23" t="n">
        <v>0.2927849488336672</v>
      </c>
      <c r="P105" s="23" t="n">
        <v>0.2931134197865778</v>
      </c>
      <c r="Q105" s="23" t="n">
        <v>0.2934203398996004</v>
      </c>
      <c r="R105" s="23" t="n">
        <v>0.2937083457726962</v>
      </c>
      <c r="S105" s="23" t="n">
        <v>0.2939796189264164</v>
      </c>
      <c r="T105" s="23" t="n">
        <v>0.2942359847523042</v>
      </c>
      <c r="U105" s="23" t="n">
        <v>0.2944789859657935</v>
      </c>
      <c r="V105" s="23" t="n">
        <v>0.2947099380579513</v>
      </c>
      <c r="W105" s="23" t="n">
        <v>0.2949299717914688</v>
      </c>
      <c r="X105" s="23" t="n">
        <v>0.2951400662102858</v>
      </c>
      <c r="Y105" s="23" t="n">
        <v>0.2953410745947749</v>
      </c>
      <c r="Z105" s="23" t="n">
        <v>0.2955337450969641</v>
      </c>
      <c r="AA105" s="23" t="n">
        <v>0.2957187373124006</v>
      </c>
      <c r="AB105" s="23" t="n">
        <v>0.2958966357121518</v>
      </c>
      <c r="AC105" s="23" t="n">
        <v>0.2960679606225474</v>
      </c>
      <c r="AD105" s="23" t="n">
        <v>0.2962331772708142</v>
      </c>
      <c r="AE105" s="23" t="n">
        <v>0.2963927032913914</v>
      </c>
      <c r="AF105" s="23" t="n">
        <v>0.2965469149968145</v>
      </c>
      <c r="AG105" s="23" t="n">
        <v>0.296696152649309</v>
      </c>
      <c r="AH105" s="23" t="n">
        <v>0.2968407249182134</v>
      </c>
    </row>
    <row r="106" ht="15.75" customHeight="1" s="82">
      <c r="A106" s="14" t="inlineStr">
        <is>
          <t>Class 8 - Advanced</t>
        </is>
      </c>
      <c r="B106" s="22" t="n">
        <v>0.5102336270990606</v>
      </c>
      <c r="C106" s="22" t="n">
        <v>0.5165485121554751</v>
      </c>
      <c r="D106" s="22" t="n">
        <v>0.5202500250372806</v>
      </c>
      <c r="E106" s="22" t="n">
        <v>0.522879408176543</v>
      </c>
      <c r="F106" s="22" t="n">
        <v>0.5249206269539147</v>
      </c>
      <c r="G106" s="22" t="n">
        <v>0.5265895057391841</v>
      </c>
      <c r="H106" s="22" t="n">
        <v>0.5280012683450843</v>
      </c>
      <c r="I106" s="22" t="n">
        <v>0.5292247379558551</v>
      </c>
      <c r="J106" s="22" t="n">
        <v>0.5303043306042394</v>
      </c>
      <c r="K106" s="22" t="n">
        <v>0.5312703869190007</v>
      </c>
      <c r="L106" s="22" t="n">
        <v>0.5321445560861011</v>
      </c>
      <c r="M106" s="22" t="n">
        <v>0.5329428285672223</v>
      </c>
      <c r="N106" s="22" t="n">
        <v>0.5336773514331095</v>
      </c>
      <c r="O106" s="22" t="n">
        <v>0.5343575694214517</v>
      </c>
      <c r="P106" s="22" t="n">
        <v>0.534990971601311</v>
      </c>
      <c r="Q106" s="22" t="n">
        <v>0.5355835967102028</v>
      </c>
      <c r="R106" s="22" t="n">
        <v>0.5361403851115594</v>
      </c>
      <c r="S106" s="22" t="n">
        <v>0.5366654300575394</v>
      </c>
      <c r="T106" s="22" t="n">
        <v>0.5371621609665752</v>
      </c>
      <c r="U106" s="22" t="n">
        <v>0.5376334796625086</v>
      </c>
      <c r="V106" s="22" t="n">
        <v>0.5380818633586345</v>
      </c>
      <c r="W106" s="22" t="n">
        <v>0.5385094436763934</v>
      </c>
      <c r="X106" s="22" t="n">
        <v>0.538918068094952</v>
      </c>
      <c r="Y106" s="22" t="n">
        <v>0.5393093483206982</v>
      </c>
      <c r="Z106" s="22" t="n">
        <v>0.5396846987819572</v>
      </c>
      <c r="AA106" s="22" t="n">
        <v>0.5400453675736567</v>
      </c>
      <c r="AB106" s="22" t="n">
        <v>0.5403924615621675</v>
      </c>
      <c r="AC106" s="22" t="n">
        <v>0.540726966924951</v>
      </c>
      <c r="AD106" s="22" t="n">
        <v>0.541049766086421</v>
      </c>
      <c r="AE106" s="22" t="n">
        <v>0.5413616517831809</v>
      </c>
      <c r="AF106" s="22" t="n">
        <v>0.5416633388234716</v>
      </c>
      <c r="AG106" s="22" t="n">
        <v>0.5419554739801056</v>
      </c>
      <c r="AH106" s="22" t="n">
        <v>0.5422386443615089</v>
      </c>
    </row>
    <row r="107" ht="15.75" customHeight="1" s="82">
      <c r="A107" s="12" t="inlineStr">
        <is>
          <t>Class 8 - Moderate</t>
        </is>
      </c>
      <c r="B107" s="16" t="n">
        <v>0.5102336270990606</v>
      </c>
      <c r="C107" s="16" t="n">
        <v>0.5154960313127394</v>
      </c>
      <c r="D107" s="16" t="n">
        <v>0.5185743404413783</v>
      </c>
      <c r="E107" s="16" t="n">
        <v>0.5207584355264179</v>
      </c>
      <c r="F107" s="16" t="n">
        <v>0.5224525512894548</v>
      </c>
      <c r="G107" s="16" t="n">
        <v>0.523836744655057</v>
      </c>
      <c r="H107" s="16" t="n">
        <v>0.5250070634701881</v>
      </c>
      <c r="I107" s="16" t="n">
        <v>0.5260208397400966</v>
      </c>
      <c r="J107" s="16" t="n">
        <v>0.526915053783696</v>
      </c>
      <c r="K107" s="16" t="n">
        <v>0.5277149555031334</v>
      </c>
      <c r="L107" s="16" t="n">
        <v>0.5284385546259107</v>
      </c>
      <c r="M107" s="16" t="n">
        <v>0.5290991488687357</v>
      </c>
      <c r="N107" s="16" t="n">
        <v>0.5297068366642702</v>
      </c>
      <c r="O107" s="16" t="n">
        <v>0.5302694676838667</v>
      </c>
      <c r="P107" s="16" t="n">
        <v>0.5307932646317723</v>
      </c>
      <c r="Q107" s="16" t="n">
        <v>0.5312832439537751</v>
      </c>
      <c r="R107" s="16" t="n">
        <v>0.5317435087781113</v>
      </c>
      <c r="S107" s="16" t="n">
        <v>0.5321774579973745</v>
      </c>
      <c r="T107" s="16" t="n">
        <v>0.5325879387452075</v>
      </c>
      <c r="U107" s="16" t="n">
        <v>0.5329773597168119</v>
      </c>
      <c r="V107" s="16" t="n">
        <v>0.5333477768125057</v>
      </c>
      <c r="W107" s="16" t="n">
        <v>0.5337009588395892</v>
      </c>
      <c r="X107" s="16" t="n">
        <v>0.5340384385974513</v>
      </c>
      <c r="Y107" s="16" t="n">
        <v>0.5343615530824141</v>
      </c>
      <c r="Z107" s="16" t="n">
        <v>0.5346714754798487</v>
      </c>
      <c r="AA107" s="16" t="n">
        <v>0.5349692408779487</v>
      </c>
      <c r="AB107" s="16" t="n">
        <v>0.5352557671260135</v>
      </c>
      <c r="AC107" s="16" t="n">
        <v>0.5355318718975453</v>
      </c>
      <c r="AD107" s="16" t="n">
        <v>0.5357982867577906</v>
      </c>
      <c r="AE107" s="16" t="n">
        <v>0.536055668845451</v>
      </c>
      <c r="AF107" s="16" t="n">
        <v>0.5363046106382316</v>
      </c>
      <c r="AG107" s="16" t="n">
        <v>0.5365456481674538</v>
      </c>
      <c r="AH107" s="16" t="n">
        <v>0.5367792679682283</v>
      </c>
    </row>
    <row r="108" ht="15.75" customHeight="1" s="82">
      <c r="A108" s="17" t="inlineStr">
        <is>
          <t>Class 8 - Conservative</t>
        </is>
      </c>
      <c r="B108" s="23" t="n">
        <v>0.5102336270990606</v>
      </c>
      <c r="C108" s="23" t="n">
        <v>0.5128648292059</v>
      </c>
      <c r="D108" s="23" t="n">
        <v>0.5143961275958042</v>
      </c>
      <c r="E108" s="23" t="n">
        <v>0.5154793763862179</v>
      </c>
      <c r="F108" s="23" t="n">
        <v>0.5163178474291051</v>
      </c>
      <c r="G108" s="23" t="n">
        <v>0.5170018174252221</v>
      </c>
      <c r="H108" s="23" t="n">
        <v>0.517579341778528</v>
      </c>
      <c r="I108" s="23" t="n">
        <v>0.518079058535691</v>
      </c>
      <c r="J108" s="23" t="n">
        <v>0.5185194152048929</v>
      </c>
      <c r="K108" s="23" t="n">
        <v>0.5189129934190715</v>
      </c>
      <c r="L108" s="23" t="n">
        <v>0.5192687583854801</v>
      </c>
      <c r="M108" s="23" t="n">
        <v>0.5195933239847023</v>
      </c>
      <c r="N108" s="23" t="n">
        <v>0.5198917090060181</v>
      </c>
      <c r="O108" s="23" t="n">
        <v>0.5201678119199996</v>
      </c>
      <c r="P108" s="23" t="n">
        <v>0.5204247212169582</v>
      </c>
      <c r="Q108" s="23" t="n">
        <v>0.520664925237098</v>
      </c>
      <c r="R108" s="23" t="n">
        <v>0.5208904581831105</v>
      </c>
      <c r="S108" s="23" t="n">
        <v>0.5211030042733953</v>
      </c>
      <c r="T108" s="23" t="n">
        <v>0.5213039736565191</v>
      </c>
      <c r="U108" s="23" t="n">
        <v>0.5214945588023272</v>
      </c>
      <c r="V108" s="23" t="n">
        <v>0.5216757771002247</v>
      </c>
      <c r="W108" s="23" t="n">
        <v>0.5218485035241894</v>
      </c>
      <c r="X108" s="23" t="n">
        <v>0.5220134960201678</v>
      </c>
      <c r="Y108" s="23" t="n">
        <v>0.522171415478506</v>
      </c>
      <c r="Z108" s="23" t="n">
        <v>0.5223228416206221</v>
      </c>
      <c r="AA108" s="23" t="n">
        <v>0.522468285763432</v>
      </c>
      <c r="AB108" s="23" t="n">
        <v>0.5226082011699766</v>
      </c>
      <c r="AC108" s="23" t="n">
        <v>0.5227429915140016</v>
      </c>
      <c r="AD108" s="23" t="n">
        <v>0.5228730178563509</v>
      </c>
      <c r="AE108" s="23" t="n">
        <v>0.5229986044364532</v>
      </c>
      <c r="AF108" s="23" t="n">
        <v>0.5231200435124457</v>
      </c>
      <c r="AG108" s="23" t="n">
        <v>0.5232375994314827</v>
      </c>
      <c r="AH108" s="23" t="n">
        <v>0.5233515120726107</v>
      </c>
    </row>
    <row r="109" ht="15.75" customHeight="1" s="82">
      <c r="A109" s="14" t="inlineStr">
        <is>
          <t>Class 9 - Advanced</t>
        </is>
      </c>
      <c r="B109" s="22" t="n">
        <v>0.497761670858852</v>
      </c>
      <c r="C109" s="22" t="n">
        <v>0.5039221972726711</v>
      </c>
      <c r="D109" s="22" t="n">
        <v>0.5075332317848973</v>
      </c>
      <c r="E109" s="22" t="n">
        <v>0.5100983432852283</v>
      </c>
      <c r="F109" s="22" t="n">
        <v>0.5120896672890766</v>
      </c>
      <c r="G109" s="22" t="n">
        <v>0.5137177526376246</v>
      </c>
      <c r="H109" s="22" t="n">
        <v>0.5150950066566596</v>
      </c>
      <c r="I109" s="22" t="n">
        <v>0.5162885702427461</v>
      </c>
      <c r="J109" s="22" t="n">
        <v>0.5173417737400577</v>
      </c>
      <c r="K109" s="22" t="n">
        <v>0.5182842161425966</v>
      </c>
      <c r="L109" s="22" t="n">
        <v>0.5191370174518775</v>
      </c>
      <c r="M109" s="22" t="n">
        <v>0.5199157772648335</v>
      </c>
      <c r="N109" s="22" t="n">
        <v>0.520632345733844</v>
      </c>
      <c r="O109" s="22" t="n">
        <v>0.521295936733031</v>
      </c>
      <c r="P109" s="22" t="n">
        <v>0.5219138562715079</v>
      </c>
      <c r="Q109" s="22" t="n">
        <v>0.5224919954781926</v>
      </c>
      <c r="R109" s="22" t="n">
        <v>0.5230351739561573</v>
      </c>
      <c r="S109" s="22" t="n">
        <v>0.5235473849036655</v>
      </c>
      <c r="T109" s="22" t="n">
        <v>0.524031973911753</v>
      </c>
      <c r="U109" s="22" t="n">
        <v>0.5244917718731863</v>
      </c>
      <c r="V109" s="22" t="n">
        <v>0.5249291954492027</v>
      </c>
      <c r="W109" s="22" t="n">
        <v>0.525346324156701</v>
      </c>
      <c r="X109" s="22" t="n">
        <v>0.5257449603157718</v>
      </c>
      <c r="Y109" s="22" t="n">
        <v>0.5261266762368662</v>
      </c>
      <c r="Z109" s="22" t="n">
        <v>0.5264928517745628</v>
      </c>
      <c r="AA109" s="22" t="n">
        <v>0.5268447045158329</v>
      </c>
      <c r="AB109" s="22" t="n">
        <v>0.5271833142712276</v>
      </c>
      <c r="AC109" s="22" t="n">
        <v>0.5275096431124626</v>
      </c>
      <c r="AD109" s="22" t="n">
        <v>0.5278245518943058</v>
      </c>
      <c r="AE109" s="22" t="n">
        <v>0.528128813976009</v>
      </c>
      <c r="AF109" s="22" t="n">
        <v>0.5284231266933134</v>
      </c>
      <c r="AG109" s="22" t="n">
        <v>0.5287081210095631</v>
      </c>
      <c r="AH109" s="22" t="n">
        <v>0.5289843696821298</v>
      </c>
    </row>
    <row r="110" ht="15.75" customHeight="1" s="82">
      <c r="A110" s="12" t="inlineStr">
        <is>
          <t>Class 9 - Moderate</t>
        </is>
      </c>
      <c r="B110" s="16" t="n">
        <v>0.497761670858852</v>
      </c>
      <c r="C110" s="16" t="n">
        <v>0.5028954428703679</v>
      </c>
      <c r="D110" s="16" t="n">
        <v>0.5058985069843565</v>
      </c>
      <c r="E110" s="16" t="n">
        <v>0.5080292148818837</v>
      </c>
      <c r="F110" s="16" t="n">
        <v>0.509681920325137</v>
      </c>
      <c r="G110" s="16" t="n">
        <v>0.5110322789958722</v>
      </c>
      <c r="H110" s="16" t="n">
        <v>0.5121739909841024</v>
      </c>
      <c r="I110" s="16" t="n">
        <v>0.5131629868933993</v>
      </c>
      <c r="J110" s="16" t="n">
        <v>0.5140353431098607</v>
      </c>
      <c r="K110" s="16" t="n">
        <v>0.5148156923366527</v>
      </c>
      <c r="L110" s="16" t="n">
        <v>0.515521604078365</v>
      </c>
      <c r="M110" s="16" t="n">
        <v>0.5161660510073881</v>
      </c>
      <c r="N110" s="16" t="n">
        <v>0.5167588847141462</v>
      </c>
      <c r="O110" s="16" t="n">
        <v>0.5173077629956183</v>
      </c>
      <c r="P110" s="16" t="n">
        <v>0.5178187564506413</v>
      </c>
      <c r="Q110" s="16" t="n">
        <v>0.5182967589049152</v>
      </c>
      <c r="R110" s="16" t="n">
        <v>0.5187457731913739</v>
      </c>
      <c r="S110" s="16" t="n">
        <v>0.5191691151213765</v>
      </c>
      <c r="T110" s="16" t="n">
        <v>0.5195695622343165</v>
      </c>
      <c r="U110" s="16" t="n">
        <v>0.5199494643481685</v>
      </c>
      <c r="V110" s="16" t="n">
        <v>0.5203108271096067</v>
      </c>
      <c r="W110" s="16" t="n">
        <v>0.5206553760898807</v>
      </c>
      <c r="X110" s="16" t="n">
        <v>0.520984606621215</v>
      </c>
      <c r="Y110" s="16" t="n">
        <v>0.5212998230189037</v>
      </c>
      <c r="Z110" s="16" t="n">
        <v>0.5216021697914218</v>
      </c>
      <c r="AA110" s="16" t="n">
        <v>0.5218926567256619</v>
      </c>
      <c r="AB110" s="16" t="n">
        <v>0.522172179235365</v>
      </c>
      <c r="AC110" s="16" t="n">
        <v>0.522441535007134</v>
      </c>
      <c r="AD110" s="16" t="n">
        <v>0.5227014377241135</v>
      </c>
      <c r="AE110" s="16" t="n">
        <v>0.522952528462157</v>
      </c>
      <c r="AF110" s="16" t="n">
        <v>0.5231953852166709</v>
      </c>
      <c r="AG110" s="16" t="n">
        <v>0.5234305309164309</v>
      </c>
      <c r="AH110" s="16" t="n">
        <v>0.5236584402038692</v>
      </c>
    </row>
    <row r="111" ht="15.75" customHeight="1" s="82">
      <c r="A111" s="17" t="inlineStr">
        <is>
          <t>Class 9 - Conservative</t>
        </is>
      </c>
      <c r="B111" s="23" t="n">
        <v>0.497761670858852</v>
      </c>
      <c r="C111" s="23" t="n">
        <v>0.5003285568646101</v>
      </c>
      <c r="D111" s="23" t="n">
        <v>0.5018224247805211</v>
      </c>
      <c r="E111" s="23" t="n">
        <v>0.5028791950505204</v>
      </c>
      <c r="F111" s="23" t="n">
        <v>0.5036971708269253</v>
      </c>
      <c r="G111" s="23" t="n">
        <v>0.5043644221212394</v>
      </c>
      <c r="H111" s="23" t="n">
        <v>0.5049278296894502</v>
      </c>
      <c r="I111" s="23" t="n">
        <v>0.5054153315607318</v>
      </c>
      <c r="J111" s="23" t="n">
        <v>0.5058449243194097</v>
      </c>
      <c r="K111" s="23" t="n">
        <v>0.5062288820577835</v>
      </c>
      <c r="L111" s="23" t="n">
        <v>0.5065759508409986</v>
      </c>
      <c r="M111" s="23" t="n">
        <v>0.5068925828824629</v>
      </c>
      <c r="N111" s="23" t="n">
        <v>0.5071836742940852</v>
      </c>
      <c r="O111" s="23" t="n">
        <v>0.5074530282537092</v>
      </c>
      <c r="P111" s="23" t="n">
        <v>0.5077036577577666</v>
      </c>
      <c r="Q111" s="23" t="n">
        <v>0.5079379903224225</v>
      </c>
      <c r="R111" s="23" t="n">
        <v>0.5081580104270934</v>
      </c>
      <c r="S111" s="23" t="n">
        <v>0.5083653611217863</v>
      </c>
      <c r="T111" s="23" t="n">
        <v>0.508561418085934</v>
      </c>
      <c r="U111" s="23" t="n">
        <v>0.5087473446411038</v>
      </c>
      <c r="V111" s="23" t="n">
        <v>0.508924133308022</v>
      </c>
      <c r="W111" s="23" t="n">
        <v>0.509092637673136</v>
      </c>
      <c r="X111" s="23" t="n">
        <v>0.5092535971554507</v>
      </c>
      <c r="Y111" s="23" t="n">
        <v>0.5094076564907604</v>
      </c>
      <c r="Z111" s="23" t="n">
        <v>0.509555381229994</v>
      </c>
      <c r="AA111" s="23" t="n">
        <v>0.5096972701916315</v>
      </c>
      <c r="AB111" s="23" t="n">
        <v>0.5098337655593251</v>
      </c>
      <c r="AC111" s="23" t="n">
        <v>0.5099652611395734</v>
      </c>
      <c r="AD111" s="23" t="n">
        <v>0.5100921091675863</v>
      </c>
      <c r="AE111" s="23" t="n">
        <v>0.5102146259572079</v>
      </c>
      <c r="AF111" s="23" t="n">
        <v>0.5103330966227289</v>
      </c>
      <c r="AG111" s="23" t="n">
        <v>0.5104477790497024</v>
      </c>
      <c r="AH111" s="23" t="n">
        <v>0.5105589072536629</v>
      </c>
    </row>
    <row r="112" ht="15.75" customHeight="1" s="82">
      <c r="A112" s="14" t="inlineStr">
        <is>
          <t>Class 10 - Advanced</t>
        </is>
      </c>
      <c r="B112" s="22" t="n">
        <v>0.4889406834819888</v>
      </c>
      <c r="C112" s="22" t="n">
        <v>0.494992037316012</v>
      </c>
      <c r="D112" s="22" t="n">
        <v>0.4985390795770976</v>
      </c>
      <c r="E112" s="22" t="n">
        <v>0.5010587339490691</v>
      </c>
      <c r="F112" s="22" t="n">
        <v>0.5030147690889297</v>
      </c>
      <c r="G112" s="22" t="n">
        <v>0.5046140026372112</v>
      </c>
      <c r="H112" s="22" t="n">
        <v>0.5059668499149724</v>
      </c>
      <c r="I112" s="22" t="n">
        <v>0.5071392619943385</v>
      </c>
      <c r="J112" s="22" t="n">
        <v>0.5081738013491519</v>
      </c>
      <c r="K112" s="22" t="n">
        <v>0.5090995424405554</v>
      </c>
      <c r="L112" s="22" t="n">
        <v>0.5099372309960335</v>
      </c>
      <c r="M112" s="22" t="n">
        <v>0.510702190167273</v>
      </c>
      <c r="N112" s="22" t="n">
        <v>0.5114060601064653</v>
      </c>
      <c r="O112" s="22" t="n">
        <v>0.5120578914058403</v>
      </c>
      <c r="P112" s="22" t="n">
        <v>0.5126648606024811</v>
      </c>
      <c r="Q112" s="22" t="n">
        <v>0.5132327544268014</v>
      </c>
      <c r="R112" s="22" t="n">
        <v>0.5137663070722081</v>
      </c>
      <c r="S112" s="22" t="n">
        <v>0.5142694409722722</v>
      </c>
      <c r="T112" s="22" t="n">
        <v>0.5147454424297837</v>
      </c>
      <c r="U112" s="22" t="n">
        <v>0.5151970921703892</v>
      </c>
      <c r="V112" s="22" t="n">
        <v>0.5156267640289306</v>
      </c>
      <c r="W112" s="22" t="n">
        <v>0.5160365006705493</v>
      </c>
      <c r="X112" s="22" t="n">
        <v>0.5164280724758681</v>
      </c>
      <c r="Y112" s="22" t="n">
        <v>0.516803023891942</v>
      </c>
      <c r="Z112" s="22" t="n">
        <v>0.5171627103205232</v>
      </c>
      <c r="AA112" s="22" t="n">
        <v>0.51750832777135</v>
      </c>
      <c r="AB112" s="22" t="n">
        <v>0.5178409369193198</v>
      </c>
      <c r="AC112" s="22" t="n">
        <v>0.5181614827869798</v>
      </c>
      <c r="AD112" s="22" t="n">
        <v>0.5184708109736262</v>
      </c>
      <c r="AE112" s="22" t="n">
        <v>0.5187696811335744</v>
      </c>
      <c r="AF112" s="22" t="n">
        <v>0.5190587782448645</v>
      </c>
      <c r="AG112" s="22" t="n">
        <v>0.5193387220893458</v>
      </c>
      <c r="AH112" s="22" t="n">
        <v>0.5196100752743806</v>
      </c>
    </row>
    <row r="113" ht="15.75" customHeight="1" s="82">
      <c r="A113" s="12" t="inlineStr">
        <is>
          <t>Class 10 - Moderate</t>
        </is>
      </c>
      <c r="B113" s="16" t="n">
        <v>0.4889406834819888</v>
      </c>
      <c r="C113" s="16" t="n">
        <v>0.4939834783436748</v>
      </c>
      <c r="D113" s="16" t="n">
        <v>0.4969333242365904</v>
      </c>
      <c r="E113" s="16" t="n">
        <v>0.4990262732053607</v>
      </c>
      <c r="F113" s="16" t="n">
        <v>0.5006496905480911</v>
      </c>
      <c r="G113" s="16" t="n">
        <v>0.5019761190982763</v>
      </c>
      <c r="H113" s="16" t="n">
        <v>0.5030975984578696</v>
      </c>
      <c r="I113" s="16" t="n">
        <v>0.5040690680670465</v>
      </c>
      <c r="J113" s="16" t="n">
        <v>0.5049259649911918</v>
      </c>
      <c r="K113" s="16" t="n">
        <v>0.5056924854097768</v>
      </c>
      <c r="L113" s="16" t="n">
        <v>0.5063858874728068</v>
      </c>
      <c r="M113" s="16" t="n">
        <v>0.5070189139599622</v>
      </c>
      <c r="N113" s="16" t="n">
        <v>0.5076012418786092</v>
      </c>
      <c r="O113" s="16" t="n">
        <v>0.5081403933195555</v>
      </c>
      <c r="P113" s="16" t="n">
        <v>0.5086423313026924</v>
      </c>
      <c r="Q113" s="16" t="n">
        <v>0.5091118629287325</v>
      </c>
      <c r="R113" s="16" t="n">
        <v>0.5095529200951782</v>
      </c>
      <c r="S113" s="16" t="n">
        <v>0.5099687598528777</v>
      </c>
      <c r="T113" s="16" t="n">
        <v>0.5103621105195962</v>
      </c>
      <c r="U113" s="16" t="n">
        <v>0.5107352802714626</v>
      </c>
      <c r="V113" s="16" t="n">
        <v>0.511090239212471</v>
      </c>
      <c r="W113" s="16" t="n">
        <v>0.5114286823344926</v>
      </c>
      <c r="X113" s="16" t="n">
        <v>0.5117520784705109</v>
      </c>
      <c r="Y113" s="16" t="n">
        <v>0.5120617088216479</v>
      </c>
      <c r="Z113" s="16" t="n">
        <v>0.5123586976141931</v>
      </c>
      <c r="AA113" s="16" t="n">
        <v>0.512644036740295</v>
      </c>
      <c r="AB113" s="16" t="n">
        <v>0.5129186057457933</v>
      </c>
      <c r="AC113" s="16" t="n">
        <v>0.5131831881812413</v>
      </c>
      <c r="AD113" s="16" t="n">
        <v>0.5134384850823859</v>
      </c>
      <c r="AE113" s="16" t="n">
        <v>0.5136851261643783</v>
      </c>
      <c r="AF113" s="16" t="n">
        <v>0.513923679179791</v>
      </c>
      <c r="AG113" s="16" t="n">
        <v>0.5141546577904184</v>
      </c>
      <c r="AH113" s="16" t="n">
        <v>0.5143785282274083</v>
      </c>
    </row>
    <row r="114" ht="15.75" customHeight="1" s="82">
      <c r="A114" s="17" t="inlineStr">
        <is>
          <t>Class 10 - Conservative</t>
        </is>
      </c>
      <c r="B114" s="23" t="n">
        <v>0.4889406834819888</v>
      </c>
      <c r="C114" s="23" t="n">
        <v>0.4914620809128318</v>
      </c>
      <c r="D114" s="23" t="n">
        <v>0.4929294755368033</v>
      </c>
      <c r="E114" s="23" t="n">
        <v>0.4939675184564306</v>
      </c>
      <c r="F114" s="23" t="n">
        <v>0.494770998632992</v>
      </c>
      <c r="G114" s="23" t="n">
        <v>0.4954264253622805</v>
      </c>
      <c r="H114" s="23" t="n">
        <v>0.4959798486120148</v>
      </c>
      <c r="I114" s="23" t="n">
        <v>0.4964587113129775</v>
      </c>
      <c r="J114" s="23" t="n">
        <v>0.4968806911264985</v>
      </c>
      <c r="K114" s="23" t="n">
        <v>0.4972578446319196</v>
      </c>
      <c r="L114" s="23" t="n">
        <v>0.4975987629026807</v>
      </c>
      <c r="M114" s="23" t="n">
        <v>0.4979097838105355</v>
      </c>
      <c r="N114" s="23" t="n">
        <v>0.4981957167018905</v>
      </c>
      <c r="O114" s="23" t="n">
        <v>0.4984602973573072</v>
      </c>
      <c r="P114" s="23" t="n">
        <v>0.4987064853789825</v>
      </c>
      <c r="Q114" s="23" t="n">
        <v>0.4989366652643226</v>
      </c>
      <c r="R114" s="23" t="n">
        <v>0.4991527863251748</v>
      </c>
      <c r="S114" s="23" t="n">
        <v>0.4993564624945525</v>
      </c>
      <c r="T114" s="23" t="n">
        <v>0.4995490450730513</v>
      </c>
      <c r="U114" s="23" t="n">
        <v>0.4997316767666592</v>
      </c>
      <c r="V114" s="23" t="n">
        <v>0.4999053325073388</v>
      </c>
      <c r="W114" s="23" t="n">
        <v>0.5000708507548696</v>
      </c>
      <c r="X114" s="23" t="n">
        <v>0.5002289578247853</v>
      </c>
      <c r="Y114" s="23" t="n">
        <v>0.5003802870273193</v>
      </c>
      <c r="Z114" s="23" t="n">
        <v>0.5005253938910991</v>
      </c>
      <c r="AA114" s="23" t="n">
        <v>0.5006647683948889</v>
      </c>
      <c r="AB114" s="23" t="n">
        <v>0.5007988448862691</v>
      </c>
      <c r="AC114" s="23" t="n">
        <v>0.5009280101929721</v>
      </c>
      <c r="AD114" s="23" t="n">
        <v>0.5010526103081395</v>
      </c>
      <c r="AE114" s="23" t="n">
        <v>0.5011729559401209</v>
      </c>
      <c r="AF114" s="23" t="n">
        <v>0.5012893271506089</v>
      </c>
      <c r="AG114" s="23" t="n">
        <v>0.5014019772550878</v>
      </c>
      <c r="AH114" s="23" t="n">
        <v>0.5015111361220308</v>
      </c>
    </row>
    <row r="115" ht="15.75" customHeight="1" s="82">
      <c r="A115" s="14" t="inlineStr">
        <is>
          <t>Class 11 - Advanced</t>
        </is>
      </c>
      <c r="B115" s="22" t="n">
        <v>0.4823242773762819</v>
      </c>
      <c r="C115" s="22" t="n">
        <v>0.4882937435380212</v>
      </c>
      <c r="D115" s="22" t="n">
        <v>0.4917927867823216</v>
      </c>
      <c r="E115" s="22" t="n">
        <v>0.4942783448781308</v>
      </c>
      <c r="F115" s="22" t="n">
        <v>0.4962079107073377</v>
      </c>
      <c r="G115" s="22" t="n">
        <v>0.4977855032284543</v>
      </c>
      <c r="H115" s="22" t="n">
        <v>0.4991200436086898</v>
      </c>
      <c r="I115" s="22" t="n">
        <v>0.5002765904620634</v>
      </c>
      <c r="J115" s="22" t="n">
        <v>0.5012971303017311</v>
      </c>
      <c r="K115" s="22" t="n">
        <v>0.5022103441496133</v>
      </c>
      <c r="L115" s="22" t="n">
        <v>0.5030366969994314</v>
      </c>
      <c r="M115" s="22" t="n">
        <v>0.503791304648079</v>
      </c>
      <c r="N115" s="22" t="n">
        <v>0.5044856497317608</v>
      </c>
      <c r="O115" s="22" t="n">
        <v>0.505128660368968</v>
      </c>
      <c r="P115" s="22" t="n">
        <v>0.5057274159829916</v>
      </c>
      <c r="Q115" s="22" t="n">
        <v>0.5062876249974904</v>
      </c>
      <c r="R115" s="22" t="n">
        <v>0.5068139575421771</v>
      </c>
      <c r="S115" s="22" t="n">
        <v>0.5073102829717645</v>
      </c>
      <c r="T115" s="22" t="n">
        <v>0.5077798431183846</v>
      </c>
      <c r="U115" s="22" t="n">
        <v>0.5082253810785589</v>
      </c>
      <c r="V115" s="22" t="n">
        <v>0.5086492385641009</v>
      </c>
      <c r="W115" s="22" t="n">
        <v>0.5090534305985537</v>
      </c>
      <c r="X115" s="22" t="n">
        <v>0.5094397036055293</v>
      </c>
      <c r="Y115" s="22" t="n">
        <v>0.5098095811324331</v>
      </c>
      <c r="Z115" s="22" t="n">
        <v>0.5101644002395527</v>
      </c>
      <c r="AA115" s="22" t="n">
        <v>0.5105053407520737</v>
      </c>
      <c r="AB115" s="22" t="n">
        <v>0.5108334489917087</v>
      </c>
      <c r="AC115" s="22" t="n">
        <v>0.5111496571928427</v>
      </c>
      <c r="AD115" s="22" t="n">
        <v>0.511454799512017</v>
      </c>
      <c r="AE115" s="22" t="n">
        <v>0.5117496253238102</v>
      </c>
      <c r="AF115" s="22" t="n">
        <v>0.5120348103370548</v>
      </c>
      <c r="AG115" s="22" t="n">
        <v>0.5123109659466347</v>
      </c>
      <c r="AH115" s="22" t="n">
        <v>0.5125786471466396</v>
      </c>
    </row>
    <row r="116" ht="15.75" customHeight="1" s="82">
      <c r="A116" s="12" t="inlineStr">
        <is>
          <t>Class 11 - Moderate</t>
        </is>
      </c>
      <c r="B116" s="16" t="n">
        <v>0.4823242773762819</v>
      </c>
      <c r="C116" s="16" t="n">
        <v>0.4872988325110647</v>
      </c>
      <c r="D116" s="16" t="n">
        <v>0.4902087607226824</v>
      </c>
      <c r="E116" s="16" t="n">
        <v>0.4922733876458474</v>
      </c>
      <c r="F116" s="16" t="n">
        <v>0.4938748367033002</v>
      </c>
      <c r="G116" s="16" t="n">
        <v>0.4951833158574652</v>
      </c>
      <c r="H116" s="16" t="n">
        <v>0.4962896192189612</v>
      </c>
      <c r="I116" s="16" t="n">
        <v>0.4972479427806302</v>
      </c>
      <c r="J116" s="16" t="n">
        <v>0.498093244069083</v>
      </c>
      <c r="K116" s="16" t="n">
        <v>0.4988493918380829</v>
      </c>
      <c r="L116" s="16" t="n">
        <v>0.4995334106982038</v>
      </c>
      <c r="M116" s="16" t="n">
        <v>0.500157870992248</v>
      </c>
      <c r="N116" s="16" t="n">
        <v>0.5007323187771147</v>
      </c>
      <c r="O116" s="16" t="n">
        <v>0.5012641743537438</v>
      </c>
      <c r="P116" s="16" t="n">
        <v>0.5017593200497006</v>
      </c>
      <c r="Q116" s="16" t="n">
        <v>0.5022224979154127</v>
      </c>
      <c r="R116" s="16" t="n">
        <v>0.5026575866414573</v>
      </c>
      <c r="S116" s="16" t="n">
        <v>0.5030677992038656</v>
      </c>
      <c r="T116" s="16" t="n">
        <v>0.5034558270004674</v>
      </c>
      <c r="U116" s="16" t="n">
        <v>0.5038239469728655</v>
      </c>
      <c r="V116" s="16" t="n">
        <v>0.5041741025653615</v>
      </c>
      <c r="W116" s="16" t="n">
        <v>0.5045079658329864</v>
      </c>
      <c r="X116" s="16" t="n">
        <v>0.5048269857322929</v>
      </c>
      <c r="Y116" s="16" t="n">
        <v>0.5051324261270304</v>
      </c>
      <c r="Z116" s="16" t="n">
        <v>0.5054253960303181</v>
      </c>
      <c r="AA116" s="16" t="n">
        <v>0.5057068739118972</v>
      </c>
      <c r="AB116" s="16" t="n">
        <v>0.5059777274154832</v>
      </c>
      <c r="AC116" s="16" t="n">
        <v>0.5062387294885263</v>
      </c>
      <c r="AD116" s="16" t="n">
        <v>0.5064905716802705</v>
      </c>
      <c r="AE116" s="16" t="n">
        <v>0.5067338751844832</v>
      </c>
      <c r="AF116" s="16" t="n">
        <v>0.5069692000708385</v>
      </c>
      <c r="AG116" s="16" t="n">
        <v>0.5071970530501955</v>
      </c>
      <c r="AH116" s="16" t="n">
        <v>0.5074178940446042</v>
      </c>
    </row>
    <row r="117" ht="15.75" customHeight="1" s="82">
      <c r="A117" s="17" t="inlineStr">
        <is>
          <t>Class 11 - Conservative</t>
        </is>
      </c>
      <c r="B117" s="23" t="n">
        <v>0.4823242773762819</v>
      </c>
      <c r="C117" s="23" t="n">
        <v>0.4848115549436733</v>
      </c>
      <c r="D117" s="23" t="n">
        <v>0.4862590926011915</v>
      </c>
      <c r="E117" s="23" t="n">
        <v>0.4872830885949986</v>
      </c>
      <c r="F117" s="23" t="n">
        <v>0.4880756959779357</v>
      </c>
      <c r="G117" s="23" t="n">
        <v>0.488722253391252</v>
      </c>
      <c r="H117" s="23" t="n">
        <v>0.4892681876487787</v>
      </c>
      <c r="I117" s="23" t="n">
        <v>0.4897405703201479</v>
      </c>
      <c r="J117" s="23" t="n">
        <v>0.4901568398503789</v>
      </c>
      <c r="K117" s="23" t="n">
        <v>0.4905288896676833</v>
      </c>
      <c r="L117" s="23" t="n">
        <v>0.4908651945900273</v>
      </c>
      <c r="M117" s="23" t="n">
        <v>0.4911720067242961</v>
      </c>
      <c r="N117" s="23" t="n">
        <v>0.491454070336223</v>
      </c>
      <c r="O117" s="23" t="n">
        <v>0.4917150706533223</v>
      </c>
      <c r="P117" s="23" t="n">
        <v>0.4919579272280865</v>
      </c>
      <c r="Q117" s="23" t="n">
        <v>0.4921849922906059</v>
      </c>
      <c r="R117" s="23" t="n">
        <v>0.4923981887743982</v>
      </c>
      <c r="S117" s="23" t="n">
        <v>0.4925991087725344</v>
      </c>
      <c r="T117" s="23" t="n">
        <v>0.4927890852996423</v>
      </c>
      <c r="U117" s="23" t="n">
        <v>0.4929692455984708</v>
      </c>
      <c r="V117" s="23" t="n">
        <v>0.4931405514080814</v>
      </c>
      <c r="W117" s="23" t="n">
        <v>0.4933038298421122</v>
      </c>
      <c r="X117" s="23" t="n">
        <v>0.4934597973875046</v>
      </c>
      <c r="Y117" s="23" t="n">
        <v>0.4936090787844593</v>
      </c>
      <c r="Z117" s="23" t="n">
        <v>0.4937522220441211</v>
      </c>
      <c r="AA117" s="23" t="n">
        <v>0.493889710514801</v>
      </c>
      <c r="AB117" s="23" t="n">
        <v>0.4940219726664337</v>
      </c>
      <c r="AC117" s="23" t="n">
        <v>0.4941493900921506</v>
      </c>
      <c r="AD117" s="23" t="n">
        <v>0.4942723041030715</v>
      </c>
      <c r="AE117" s="23" t="n">
        <v>0.4943910212030017</v>
      </c>
      <c r="AF117" s="23" t="n">
        <v>0.494505817663804</v>
      </c>
      <c r="AG117" s="23" t="n">
        <v>0.4946169433730664</v>
      </c>
      <c r="AH117" s="23" t="n">
        <v>0.4947246250886531</v>
      </c>
    </row>
    <row r="118" ht="15.75" customHeight="1" s="82">
      <c r="A118" s="14" t="inlineStr">
        <is>
          <t>Class 12 - Advanced</t>
        </is>
      </c>
      <c r="B118" s="22" t="n">
        <v>0.4544438847114613</v>
      </c>
      <c r="C118" s="22" t="n">
        <v>0.4600682903643372</v>
      </c>
      <c r="D118" s="22" t="n">
        <v>0.4633650740414166</v>
      </c>
      <c r="E118" s="22" t="n">
        <v>0.4657069563179631</v>
      </c>
      <c r="F118" s="22" t="n">
        <v>0.4675249850433701</v>
      </c>
      <c r="G118" s="22" t="n">
        <v>0.4690113860134557</v>
      </c>
      <c r="H118" s="22" t="n">
        <v>0.4702687842891502</v>
      </c>
      <c r="I118" s="22" t="n">
        <v>0.4713584778201435</v>
      </c>
      <c r="J118" s="22" t="n">
        <v>0.472320026120727</v>
      </c>
      <c r="K118" s="22" t="n">
        <v>0.4731804523278867</v>
      </c>
      <c r="L118" s="22" t="n">
        <v>0.4739590384717494</v>
      </c>
      <c r="M118" s="22" t="n">
        <v>0.4746700265919199</v>
      </c>
      <c r="N118" s="22" t="n">
        <v>0.47532423557944</v>
      </c>
      <c r="O118" s="22" t="n">
        <v>0.4759300774696156</v>
      </c>
      <c r="P118" s="22" t="n">
        <v>0.4764942224649907</v>
      </c>
      <c r="Q118" s="22" t="n">
        <v>0.4770220490180808</v>
      </c>
      <c r="R118" s="22" t="n">
        <v>0.4775179573052577</v>
      </c>
      <c r="S118" s="22" t="n">
        <v>0.4779855930160905</v>
      </c>
      <c r="T118" s="22" t="n">
        <v>0.4784280105910393</v>
      </c>
      <c r="U118" s="22" t="n">
        <v>0.4788477945639908</v>
      </c>
      <c r="V118" s="22" t="n">
        <v>0.4792471512858659</v>
      </c>
      <c r="W118" s="22" t="n">
        <v>0.4796279793032847</v>
      </c>
      <c r="X118" s="22" t="n">
        <v>0.4799919240891538</v>
      </c>
      <c r="Y118" s="22" t="n">
        <v>0.480340421123365</v>
      </c>
      <c r="Z118" s="22" t="n">
        <v>0.4806747301784396</v>
      </c>
      <c r="AA118" s="22" t="n">
        <v>0.4809959628806548</v>
      </c>
      <c r="AB118" s="22" t="n">
        <v>0.4813051050698821</v>
      </c>
      <c r="AC118" s="22" t="n">
        <v>0.4816030350933979</v>
      </c>
      <c r="AD118" s="22" t="n">
        <v>0.481890538889951</v>
      </c>
      <c r="AE118" s="22" t="n">
        <v>0.4821683225170854</v>
      </c>
      <c r="AF118" s="22" t="n">
        <v>0.4824370226247916</v>
      </c>
      <c r="AG118" s="22" t="n">
        <v>0.4826972152667316</v>
      </c>
      <c r="AH118" s="22" t="n">
        <v>0.4829494233559785</v>
      </c>
    </row>
    <row r="119" ht="15.75" customHeight="1" s="82">
      <c r="A119" s="12" t="inlineStr">
        <is>
          <t>Class 12 - Moderate</t>
        </is>
      </c>
      <c r="B119" s="16" t="n">
        <v>0.4544438847114613</v>
      </c>
      <c r="C119" s="16" t="n">
        <v>0.4591308894221912</v>
      </c>
      <c r="D119" s="16" t="n">
        <v>0.4618726114186716</v>
      </c>
      <c r="E119" s="16" t="n">
        <v>0.4638178941329211</v>
      </c>
      <c r="F119" s="16" t="n">
        <v>0.4653267726301745</v>
      </c>
      <c r="G119" s="16" t="n">
        <v>0.4665596161294015</v>
      </c>
      <c r="H119" s="16" t="n">
        <v>0.467601970455836</v>
      </c>
      <c r="I119" s="16" t="n">
        <v>0.4685048988436509</v>
      </c>
      <c r="J119" s="16" t="n">
        <v>0.4693013381258818</v>
      </c>
      <c r="K119" s="16" t="n">
        <v>0.4700137773409043</v>
      </c>
      <c r="L119" s="16" t="n">
        <v>0.4706582570044622</v>
      </c>
      <c r="M119" s="16" t="n">
        <v>0.4712466208401314</v>
      </c>
      <c r="N119" s="16" t="n">
        <v>0.4717878631021606</v>
      </c>
      <c r="O119" s="16" t="n">
        <v>0.4722889751665659</v>
      </c>
      <c r="P119" s="16" t="n">
        <v>0.4727554993373846</v>
      </c>
      <c r="Q119" s="16" t="n">
        <v>0.4731919035543808</v>
      </c>
      <c r="R119" s="16" t="n">
        <v>0.473601842303335</v>
      </c>
      <c r="S119" s="16" t="n">
        <v>0.4739883428366117</v>
      </c>
      <c r="T119" s="16" t="n">
        <v>0.4743539409778104</v>
      </c>
      <c r="U119" s="16" t="n">
        <v>0.4747007820516342</v>
      </c>
      <c r="V119" s="16" t="n">
        <v>0.4750306971630463</v>
      </c>
      <c r="W119" s="16" t="n">
        <v>0.4753452617151921</v>
      </c>
      <c r="X119" s="16" t="n">
        <v>0.4756458409087789</v>
      </c>
      <c r="Y119" s="16" t="n">
        <v>0.4759336255508612</v>
      </c>
      <c r="Z119" s="16" t="n">
        <v>0.4762096605488875</v>
      </c>
      <c r="AA119" s="16" t="n">
        <v>0.4764748678128904</v>
      </c>
      <c r="AB119" s="16" t="n">
        <v>0.476730064833092</v>
      </c>
      <c r="AC119" s="16" t="n">
        <v>0.4769759798772957</v>
      </c>
      <c r="AD119" s="16" t="n">
        <v>0.4772132645202604</v>
      </c>
      <c r="AE119" s="16" t="n">
        <v>0.4774425040481146</v>
      </c>
      <c r="AF119" s="16" t="n">
        <v>0.4776642261561251</v>
      </c>
      <c r="AG119" s="16" t="n">
        <v>0.4778789082651107</v>
      </c>
      <c r="AH119" s="16" t="n">
        <v>0.4780869837116725</v>
      </c>
    </row>
    <row r="120" ht="15.75" customHeight="1" s="82">
      <c r="A120" s="17" t="inlineStr">
        <is>
          <t>Class 12 - Conservative</t>
        </is>
      </c>
      <c r="B120" s="23" t="n">
        <v>0.4544438847114613</v>
      </c>
      <c r="C120" s="23" t="n">
        <v>0.4567873870668263</v>
      </c>
      <c r="D120" s="23" t="n">
        <v>0.4581512508970426</v>
      </c>
      <c r="E120" s="23" t="n">
        <v>0.4591160555713708</v>
      </c>
      <c r="F120" s="23" t="n">
        <v>0.4598628468797252</v>
      </c>
      <c r="G120" s="23" t="n">
        <v>0.4604720305272803</v>
      </c>
      <c r="H120" s="23" t="n">
        <v>0.4609864074650059</v>
      </c>
      <c r="I120" s="23" t="n">
        <v>0.4614314844107801</v>
      </c>
      <c r="J120" s="23" t="n">
        <v>0.4618236917934029</v>
      </c>
      <c r="K120" s="23" t="n">
        <v>0.4621742355503992</v>
      </c>
      <c r="L120" s="23" t="n">
        <v>0.4624911006192466</v>
      </c>
      <c r="M120" s="23" t="n">
        <v>0.4627801777084867</v>
      </c>
      <c r="N120" s="23" t="n">
        <v>0.4630459368451344</v>
      </c>
      <c r="O120" s="23" t="n">
        <v>0.4632918502348953</v>
      </c>
      <c r="P120" s="23" t="n">
        <v>0.463520668667722</v>
      </c>
      <c r="Q120" s="23" t="n">
        <v>0.4637346084048112</v>
      </c>
      <c r="R120" s="23" t="n">
        <v>0.4639354812259523</v>
      </c>
      <c r="S120" s="23" t="n">
        <v>0.4641247871944719</v>
      </c>
      <c r="T120" s="23" t="n">
        <v>0.4643037822710883</v>
      </c>
      <c r="U120" s="23" t="n">
        <v>0.4644735285391297</v>
      </c>
      <c r="V120" s="23" t="n">
        <v>0.4646349321450535</v>
      </c>
      <c r="W120" s="23" t="n">
        <v>0.4647887723918148</v>
      </c>
      <c r="X120" s="23" t="n">
        <v>0.4649357243503656</v>
      </c>
      <c r="Y120" s="23" t="n">
        <v>0.4650763766482683</v>
      </c>
      <c r="Z120" s="23" t="n">
        <v>0.4652112456192951</v>
      </c>
      <c r="AA120" s="23" t="n">
        <v>0.4653407866721708</v>
      </c>
      <c r="AB120" s="23" t="n">
        <v>0.4654654035094472</v>
      </c>
      <c r="AC120" s="23" t="n">
        <v>0.4655854556665514</v>
      </c>
      <c r="AD120" s="23" t="n">
        <v>0.4657012647253701</v>
      </c>
      <c r="AE120" s="23" t="n">
        <v>0.4658131194724862</v>
      </c>
      <c r="AF120" s="23" t="n">
        <v>0.4659212802100753</v>
      </c>
      <c r="AG120" s="23" t="n">
        <v>0.4660259823811607</v>
      </c>
      <c r="AH120" s="23" t="n">
        <v>0.4661274396360388</v>
      </c>
    </row>
    <row r="121" ht="15.75" customHeight="1" s="82">
      <c r="A121" s="14" t="inlineStr">
        <is>
          <t>Class 13 - Advanced</t>
        </is>
      </c>
      <c r="B121" s="22" t="n">
        <v>0.36239616176794</v>
      </c>
      <c r="C121" s="22" t="n">
        <v>0.3668813426437313</v>
      </c>
      <c r="D121" s="22" t="n">
        <v>0.3695103619593094</v>
      </c>
      <c r="E121" s="22" t="n">
        <v>0.3713778953927753</v>
      </c>
      <c r="F121" s="22" t="n">
        <v>0.3728276819434067</v>
      </c>
      <c r="G121" s="22" t="n">
        <v>0.3740130120238174</v>
      </c>
      <c r="H121" s="22" t="n">
        <v>0.3750157239630805</v>
      </c>
      <c r="I121" s="22" t="n">
        <v>0.3758846997957866</v>
      </c>
      <c r="J121" s="22" t="n">
        <v>0.3766514862466753</v>
      </c>
      <c r="K121" s="22" t="n">
        <v>0.3773376329095514</v>
      </c>
      <c r="L121" s="22" t="n">
        <v>0.3779585162344984</v>
      </c>
      <c r="M121" s="22" t="n">
        <v>0.3785254935324238</v>
      </c>
      <c r="N121" s="45" t="n">
        <v>0.3790471923252723</v>
      </c>
      <c r="O121" s="22" t="n">
        <v>0.3795303207884868</v>
      </c>
      <c r="P121" s="22" t="n">
        <v>0.3799801980734113</v>
      </c>
      <c r="Q121" s="22" t="n">
        <v>0.3804011132256539</v>
      </c>
      <c r="R121" s="22" t="n">
        <v>0.3807965751647577</v>
      </c>
      <c r="S121" s="22" t="n">
        <v>0.381169491144954</v>
      </c>
      <c r="T121" s="22" t="n">
        <v>0.3815222969290211</v>
      </c>
      <c r="U121" s="22" t="n">
        <v>0.381857053552858</v>
      </c>
      <c r="V121" s="22" t="n">
        <v>0.3821755204704525</v>
      </c>
      <c r="W121" s="22" t="n">
        <v>0.3824792116773303</v>
      </c>
      <c r="X121" s="22" t="n">
        <v>0.3827694393554475</v>
      </c>
      <c r="Y121" s="22" t="n">
        <v>0.3830473482278837</v>
      </c>
      <c r="Z121" s="22" t="n">
        <v>0.3833139428999194</v>
      </c>
      <c r="AA121" s="22" t="n">
        <v>0.3835701098376505</v>
      </c>
      <c r="AB121" s="22" t="n">
        <v>0.3838166351988347</v>
      </c>
      <c r="AC121" s="22" t="n">
        <v>0.3840542194212875</v>
      </c>
      <c r="AD121" s="22" t="n">
        <v>0.3842834892516665</v>
      </c>
      <c r="AE121" s="22" t="n">
        <v>0.3845050077353828</v>
      </c>
      <c r="AF121" s="22" t="n">
        <v>0.3847192825688118</v>
      </c>
      <c r="AG121" s="22" t="n">
        <v>0.3849267731258014</v>
      </c>
      <c r="AH121" s="22" t="n">
        <v>0.3851278964032506</v>
      </c>
    </row>
    <row r="122" ht="15.75" customHeight="1" s="82">
      <c r="A122" s="12" t="inlineStr">
        <is>
          <t>Class 13 - Moderate</t>
        </is>
      </c>
      <c r="B122" s="16" t="n">
        <v>0.36239616176794</v>
      </c>
      <c r="C122" s="16" t="n">
        <v>0.3661338124977661</v>
      </c>
      <c r="D122" s="16" t="n">
        <v>0.3683201980155074</v>
      </c>
      <c r="E122" s="16" t="n">
        <v>0.3698714632275921</v>
      </c>
      <c r="F122" s="16" t="n">
        <v>0.3710747180063994</v>
      </c>
      <c r="G122" s="16" t="n">
        <v>0.3720578487453334</v>
      </c>
      <c r="H122" s="16" t="n">
        <v>0.3728890739412493</v>
      </c>
      <c r="I122" s="16" t="n">
        <v>0.3736091139574181</v>
      </c>
      <c r="J122" s="16" t="n">
        <v>0.3742442342630746</v>
      </c>
      <c r="K122" s="16" t="n">
        <v>0.3748123687362253</v>
      </c>
      <c r="L122" s="16" t="n">
        <v>0.3753263088821229</v>
      </c>
      <c r="M122" s="16" t="n">
        <v>0.3757954994751594</v>
      </c>
      <c r="N122" s="46" t="n">
        <v>0.3762271129811273</v>
      </c>
      <c r="O122" s="16" t="n">
        <v>0.3766267246710753</v>
      </c>
      <c r="P122" s="16" t="n">
        <v>0.3769987542539666</v>
      </c>
      <c r="Q122" s="16" t="n">
        <v>0.377346764687244</v>
      </c>
      <c r="R122" s="16" t="n">
        <v>0.3776736702396761</v>
      </c>
      <c r="S122" s="16" t="n">
        <v>0.3779818849929006</v>
      </c>
      <c r="T122" s="16" t="n">
        <v>0.3782734311388103</v>
      </c>
      <c r="U122" s="16" t="n">
        <v>0.3785500194660512</v>
      </c>
      <c r="V122" s="16" t="n">
        <v>0.3788131101888165</v>
      </c>
      <c r="W122" s="16" t="n">
        <v>0.3790639596119488</v>
      </c>
      <c r="X122" s="16" t="n">
        <v>0.3793036564144095</v>
      </c>
      <c r="Y122" s="16" t="n">
        <v>0.3795331502049851</v>
      </c>
      <c r="Z122" s="16" t="n">
        <v>0.3797532742448584</v>
      </c>
      <c r="AA122" s="16" t="n">
        <v>0.3799647637109531</v>
      </c>
      <c r="AB122" s="16" t="n">
        <v>0.3801682705106417</v>
      </c>
      <c r="AC122" s="16" t="n">
        <v>0.3803643754009011</v>
      </c>
      <c r="AD122" s="16" t="n">
        <v>0.3805535979798593</v>
      </c>
      <c r="AE122" s="16" t="n">
        <v>0.3807364049837924</v>
      </c>
      <c r="AF122" s="16" t="n">
        <v>0.3809132172231586</v>
      </c>
      <c r="AG122" s="16" t="n">
        <v>0.3810844154170698</v>
      </c>
      <c r="AH122" s="16" t="n">
        <v>0.38125034512969</v>
      </c>
    </row>
    <row r="123" ht="15.75" customHeight="1" s="82">
      <c r="A123" s="17" t="inlineStr">
        <is>
          <t>Class 13 - Conservative</t>
        </is>
      </c>
      <c r="B123" s="23" t="n">
        <v>0.36239616176794</v>
      </c>
      <c r="C123" s="23" t="n">
        <v>0.3642649871328531</v>
      </c>
      <c r="D123" s="23" t="n">
        <v>0.3653526000018398</v>
      </c>
      <c r="E123" s="23" t="n">
        <v>0.3661219832471536</v>
      </c>
      <c r="F123" s="23" t="n">
        <v>0.3667175117885073</v>
      </c>
      <c r="G123" s="23" t="n">
        <v>0.367203305135305</v>
      </c>
      <c r="H123" s="23" t="n">
        <v>0.3676134948951519</v>
      </c>
      <c r="I123" s="23" t="n">
        <v>0.3679684213938161</v>
      </c>
      <c r="J123" s="23" t="n">
        <v>0.3682811870726189</v>
      </c>
      <c r="K123" s="23" t="n">
        <v>0.3685607281036261</v>
      </c>
      <c r="L123" s="23" t="n">
        <v>0.3688134120732245</v>
      </c>
      <c r="M123" s="23" t="n">
        <v>0.3690439365254617</v>
      </c>
      <c r="N123" s="47" t="n">
        <v>0.3692558660822585</v>
      </c>
      <c r="O123" s="23" t="n">
        <v>0.3694519696531829</v>
      </c>
      <c r="P123" s="23" t="n">
        <v>0.3696344408549921</v>
      </c>
      <c r="Q123" s="23" t="n">
        <v>0.369805047044621</v>
      </c>
      <c r="R123" s="23" t="n">
        <v>0.3699652330254077</v>
      </c>
      <c r="S123" s="23" t="n">
        <v>0.3701161950224754</v>
      </c>
      <c r="T123" s="23" t="n">
        <v>0.3702589346013836</v>
      </c>
      <c r="U123" s="23" t="n">
        <v>0.3703942987202158</v>
      </c>
      <c r="V123" s="23" t="n">
        <v>0.3705230099852369</v>
      </c>
      <c r="W123" s="23" t="n">
        <v>0.3706456898513926</v>
      </c>
      <c r="X123" s="23" t="n">
        <v>0.3707628766538443</v>
      </c>
      <c r="Y123" s="23" t="n">
        <v>0.3708750397934939</v>
      </c>
      <c r="Z123" s="23" t="n">
        <v>0.3709825910205783</v>
      </c>
      <c r="AA123" s="23" t="n">
        <v>0.3710858935006707</v>
      </c>
      <c r="AB123" s="23" t="n">
        <v>0.3711852691662697</v>
      </c>
      <c r="AC123" s="23" t="n">
        <v>0.3712810047288115</v>
      </c>
      <c r="AD123" s="23" t="n">
        <v>0.3713733566336908</v>
      </c>
      <c r="AE123" s="23" t="n">
        <v>0.3714625551736957</v>
      </c>
      <c r="AF123" s="23" t="n">
        <v>0.3715488079267307</v>
      </c>
      <c r="AG123" s="23" t="n">
        <v>0.3716323026467756</v>
      </c>
      <c r="AH123" s="23" t="n">
        <v>0.3717132097092056</v>
      </c>
    </row>
    <row r="124" ht="15.75" customHeight="1" s="82">
      <c r="A124" s="14" t="inlineStr">
        <is>
          <t>Class 14 - Advanced</t>
        </is>
      </c>
      <c r="B124" s="22" t="n">
        <v>0.2978647333531765</v>
      </c>
      <c r="C124" s="22" t="n">
        <v>0.3015512437154573</v>
      </c>
      <c r="D124" s="22" t="n">
        <v>0.3037121168703901</v>
      </c>
      <c r="E124" s="22" t="n">
        <v>0.3052471009758335</v>
      </c>
      <c r="F124" s="22" t="n">
        <v>0.3064387258600931</v>
      </c>
      <c r="G124" s="22" t="n">
        <v>0.3074129857049397</v>
      </c>
      <c r="H124" s="22" t="n">
        <v>0.30823714599119</v>
      </c>
      <c r="I124" s="22" t="n">
        <v>0.3089513843910577</v>
      </c>
      <c r="J124" s="22" t="n">
        <v>0.3095816301437129</v>
      </c>
      <c r="K124" s="22" t="n">
        <v>0.3101455955339137</v>
      </c>
      <c r="L124" s="22" t="n">
        <v>0.3106559189466302</v>
      </c>
      <c r="M124" s="22" t="n">
        <v>0.3111219353107108</v>
      </c>
      <c r="N124" s="22" t="n">
        <v>0.3115507358561261</v>
      </c>
      <c r="O124" s="22" t="n">
        <v>0.3119478342419607</v>
      </c>
      <c r="P124" s="22" t="n">
        <v>0.3123176024449735</v>
      </c>
      <c r="Q124" s="22" t="n">
        <v>0.3126635657658194</v>
      </c>
      <c r="R124" s="22" t="n">
        <v>0.3129886082951547</v>
      </c>
      <c r="S124" s="22" t="n">
        <v>0.3132951195961091</v>
      </c>
      <c r="T124" s="22" t="n">
        <v>0.3135851016982482</v>
      </c>
      <c r="U124" s="22" t="n">
        <v>0.3138602486314026</v>
      </c>
      <c r="V124" s="22" t="n">
        <v>0.314122006545803</v>
      </c>
      <c r="W124" s="22" t="n">
        <v>0.3143716198416974</v>
      </c>
      <c r="X124" s="22" t="n">
        <v>0.3146101670424524</v>
      </c>
      <c r="Y124" s="22" t="n">
        <v>0.3148385890317495</v>
      </c>
      <c r="Z124" s="22" t="n">
        <v>0.3150577115260715</v>
      </c>
      <c r="AA124" s="22" t="n">
        <v>0.3152682631396121</v>
      </c>
      <c r="AB124" s="22" t="n">
        <v>0.3154708900400068</v>
      </c>
      <c r="AC124" s="22" t="n">
        <v>0.3156661679389905</v>
      </c>
      <c r="AD124" s="22" t="n">
        <v>0.3158546119792326</v>
      </c>
      <c r="AE124" s="22" t="n">
        <v>0.3160366849453564</v>
      </c>
      <c r="AF124" s="22" t="n">
        <v>0.3162128041288826</v>
      </c>
      <c r="AG124" s="22" t="n">
        <v>0.3163833471035365</v>
      </c>
      <c r="AH124" s="22" t="n">
        <v>0.3165486566121037</v>
      </c>
    </row>
    <row r="125" ht="15.75" customHeight="1" s="82">
      <c r="A125" s="12" t="inlineStr">
        <is>
          <t>Class 14 - Moderate</t>
        </is>
      </c>
      <c r="B125" s="16" t="n">
        <v>0.2978647333531765</v>
      </c>
      <c r="C125" s="16" t="n">
        <v>0.3009368253217439</v>
      </c>
      <c r="D125" s="16" t="n">
        <v>0.3027338839221224</v>
      </c>
      <c r="E125" s="16" t="n">
        <v>0.3040089172903112</v>
      </c>
      <c r="F125" s="16" t="n">
        <v>0.3049979100050709</v>
      </c>
      <c r="G125" s="16" t="n">
        <v>0.3058059758906898</v>
      </c>
      <c r="H125" s="16" t="n">
        <v>0.3064891858621477</v>
      </c>
      <c r="I125" s="16" t="n">
        <v>0.3070810092588786</v>
      </c>
      <c r="J125" s="16" t="n">
        <v>0.3076030344910683</v>
      </c>
      <c r="K125" s="16" t="n">
        <v>0.3080700019736382</v>
      </c>
      <c r="L125" s="16" t="n">
        <v>0.3084924254446001</v>
      </c>
      <c r="M125" s="16" t="n">
        <v>0.3088780678592571</v>
      </c>
      <c r="N125" s="16" t="n">
        <v>0.3092328244914454</v>
      </c>
      <c r="O125" s="16" t="n">
        <v>0.309561277830715</v>
      </c>
      <c r="P125" s="16" t="n">
        <v>0.3098670605740167</v>
      </c>
      <c r="Q125" s="16" t="n">
        <v>0.3101531012274458</v>
      </c>
      <c r="R125" s="16" t="n">
        <v>0.3104217951195991</v>
      </c>
      <c r="S125" s="16" t="n">
        <v>0.3106751264596356</v>
      </c>
      <c r="T125" s="16" t="n">
        <v>0.3109147573502827</v>
      </c>
      <c r="U125" s="16" t="n">
        <v>0.3111420939422055</v>
      </c>
      <c r="V125" s="16" t="n">
        <v>0.3113583364310935</v>
      </c>
      <c r="W125" s="16" t="n">
        <v>0.3115645174131674</v>
      </c>
      <c r="X125" s="16" t="n">
        <v>0.3117615317076959</v>
      </c>
      <c r="Y125" s="16" t="n">
        <v>0.3119501598278243</v>
      </c>
      <c r="Z125" s="16" t="n">
        <v>0.3121310866569651</v>
      </c>
      <c r="AA125" s="16" t="n">
        <v>0.3123049164600126</v>
      </c>
      <c r="AB125" s="16" t="n">
        <v>0.3124721850600141</v>
      </c>
      <c r="AC125" s="16" t="n">
        <v>0.3126333697992823</v>
      </c>
      <c r="AD125" s="16" t="n">
        <v>0.3127888977517607</v>
      </c>
      <c r="AE125" s="16" t="n">
        <v>0.312939152542584</v>
      </c>
      <c r="AF125" s="16" t="n">
        <v>0.313084480049022</v>
      </c>
      <c r="AG125" s="16" t="n">
        <v>0.3132251931960132</v>
      </c>
      <c r="AH125" s="16" t="n">
        <v>0.313361576013546</v>
      </c>
    </row>
    <row r="126" ht="15.75" customHeight="1" s="82">
      <c r="A126" s="17" t="inlineStr">
        <is>
          <t>Class 14 - Conservative</t>
        </is>
      </c>
      <c r="B126" s="23" t="n">
        <v>0.2978647333531765</v>
      </c>
      <c r="C126" s="23" t="n">
        <v>0.2994007793374602</v>
      </c>
      <c r="D126" s="23" t="n">
        <v>0.3002947223517344</v>
      </c>
      <c r="E126" s="23" t="n">
        <v>0.3009271024908997</v>
      </c>
      <c r="F126" s="23" t="n">
        <v>0.3014165860144258</v>
      </c>
      <c r="G126" s="23" t="n">
        <v>0.3018158747513781</v>
      </c>
      <c r="H126" s="23" t="n">
        <v>0.3021530225369532</v>
      </c>
      <c r="I126" s="23" t="n">
        <v>0.3024447477207102</v>
      </c>
      <c r="J126" s="23" t="n">
        <v>0.302701819608735</v>
      </c>
      <c r="K126" s="23" t="n">
        <v>0.3029315831201806</v>
      </c>
      <c r="L126" s="23" t="n">
        <v>0.3031392719733403</v>
      </c>
      <c r="M126" s="23" t="n">
        <v>0.3033287472265053</v>
      </c>
      <c r="N126" s="23" t="n">
        <v>0.3035029387538575</v>
      </c>
      <c r="O126" s="23" t="n">
        <v>0.3036641224087231</v>
      </c>
      <c r="P126" s="23" t="n">
        <v>0.3038141011932841</v>
      </c>
      <c r="Q126" s="23" t="n">
        <v>0.3039543277534504</v>
      </c>
      <c r="R126" s="23" t="n">
        <v>0.3040859896182483</v>
      </c>
      <c r="S126" s="23" t="n">
        <v>0.3042100700024987</v>
      </c>
      <c r="T126" s="23" t="n">
        <v>0.3043273921242425</v>
      </c>
      <c r="U126" s="23" t="n">
        <v>0.3044386521248034</v>
      </c>
      <c r="V126" s="23" t="n">
        <v>0.3045444439368579</v>
      </c>
      <c r="W126" s="23" t="n">
        <v>0.3046452783536521</v>
      </c>
      <c r="X126" s="23" t="n">
        <v>0.3047415978496823</v>
      </c>
      <c r="Y126" s="23" t="n">
        <v>0.3048337882402228</v>
      </c>
      <c r="Z126" s="23" t="n">
        <v>0.3049221879556641</v>
      </c>
      <c r="AA126" s="23" t="n">
        <v>0.3050070954931428</v>
      </c>
      <c r="AB126" s="23" t="n">
        <v>0.3050887754590427</v>
      </c>
      <c r="AC126" s="23" t="n">
        <v>0.3051674635104553</v>
      </c>
      <c r="AD126" s="23" t="n">
        <v>0.3052433704278668</v>
      </c>
      <c r="AE126" s="23" t="n">
        <v>0.3053166854961181</v>
      </c>
      <c r="AF126" s="23" t="n">
        <v>0.3053875793299777</v>
      </c>
      <c r="AG126" s="23" t="n">
        <v>0.3054562062503106</v>
      </c>
      <c r="AH126" s="23" t="n">
        <v>0.3055227062939633</v>
      </c>
    </row>
    <row r="127" ht="15.75" customHeight="1" s="82">
      <c r="A127" s="2" t="n"/>
      <c r="F127" s="2" t="n"/>
    </row>
    <row r="128" ht="15.75" customHeight="1" s="82">
      <c r="A128" s="2" t="n"/>
      <c r="F128" s="2" t="n"/>
    </row>
    <row r="129" ht="15.75" customHeight="1" s="82">
      <c r="A129" s="2" t="n"/>
      <c r="F129" s="2" t="n"/>
    </row>
    <row r="130" ht="15.75" customHeight="1" s="82">
      <c r="A130" s="2" t="n"/>
      <c r="F130" s="2" t="n"/>
    </row>
    <row r="131" ht="15.75" customHeight="1" s="82">
      <c r="A131" s="2" t="n"/>
      <c r="B131" s="10" t="inlineStr">
        <is>
          <t>Potential Capacity (GW)</t>
        </is>
      </c>
      <c r="F131" s="2" t="n"/>
    </row>
    <row r="132" ht="15.75" customHeight="1" s="82">
      <c r="A132" s="10" t="inlineStr">
        <is>
          <t>Class 1 - Offshore Fixed</t>
        </is>
      </c>
      <c r="B132" s="10" t="n">
        <v>13.57</v>
      </c>
      <c r="D132" s="10">
        <f>A86</f>
        <v/>
      </c>
      <c r="E132" s="48">
        <f>B86</f>
        <v/>
      </c>
      <c r="F132" s="48">
        <f>C86</f>
        <v/>
      </c>
      <c r="G132" s="48">
        <f>D86</f>
        <v/>
      </c>
      <c r="H132" s="48">
        <f>E86</f>
        <v/>
      </c>
      <c r="I132" s="48">
        <f>F86</f>
        <v/>
      </c>
      <c r="J132" s="48">
        <f>G86</f>
        <v/>
      </c>
      <c r="K132" s="48">
        <f>H86</f>
        <v/>
      </c>
      <c r="L132" s="48">
        <f>I86</f>
        <v/>
      </c>
      <c r="M132" s="48">
        <f>J86</f>
        <v/>
      </c>
      <c r="N132" s="48">
        <f>K86</f>
        <v/>
      </c>
      <c r="O132" s="48">
        <f>L86</f>
        <v/>
      </c>
      <c r="P132" s="48">
        <f>M86</f>
        <v/>
      </c>
      <c r="Q132" s="48">
        <f>N86</f>
        <v/>
      </c>
      <c r="R132" s="48">
        <f>O86</f>
        <v/>
      </c>
      <c r="S132" s="48">
        <f>P86</f>
        <v/>
      </c>
      <c r="T132" s="48">
        <f>Q86</f>
        <v/>
      </c>
      <c r="U132" s="48">
        <f>R86</f>
        <v/>
      </c>
      <c r="V132" s="48">
        <f>S86</f>
        <v/>
      </c>
      <c r="W132" s="48">
        <f>T86</f>
        <v/>
      </c>
      <c r="X132" s="48">
        <f>U86</f>
        <v/>
      </c>
      <c r="Y132" s="48">
        <f>V86</f>
        <v/>
      </c>
      <c r="Z132" s="48">
        <f>W86</f>
        <v/>
      </c>
      <c r="AA132" s="48">
        <f>X86</f>
        <v/>
      </c>
      <c r="AB132" s="48">
        <f>Y86</f>
        <v/>
      </c>
      <c r="AC132" s="48">
        <f>Z86</f>
        <v/>
      </c>
      <c r="AD132" s="48">
        <f>AA86</f>
        <v/>
      </c>
      <c r="AE132" s="48">
        <f>AB86</f>
        <v/>
      </c>
      <c r="AF132" s="48">
        <f>AC86</f>
        <v/>
      </c>
      <c r="AG132" s="48">
        <f>AD86</f>
        <v/>
      </c>
      <c r="AH132" s="48">
        <f>AE86</f>
        <v/>
      </c>
      <c r="AI132" s="48">
        <f>AF86</f>
        <v/>
      </c>
      <c r="AJ132" s="48">
        <f>AG86</f>
        <v/>
      </c>
      <c r="AK132" s="48">
        <f>AH86</f>
        <v/>
      </c>
    </row>
    <row r="133" ht="15.75" customHeight="1" s="82">
      <c r="A133" s="10" t="inlineStr">
        <is>
          <t>Class 2 - Offshore Fixed</t>
        </is>
      </c>
      <c r="B133" s="10" t="n">
        <v>13.57</v>
      </c>
      <c r="D133" s="10">
        <f>A89</f>
        <v/>
      </c>
      <c r="E133" s="48">
        <f>B89</f>
        <v/>
      </c>
      <c r="F133" s="48">
        <f>C89</f>
        <v/>
      </c>
      <c r="G133" s="48">
        <f>D89</f>
        <v/>
      </c>
      <c r="H133" s="48">
        <f>E89</f>
        <v/>
      </c>
      <c r="I133" s="48">
        <f>F89</f>
        <v/>
      </c>
      <c r="J133" s="48">
        <f>G89</f>
        <v/>
      </c>
      <c r="K133" s="48">
        <f>H89</f>
        <v/>
      </c>
      <c r="L133" s="48">
        <f>I89</f>
        <v/>
      </c>
      <c r="M133" s="48">
        <f>J89</f>
        <v/>
      </c>
      <c r="N133" s="48">
        <f>K89</f>
        <v/>
      </c>
      <c r="O133" s="48">
        <f>L89</f>
        <v/>
      </c>
      <c r="P133" s="48">
        <f>M89</f>
        <v/>
      </c>
      <c r="Q133" s="48">
        <f>N89</f>
        <v/>
      </c>
      <c r="R133" s="48">
        <f>O89</f>
        <v/>
      </c>
      <c r="S133" s="48">
        <f>P89</f>
        <v/>
      </c>
      <c r="T133" s="48">
        <f>Q89</f>
        <v/>
      </c>
      <c r="U133" s="48">
        <f>R89</f>
        <v/>
      </c>
      <c r="V133" s="48">
        <f>S89</f>
        <v/>
      </c>
      <c r="W133" s="48">
        <f>T89</f>
        <v/>
      </c>
      <c r="X133" s="48">
        <f>U89</f>
        <v/>
      </c>
      <c r="Y133" s="48">
        <f>V89</f>
        <v/>
      </c>
      <c r="Z133" s="48">
        <f>W89</f>
        <v/>
      </c>
      <c r="AA133" s="48">
        <f>X89</f>
        <v/>
      </c>
      <c r="AB133" s="48">
        <f>Y89</f>
        <v/>
      </c>
      <c r="AC133" s="48">
        <f>Z89</f>
        <v/>
      </c>
      <c r="AD133" s="48">
        <f>AA89</f>
        <v/>
      </c>
      <c r="AE133" s="48">
        <f>AB89</f>
        <v/>
      </c>
      <c r="AF133" s="48">
        <f>AC89</f>
        <v/>
      </c>
      <c r="AG133" s="48">
        <f>AD89</f>
        <v/>
      </c>
      <c r="AH133" s="48">
        <f>AE89</f>
        <v/>
      </c>
      <c r="AI133" s="48">
        <f>AF89</f>
        <v/>
      </c>
      <c r="AJ133" s="48">
        <f>AG89</f>
        <v/>
      </c>
      <c r="AK133" s="48">
        <f>AH89</f>
        <v/>
      </c>
    </row>
    <row r="134" ht="15.75" customHeight="1" s="82">
      <c r="A134" s="10" t="inlineStr">
        <is>
          <t>Class 8 - Offshore Floating</t>
        </is>
      </c>
      <c r="B134" s="10" t="n">
        <v>27.6</v>
      </c>
      <c r="D134" s="10">
        <f>A107</f>
        <v/>
      </c>
      <c r="E134" s="48">
        <f>B107</f>
        <v/>
      </c>
      <c r="F134" s="48">
        <f>C107</f>
        <v/>
      </c>
      <c r="G134" s="48">
        <f>D107</f>
        <v/>
      </c>
      <c r="H134" s="48">
        <f>E107</f>
        <v/>
      </c>
      <c r="I134" s="48">
        <f>F107</f>
        <v/>
      </c>
      <c r="J134" s="48">
        <f>G107</f>
        <v/>
      </c>
      <c r="K134" s="48">
        <f>H107</f>
        <v/>
      </c>
      <c r="L134" s="48">
        <f>I107</f>
        <v/>
      </c>
      <c r="M134" s="48">
        <f>J107</f>
        <v/>
      </c>
      <c r="N134" s="48">
        <f>K107</f>
        <v/>
      </c>
      <c r="O134" s="48">
        <f>L107</f>
        <v/>
      </c>
      <c r="P134" s="48">
        <f>M107</f>
        <v/>
      </c>
      <c r="Q134" s="48">
        <f>N107</f>
        <v/>
      </c>
      <c r="R134" s="48">
        <f>O107</f>
        <v/>
      </c>
      <c r="S134" s="48">
        <f>P107</f>
        <v/>
      </c>
      <c r="T134" s="48">
        <f>Q107</f>
        <v/>
      </c>
      <c r="U134" s="48">
        <f>R107</f>
        <v/>
      </c>
      <c r="V134" s="48">
        <f>S107</f>
        <v/>
      </c>
      <c r="W134" s="48">
        <f>T107</f>
        <v/>
      </c>
      <c r="X134" s="48">
        <f>U107</f>
        <v/>
      </c>
      <c r="Y134" s="48">
        <f>V107</f>
        <v/>
      </c>
      <c r="Z134" s="48">
        <f>W107</f>
        <v/>
      </c>
      <c r="AA134" s="48">
        <f>X107</f>
        <v/>
      </c>
      <c r="AB134" s="48">
        <f>Y107</f>
        <v/>
      </c>
      <c r="AC134" s="48">
        <f>Z107</f>
        <v/>
      </c>
      <c r="AD134" s="48">
        <f>AA107</f>
        <v/>
      </c>
      <c r="AE134" s="48">
        <f>AB107</f>
        <v/>
      </c>
      <c r="AF134" s="48">
        <f>AC107</f>
        <v/>
      </c>
      <c r="AG134" s="48">
        <f>AD107</f>
        <v/>
      </c>
      <c r="AH134" s="48">
        <f>AE107</f>
        <v/>
      </c>
      <c r="AI134" s="48">
        <f>AF107</f>
        <v/>
      </c>
      <c r="AJ134" s="48">
        <f>AG107</f>
        <v/>
      </c>
      <c r="AK134" s="48">
        <f>AH107</f>
        <v/>
      </c>
    </row>
    <row r="135" ht="15.75" customHeight="1" s="82">
      <c r="A135" s="10" t="inlineStr">
        <is>
          <t>Class 9 - Offshore Floating</t>
        </is>
      </c>
      <c r="B135" s="10" t="n">
        <v>27.6</v>
      </c>
      <c r="D135" s="10">
        <f>A110</f>
        <v/>
      </c>
      <c r="E135" s="48">
        <f>B110</f>
        <v/>
      </c>
      <c r="F135" s="48">
        <f>C110</f>
        <v/>
      </c>
      <c r="G135" s="48">
        <f>D110</f>
        <v/>
      </c>
      <c r="H135" s="48">
        <f>E110</f>
        <v/>
      </c>
      <c r="I135" s="48">
        <f>F110</f>
        <v/>
      </c>
      <c r="J135" s="48">
        <f>G110</f>
        <v/>
      </c>
      <c r="K135" s="48">
        <f>H110</f>
        <v/>
      </c>
      <c r="L135" s="48">
        <f>I110</f>
        <v/>
      </c>
      <c r="M135" s="48">
        <f>J110</f>
        <v/>
      </c>
      <c r="N135" s="48">
        <f>K110</f>
        <v/>
      </c>
      <c r="O135" s="48">
        <f>L110</f>
        <v/>
      </c>
      <c r="P135" s="48">
        <f>M110</f>
        <v/>
      </c>
      <c r="Q135" s="48">
        <f>N110</f>
        <v/>
      </c>
      <c r="R135" s="48">
        <f>O110</f>
        <v/>
      </c>
      <c r="S135" s="48">
        <f>P110</f>
        <v/>
      </c>
      <c r="T135" s="48">
        <f>Q110</f>
        <v/>
      </c>
      <c r="U135" s="48">
        <f>R110</f>
        <v/>
      </c>
      <c r="V135" s="48">
        <f>S110</f>
        <v/>
      </c>
      <c r="W135" s="48">
        <f>T110</f>
        <v/>
      </c>
      <c r="X135" s="48">
        <f>U110</f>
        <v/>
      </c>
      <c r="Y135" s="48">
        <f>V110</f>
        <v/>
      </c>
      <c r="Z135" s="48">
        <f>W110</f>
        <v/>
      </c>
      <c r="AA135" s="48">
        <f>X110</f>
        <v/>
      </c>
      <c r="AB135" s="48">
        <f>Y110</f>
        <v/>
      </c>
      <c r="AC135" s="48">
        <f>Z110</f>
        <v/>
      </c>
      <c r="AD135" s="48">
        <f>AA110</f>
        <v/>
      </c>
      <c r="AE135" s="48">
        <f>AB110</f>
        <v/>
      </c>
      <c r="AF135" s="48">
        <f>AC110</f>
        <v/>
      </c>
      <c r="AG135" s="48">
        <f>AD110</f>
        <v/>
      </c>
      <c r="AH135" s="48">
        <f>AE110</f>
        <v/>
      </c>
      <c r="AI135" s="48">
        <f>AF110</f>
        <v/>
      </c>
      <c r="AJ135" s="48">
        <f>AG110</f>
        <v/>
      </c>
      <c r="AK135" s="48">
        <f>AH110</f>
        <v/>
      </c>
    </row>
    <row r="136" ht="15.75" customHeight="1" s="82">
      <c r="A136" s="2" t="n"/>
      <c r="F136" s="2" t="n"/>
    </row>
    <row r="137" ht="70.5" customHeight="1" s="82">
      <c r="A137" s="2" t="n"/>
      <c r="D137" s="49" t="inlineStr">
        <is>
          <t>Weighted Average of Classes 1-2 and 8-9</t>
        </is>
      </c>
      <c r="E137" s="31">
        <f>SUMPRODUCT(E132:E135,$B$132:$B$135)/SUM($B$132:$B$135)</f>
        <v/>
      </c>
      <c r="F137" s="31">
        <f>SUMPRODUCT(F132:F135,$B$132:$B$135)/SUM($B$132:$B$135)</f>
        <v/>
      </c>
      <c r="G137" s="31">
        <f>SUMPRODUCT(G132:G135,$B$132:$B$135)/SUM($B$132:$B$135)</f>
        <v/>
      </c>
      <c r="H137" s="31">
        <f>SUMPRODUCT(H132:H135,$B$132:$B$135)/SUM($B$132:$B$135)</f>
        <v/>
      </c>
      <c r="I137" s="31">
        <f>SUMPRODUCT(I132:I135,$B$132:$B$135)/SUM($B$132:$B$135)</f>
        <v/>
      </c>
      <c r="J137" s="31">
        <f>SUMPRODUCT(J132:J135,$B$132:$B$135)/SUM($B$132:$B$135)</f>
        <v/>
      </c>
      <c r="K137" s="31">
        <f>SUMPRODUCT(K132:K135,$B$132:$B$135)/SUM($B$132:$B$135)</f>
        <v/>
      </c>
      <c r="L137" s="31">
        <f>SUMPRODUCT(L132:L135,$B$132:$B$135)/SUM($B$132:$B$135)</f>
        <v/>
      </c>
      <c r="M137" s="31">
        <f>SUMPRODUCT(M132:M135,$B$132:$B$135)/SUM($B$132:$B$135)</f>
        <v/>
      </c>
      <c r="N137" s="31">
        <f>SUMPRODUCT(N132:N135,$B$132:$B$135)/SUM($B$132:$B$135)</f>
        <v/>
      </c>
      <c r="O137" s="31">
        <f>SUMPRODUCT(O132:O135,$B$132:$B$135)/SUM($B$132:$B$135)</f>
        <v/>
      </c>
      <c r="P137" s="31">
        <f>SUMPRODUCT(P132:P135,$B$132:$B$135)/SUM($B$132:$B$135)</f>
        <v/>
      </c>
      <c r="Q137" s="31">
        <f>SUMPRODUCT(Q132:Q135,$B$132:$B$135)/SUM($B$132:$B$135)</f>
        <v/>
      </c>
      <c r="R137" s="31">
        <f>SUMPRODUCT(R132:R135,$B$132:$B$135)/SUM($B$132:$B$135)</f>
        <v/>
      </c>
      <c r="S137" s="31">
        <f>SUMPRODUCT(S132:S135,$B$132:$B$135)/SUM($B$132:$B$135)</f>
        <v/>
      </c>
      <c r="T137" s="31">
        <f>SUMPRODUCT(T132:T135,$B$132:$B$135)/SUM($B$132:$B$135)</f>
        <v/>
      </c>
      <c r="U137" s="31">
        <f>SUMPRODUCT(U132:U135,$B$132:$B$135)/SUM($B$132:$B$135)</f>
        <v/>
      </c>
      <c r="V137" s="31">
        <f>SUMPRODUCT(V132:V135,$B$132:$B$135)/SUM($B$132:$B$135)</f>
        <v/>
      </c>
      <c r="W137" s="31">
        <f>SUMPRODUCT(W132:W135,$B$132:$B$135)/SUM($B$132:$B$135)</f>
        <v/>
      </c>
      <c r="X137" s="31">
        <f>SUMPRODUCT(X132:X135,$B$132:$B$135)/SUM($B$132:$B$135)</f>
        <v/>
      </c>
      <c r="Y137" s="31">
        <f>SUMPRODUCT(Y132:Y135,$B$132:$B$135)/SUM($B$132:$B$135)</f>
        <v/>
      </c>
      <c r="Z137" s="31">
        <f>SUMPRODUCT(Z132:Z135,$B$132:$B$135)/SUM($B$132:$B$135)</f>
        <v/>
      </c>
      <c r="AA137" s="31">
        <f>SUMPRODUCT(AA132:AA135,$B$132:$B$135)/SUM($B$132:$B$135)</f>
        <v/>
      </c>
      <c r="AB137" s="31">
        <f>SUMPRODUCT(AB132:AB135,$B$132:$B$135)/SUM($B$132:$B$135)</f>
        <v/>
      </c>
      <c r="AC137" s="31">
        <f>SUMPRODUCT(AC132:AC135,$B$132:$B$135)/SUM($B$132:$B$135)</f>
        <v/>
      </c>
      <c r="AD137" s="31">
        <f>SUMPRODUCT(AD132:AD135,$B$132:$B$135)/SUM($B$132:$B$135)</f>
        <v/>
      </c>
      <c r="AE137" s="31">
        <f>SUMPRODUCT(AE132:AE135,$B$132:$B$135)/SUM($B$132:$B$135)</f>
        <v/>
      </c>
      <c r="AF137" s="31">
        <f>SUMPRODUCT(AF132:AF135,$B$132:$B$135)/SUM($B$132:$B$135)</f>
        <v/>
      </c>
      <c r="AG137" s="31">
        <f>SUMPRODUCT(AG132:AG135,$B$132:$B$135)/SUM($B$132:$B$135)</f>
        <v/>
      </c>
      <c r="AH137" s="31">
        <f>SUMPRODUCT(AH132:AH135,$B$132:$B$135)/SUM($B$132:$B$135)</f>
        <v/>
      </c>
      <c r="AI137" s="31">
        <f>SUMPRODUCT(AI132:AI135,$B$132:$B$135)/SUM($B$132:$B$135)</f>
        <v/>
      </c>
      <c r="AJ137" s="31">
        <f>SUMPRODUCT(AJ132:AJ135,$B$132:$B$135)/SUM($B$132:$B$135)</f>
        <v/>
      </c>
      <c r="AK137" s="31">
        <f>SUMPRODUCT(AK132:AK135,$B$132:$B$135)/SUM($B$132:$B$135)</f>
        <v/>
      </c>
      <c r="AL137" s="31" t="n"/>
    </row>
    <row r="138" ht="15.75" customHeight="1" s="82">
      <c r="A138" s="2" t="n"/>
      <c r="F138" s="2" t="n"/>
    </row>
    <row r="139" ht="15.75" customHeight="1" s="82">
      <c r="A139" s="2" t="n"/>
      <c r="F139" s="2" t="n"/>
    </row>
    <row r="140" ht="15.75" customHeight="1" s="82">
      <c r="A140" s="2" t="n"/>
      <c r="F140" s="2" t="n"/>
    </row>
    <row r="141" ht="15.75" customHeight="1" s="82">
      <c r="A141" s="2" t="n"/>
      <c r="F141" s="2" t="n"/>
    </row>
    <row r="142" ht="15.75" customHeight="1" s="82">
      <c r="A142" s="2" t="n"/>
      <c r="F142" s="2" t="n"/>
    </row>
    <row r="143" ht="15.75" customHeight="1" s="82">
      <c r="A143" s="2" t="n"/>
      <c r="F143" s="2" t="n"/>
    </row>
    <row r="144" ht="15.75" customHeight="1" s="82">
      <c r="A144" s="2" t="n"/>
      <c r="F144" s="2" t="n"/>
    </row>
    <row r="145" ht="15.75" customHeight="1" s="82">
      <c r="A145" s="2" t="n"/>
      <c r="F145" s="2" t="n"/>
    </row>
    <row r="146" ht="15.75" customHeight="1" s="82">
      <c r="A146" s="2" t="n"/>
      <c r="F146" s="2" t="n"/>
    </row>
    <row r="147" ht="15.75" customHeight="1" s="82">
      <c r="A147" s="2" t="n"/>
      <c r="F147" s="2" t="n"/>
    </row>
    <row r="148" ht="15.75" customHeight="1" s="82">
      <c r="A148" s="2" t="n"/>
      <c r="F148" s="2" t="n"/>
    </row>
    <row r="149" ht="15.75" customHeight="1" s="82">
      <c r="A149" s="2" t="n"/>
      <c r="F149" s="2" t="n"/>
    </row>
    <row r="150" ht="15.75" customHeight="1" s="82">
      <c r="A150" s="2" t="n"/>
      <c r="F150" s="2" t="n"/>
    </row>
    <row r="151" ht="15.75" customHeight="1" s="82">
      <c r="A151" s="2" t="n"/>
      <c r="F151" s="2" t="n"/>
    </row>
    <row r="152" ht="15.75" customHeight="1" s="82">
      <c r="A152" s="2" t="n"/>
      <c r="F152" s="2" t="n"/>
    </row>
    <row r="153" ht="15.75" customHeight="1" s="82">
      <c r="A153" s="2" t="n"/>
      <c r="F153" s="2" t="n"/>
    </row>
    <row r="154" ht="15.75" customHeight="1" s="82">
      <c r="A154" s="2" t="n"/>
      <c r="F154" s="2" t="n"/>
    </row>
    <row r="155" ht="15.75" customHeight="1" s="82">
      <c r="A155" s="2" t="n"/>
      <c r="F155" s="2" t="n"/>
    </row>
    <row r="156" ht="15.75" customHeight="1" s="82">
      <c r="A156" s="2" t="n"/>
      <c r="F156" s="2" t="n"/>
    </row>
    <row r="157" ht="15.75" customHeight="1" s="82">
      <c r="A157" s="2" t="n"/>
      <c r="F157" s="2" t="n"/>
    </row>
    <row r="158" ht="15.75" customHeight="1" s="82">
      <c r="A158" s="2" t="n"/>
      <c r="F158" s="2" t="n"/>
    </row>
    <row r="159" ht="15.75" customHeight="1" s="82">
      <c r="A159" s="2" t="n"/>
      <c r="F159" s="2" t="n"/>
    </row>
    <row r="160" ht="15.75" customHeight="1" s="82">
      <c r="A160" s="2" t="n"/>
      <c r="F160" s="2" t="n"/>
    </row>
    <row r="161" ht="15.75" customHeight="1" s="82">
      <c r="A161" s="2" t="n"/>
      <c r="F161" s="2" t="n"/>
    </row>
    <row r="162" ht="15.75" customHeight="1" s="82">
      <c r="A162" s="2" t="n"/>
      <c r="F162" s="2" t="n"/>
    </row>
    <row r="163" ht="15.75" customHeight="1" s="82">
      <c r="A163" s="2" t="n"/>
      <c r="F163" s="2" t="n"/>
    </row>
    <row r="164" ht="15.75" customHeight="1" s="82">
      <c r="A164" s="2" t="n"/>
      <c r="F164" s="2" t="n"/>
    </row>
    <row r="165" ht="15.75" customHeight="1" s="82">
      <c r="A165" s="2" t="n"/>
      <c r="F165" s="2" t="n"/>
    </row>
    <row r="166" ht="15.75" customHeight="1" s="82">
      <c r="A166" s="2" t="n"/>
      <c r="F166" s="2" t="n"/>
    </row>
    <row r="167" ht="15.75" customHeight="1" s="82">
      <c r="A167" s="2" t="n"/>
      <c r="F167" s="2" t="n"/>
    </row>
    <row r="168" ht="15.75" customHeight="1" s="82">
      <c r="A168" s="2" t="n"/>
      <c r="F168" s="2" t="n"/>
    </row>
    <row r="169" ht="15.75" customHeight="1" s="82">
      <c r="A169" s="2" t="n"/>
      <c r="F169" s="2" t="n"/>
    </row>
    <row r="170" ht="15.75" customHeight="1" s="82">
      <c r="A170" s="2" t="n"/>
      <c r="F170" s="2" t="n"/>
    </row>
    <row r="171" ht="15.75" customHeight="1" s="82">
      <c r="A171" s="2" t="n"/>
      <c r="F171" s="2" t="n"/>
    </row>
    <row r="172" ht="15.75" customHeight="1" s="82">
      <c r="A172" s="2" t="n"/>
      <c r="F172" s="2" t="n"/>
    </row>
    <row r="173" ht="15.75" customHeight="1" s="82">
      <c r="A173" s="2" t="n"/>
      <c r="F173" s="2" t="n"/>
    </row>
    <row r="174" ht="15.75" customHeight="1" s="82">
      <c r="A174" s="2" t="n"/>
      <c r="F174" s="2" t="n"/>
    </row>
    <row r="175" ht="15.75" customHeight="1" s="82">
      <c r="A175" s="2" t="n"/>
      <c r="F175" s="2" t="n"/>
    </row>
    <row r="176" ht="15.75" customHeight="1" s="82">
      <c r="A176" s="2" t="n"/>
      <c r="F176" s="2" t="n"/>
    </row>
    <row r="177" ht="15.75" customHeight="1" s="82">
      <c r="A177" s="2" t="n"/>
      <c r="F177" s="2" t="n"/>
    </row>
    <row r="178" ht="15.75" customHeight="1" s="82">
      <c r="A178" s="2" t="n"/>
      <c r="F178" s="2" t="n"/>
    </row>
    <row r="179" ht="15.75" customHeight="1" s="82">
      <c r="A179" s="2" t="n"/>
      <c r="F179" s="2" t="n"/>
    </row>
    <row r="180" ht="15.75" customHeight="1" s="82">
      <c r="A180" s="2" t="n"/>
      <c r="F180" s="2" t="n"/>
    </row>
    <row r="181" ht="15.75" customHeight="1" s="82">
      <c r="A181" s="2" t="n"/>
      <c r="F181" s="2" t="n"/>
    </row>
    <row r="182" ht="15.75" customHeight="1" s="82">
      <c r="A182" s="2" t="n"/>
      <c r="F182" s="2" t="n"/>
    </row>
    <row r="183" ht="15.75" customHeight="1" s="82">
      <c r="A183" s="2" t="n"/>
      <c r="F183" s="2" t="n"/>
    </row>
    <row r="184" ht="15.75" customHeight="1" s="82">
      <c r="A184" s="2" t="n"/>
      <c r="F184" s="2" t="n"/>
    </row>
    <row r="185" ht="15.75" customHeight="1" s="82">
      <c r="A185" s="2" t="n"/>
      <c r="F185" s="2" t="n"/>
    </row>
    <row r="186" ht="15.75" customHeight="1" s="82">
      <c r="A186" s="2" t="n"/>
      <c r="F186" s="2" t="n"/>
    </row>
    <row r="187" ht="15.75" customHeight="1" s="82">
      <c r="A187" s="2" t="n"/>
      <c r="F187" s="2" t="n"/>
    </row>
    <row r="188" ht="15.75" customHeight="1" s="82">
      <c r="A188" s="2" t="n"/>
      <c r="F188" s="2" t="n"/>
    </row>
    <row r="189" ht="15.75" customHeight="1" s="82">
      <c r="A189" s="2" t="n"/>
      <c r="F189" s="2" t="n"/>
    </row>
    <row r="190" ht="15.75" customHeight="1" s="82">
      <c r="A190" s="2" t="n"/>
      <c r="F190" s="2" t="n"/>
    </row>
    <row r="191" ht="15.75" customHeight="1" s="82">
      <c r="A191" s="2" t="n"/>
      <c r="F191" s="2" t="n"/>
    </row>
    <row r="192" ht="15.75" customHeight="1" s="82">
      <c r="A192" s="2" t="n"/>
      <c r="F192" s="2" t="n"/>
    </row>
    <row r="193" ht="15.75" customHeight="1" s="82">
      <c r="A193" s="2" t="n"/>
      <c r="F193" s="2" t="n"/>
    </row>
    <row r="194" ht="15.75" customHeight="1" s="82">
      <c r="A194" s="2" t="n"/>
      <c r="F194" s="2" t="n"/>
    </row>
    <row r="195" ht="15.75" customHeight="1" s="82">
      <c r="A195" s="2" t="n"/>
      <c r="F195" s="2" t="n"/>
    </row>
    <row r="196" ht="15.75" customHeight="1" s="82">
      <c r="A196" s="2" t="n"/>
      <c r="F196" s="2" t="n"/>
    </row>
    <row r="197" ht="15.75" customHeight="1" s="82">
      <c r="A197" s="2" t="n"/>
      <c r="F197" s="2" t="n"/>
    </row>
    <row r="198" ht="15.75" customHeight="1" s="82">
      <c r="A198" s="2" t="n"/>
      <c r="F198" s="2" t="n"/>
    </row>
    <row r="199" ht="15.75" customHeight="1" s="82">
      <c r="A199" s="2" t="n"/>
      <c r="F199" s="2" t="n"/>
    </row>
    <row r="200" ht="15.75" customHeight="1" s="82">
      <c r="A200" s="2" t="n"/>
      <c r="F200" s="2" t="n"/>
    </row>
    <row r="201" ht="15.75" customHeight="1" s="82">
      <c r="A201" s="2" t="n"/>
      <c r="F201" s="2" t="n"/>
    </row>
    <row r="202" ht="15.75" customHeight="1" s="82">
      <c r="A202" s="2" t="n"/>
      <c r="F202" s="2" t="n"/>
    </row>
    <row r="203" ht="15.75" customHeight="1" s="82">
      <c r="A203" s="2" t="n"/>
      <c r="F203" s="2" t="n"/>
    </row>
    <row r="204" ht="15.75" customHeight="1" s="82">
      <c r="A204" s="2" t="n"/>
      <c r="F204" s="2" t="n"/>
    </row>
    <row r="205" ht="15.75" customHeight="1" s="82">
      <c r="A205" s="2" t="n"/>
      <c r="F205" s="2" t="n"/>
    </row>
    <row r="206" ht="15.75" customHeight="1" s="82">
      <c r="A206" s="2" t="n"/>
      <c r="F206" s="2" t="n"/>
    </row>
    <row r="207" ht="15.75" customHeight="1" s="82">
      <c r="A207" s="2" t="n"/>
      <c r="F207" s="2" t="n"/>
    </row>
    <row r="208" ht="15.75" customHeight="1" s="82">
      <c r="A208" s="2" t="n"/>
      <c r="F208" s="2" t="n"/>
    </row>
    <row r="209" ht="15.75" customHeight="1" s="82">
      <c r="A209" s="2" t="n"/>
      <c r="F209" s="2" t="n"/>
    </row>
    <row r="210" ht="15.75" customHeight="1" s="82">
      <c r="A210" s="2" t="n"/>
      <c r="F210" s="2" t="n"/>
    </row>
    <row r="211" ht="15.75" customHeight="1" s="82">
      <c r="A211" s="2" t="n"/>
      <c r="F211" s="2" t="n"/>
    </row>
    <row r="212" ht="15.75" customHeight="1" s="82">
      <c r="A212" s="2" t="n"/>
      <c r="F212" s="2" t="n"/>
    </row>
    <row r="213" ht="15.75" customHeight="1" s="82">
      <c r="A213" s="2" t="n"/>
      <c r="F213" s="2" t="n"/>
    </row>
    <row r="214" ht="15.75" customHeight="1" s="82">
      <c r="A214" s="2" t="n"/>
      <c r="F214" s="2" t="n"/>
    </row>
    <row r="215" ht="15.75" customHeight="1" s="82">
      <c r="A215" s="2" t="n"/>
      <c r="F215" s="2" t="n"/>
    </row>
    <row r="216" ht="15.75" customHeight="1" s="82">
      <c r="A216" s="2" t="n"/>
      <c r="F216" s="2" t="n"/>
    </row>
    <row r="217" ht="15.75" customHeight="1" s="82">
      <c r="A217" s="2" t="n"/>
      <c r="F217" s="2" t="n"/>
    </row>
    <row r="218" ht="15.75" customHeight="1" s="82">
      <c r="A218" s="2" t="n"/>
      <c r="F218" s="2" t="n"/>
    </row>
    <row r="219" ht="15.75" customHeight="1" s="82">
      <c r="A219" s="2" t="n"/>
      <c r="F219" s="2" t="n"/>
    </row>
    <row r="220" ht="15.75" customHeight="1" s="82">
      <c r="A220" s="2" t="n"/>
      <c r="F220" s="2" t="n"/>
    </row>
    <row r="221" ht="15.75" customHeight="1" s="82">
      <c r="A221" s="2" t="n"/>
      <c r="F221" s="2" t="n"/>
    </row>
    <row r="222" ht="15.75" customHeight="1" s="82">
      <c r="A222" s="2" t="n"/>
      <c r="F222" s="2" t="n"/>
    </row>
    <row r="223" ht="15.75" customHeight="1" s="82">
      <c r="A223" s="2" t="n"/>
      <c r="F223" s="2" t="n"/>
    </row>
    <row r="224" ht="15.75" customHeight="1" s="82">
      <c r="A224" s="2" t="n"/>
      <c r="F224" s="2" t="n"/>
    </row>
    <row r="225" ht="15.75" customHeight="1" s="82">
      <c r="A225" s="2" t="n"/>
      <c r="F225" s="2" t="n"/>
    </row>
    <row r="226" ht="15.75" customHeight="1" s="82">
      <c r="A226" s="2" t="n"/>
      <c r="F226" s="2" t="n"/>
    </row>
    <row r="227" ht="15.75" customHeight="1" s="82">
      <c r="A227" s="2" t="n"/>
      <c r="F227" s="2" t="n"/>
    </row>
    <row r="228" ht="15.75" customHeight="1" s="82">
      <c r="A228" s="2" t="n"/>
      <c r="F228" s="2" t="n"/>
    </row>
    <row r="229" ht="15.75" customHeight="1" s="82">
      <c r="A229" s="2" t="n"/>
      <c r="F229" s="2" t="n"/>
    </row>
    <row r="230" ht="15.75" customHeight="1" s="82">
      <c r="A230" s="2" t="n"/>
      <c r="F230" s="2" t="n"/>
    </row>
    <row r="231" ht="15.75" customHeight="1" s="82">
      <c r="A231" s="2" t="n"/>
      <c r="F231" s="2" t="n"/>
    </row>
    <row r="232" ht="15.75" customHeight="1" s="82">
      <c r="A232" s="2" t="n"/>
      <c r="F232" s="2" t="n"/>
    </row>
    <row r="233" ht="15.75" customHeight="1" s="82">
      <c r="A233" s="2" t="n"/>
      <c r="F233" s="2" t="n"/>
    </row>
    <row r="234" ht="15.75" customHeight="1" s="82">
      <c r="A234" s="2" t="n"/>
      <c r="F234" s="2" t="n"/>
    </row>
    <row r="235" ht="15.75" customHeight="1" s="82">
      <c r="A235" s="2" t="n"/>
      <c r="F235" s="2" t="n"/>
    </row>
    <row r="236" ht="15.75" customHeight="1" s="82">
      <c r="A236" s="2" t="n"/>
      <c r="F236" s="2" t="n"/>
    </row>
    <row r="237" ht="15.75" customHeight="1" s="82">
      <c r="A237" s="2" t="n"/>
      <c r="F237" s="2" t="n"/>
    </row>
    <row r="238" ht="15.75" customHeight="1" s="82">
      <c r="A238" s="2" t="n"/>
      <c r="F238" s="2" t="n"/>
    </row>
    <row r="239" ht="15.75" customHeight="1" s="82">
      <c r="A239" s="2" t="n"/>
      <c r="F239" s="2" t="n"/>
    </row>
    <row r="240" ht="15.75" customHeight="1" s="82">
      <c r="A240" s="2" t="n"/>
      <c r="F240" s="2" t="n"/>
    </row>
    <row r="241" ht="15.75" customHeight="1" s="82">
      <c r="A241" s="2" t="n"/>
      <c r="F241" s="2" t="n"/>
    </row>
    <row r="242" ht="15.75" customHeight="1" s="82">
      <c r="A242" s="2" t="n"/>
      <c r="F242" s="2" t="n"/>
    </row>
    <row r="243" ht="15.75" customHeight="1" s="82">
      <c r="A243" s="2" t="n"/>
      <c r="F243" s="2" t="n"/>
    </row>
    <row r="244" ht="15.75" customHeight="1" s="82">
      <c r="A244" s="2" t="n"/>
      <c r="F244" s="2" t="n"/>
    </row>
    <row r="245" ht="15.75" customHeight="1" s="82">
      <c r="A245" s="2" t="n"/>
      <c r="F245" s="2" t="n"/>
    </row>
    <row r="246" ht="15.75" customHeight="1" s="82">
      <c r="A246" s="2" t="n"/>
      <c r="F246" s="2" t="n"/>
    </row>
    <row r="247" ht="15.75" customHeight="1" s="82">
      <c r="A247" s="2" t="n"/>
      <c r="F247" s="2" t="n"/>
    </row>
    <row r="248" ht="15.75" customHeight="1" s="82">
      <c r="A248" s="2" t="n"/>
      <c r="F248" s="2" t="n"/>
    </row>
    <row r="249" ht="15.75" customHeight="1" s="82">
      <c r="A249" s="2" t="n"/>
      <c r="F249" s="2" t="n"/>
    </row>
    <row r="250" ht="15.75" customHeight="1" s="82">
      <c r="A250" s="2" t="n"/>
      <c r="F250" s="2" t="n"/>
    </row>
    <row r="251" ht="15.75" customHeight="1" s="82">
      <c r="A251" s="2" t="n"/>
      <c r="F251" s="2" t="n"/>
    </row>
    <row r="252" ht="15.75" customHeight="1" s="82">
      <c r="A252" s="2" t="n"/>
      <c r="F252" s="2" t="n"/>
    </row>
    <row r="253" ht="15.75" customHeight="1" s="82">
      <c r="A253" s="2" t="n"/>
      <c r="F253" s="2" t="n"/>
    </row>
    <row r="254" ht="15.75" customHeight="1" s="82">
      <c r="A254" s="2" t="n"/>
      <c r="F254" s="2" t="n"/>
    </row>
    <row r="255" ht="15.75" customHeight="1" s="82">
      <c r="A255" s="2" t="n"/>
      <c r="F255" s="2" t="n"/>
    </row>
    <row r="256" ht="15.75" customHeight="1" s="82">
      <c r="A256" s="2" t="n"/>
      <c r="F256" s="2" t="n"/>
    </row>
    <row r="257" ht="15.75" customHeight="1" s="82">
      <c r="A257" s="2" t="n"/>
      <c r="F257" s="2" t="n"/>
    </row>
    <row r="258" ht="15.75" customHeight="1" s="82">
      <c r="A258" s="2" t="n"/>
      <c r="F258" s="2" t="n"/>
    </row>
    <row r="259" ht="15.75" customHeight="1" s="82">
      <c r="A259" s="2" t="n"/>
      <c r="F259" s="2" t="n"/>
    </row>
    <row r="260" ht="15.75" customHeight="1" s="82">
      <c r="A260" s="2" t="n"/>
      <c r="F260" s="2" t="n"/>
    </row>
    <row r="261" ht="15.75" customHeight="1" s="82">
      <c r="A261" s="2" t="n"/>
      <c r="F261" s="2" t="n"/>
    </row>
    <row r="262" ht="15.75" customHeight="1" s="82">
      <c r="A262" s="2" t="n"/>
      <c r="F262" s="2" t="n"/>
    </row>
    <row r="263" ht="15.75" customHeight="1" s="82">
      <c r="A263" s="2" t="n"/>
      <c r="F263" s="2" t="n"/>
    </row>
    <row r="264" ht="15.75" customHeight="1" s="82">
      <c r="A264" s="2" t="n"/>
      <c r="F264" s="2" t="n"/>
    </row>
    <row r="265" ht="15.75" customHeight="1" s="82">
      <c r="A265" s="2" t="n"/>
      <c r="F265" s="2" t="n"/>
    </row>
    <row r="266" ht="15.75" customHeight="1" s="82">
      <c r="A266" s="2" t="n"/>
      <c r="F266" s="2" t="n"/>
    </row>
    <row r="267" ht="15.75" customHeight="1" s="82">
      <c r="A267" s="2" t="n"/>
      <c r="F267" s="2" t="n"/>
    </row>
    <row r="268" ht="15.75" customHeight="1" s="82">
      <c r="A268" s="2" t="n"/>
      <c r="F268" s="2" t="n"/>
    </row>
    <row r="269" ht="15.75" customHeight="1" s="82">
      <c r="A269" s="2" t="n"/>
      <c r="F269" s="2" t="n"/>
    </row>
    <row r="270" ht="15.75" customHeight="1" s="82">
      <c r="A270" s="2" t="n"/>
      <c r="F270" s="2" t="n"/>
    </row>
    <row r="271" ht="15.75" customHeight="1" s="82">
      <c r="A271" s="2" t="n"/>
      <c r="F271" s="2" t="n"/>
    </row>
    <row r="272" ht="15.75" customHeight="1" s="82">
      <c r="A272" s="2" t="n"/>
      <c r="F272" s="2" t="n"/>
    </row>
    <row r="273" ht="15.75" customHeight="1" s="82">
      <c r="A273" s="2" t="n"/>
      <c r="F273" s="2" t="n"/>
    </row>
    <row r="274" ht="15.75" customHeight="1" s="82">
      <c r="A274" s="2" t="n"/>
      <c r="F274" s="2" t="n"/>
    </row>
    <row r="275" ht="15.75" customHeight="1" s="82">
      <c r="A275" s="2" t="n"/>
      <c r="F275" s="2" t="n"/>
    </row>
    <row r="276" ht="15.75" customHeight="1" s="82">
      <c r="A276" s="2" t="n"/>
      <c r="F276" s="2" t="n"/>
    </row>
    <row r="277" ht="15.75" customHeight="1" s="82">
      <c r="A277" s="2" t="n"/>
      <c r="F277" s="2" t="n"/>
    </row>
    <row r="278" ht="15.75" customHeight="1" s="82">
      <c r="A278" s="2" t="n"/>
      <c r="F278" s="2" t="n"/>
    </row>
    <row r="279" ht="15.75" customHeight="1" s="82">
      <c r="A279" s="2" t="n"/>
      <c r="F279" s="2" t="n"/>
    </row>
    <row r="280" ht="15.75" customHeight="1" s="82">
      <c r="A280" s="2" t="n"/>
      <c r="F280" s="2" t="n"/>
    </row>
    <row r="281" ht="15.75" customHeight="1" s="82">
      <c r="A281" s="2" t="n"/>
      <c r="F281" s="2" t="n"/>
    </row>
    <row r="282" ht="15.75" customHeight="1" s="82">
      <c r="A282" s="2" t="n"/>
      <c r="F282" s="2" t="n"/>
    </row>
    <row r="283" ht="15.75" customHeight="1" s="82">
      <c r="A283" s="2" t="n"/>
      <c r="F283" s="2" t="n"/>
    </row>
    <row r="284" ht="15.75" customHeight="1" s="82">
      <c r="A284" s="2" t="n"/>
      <c r="F284" s="2" t="n"/>
    </row>
    <row r="285" ht="15.75" customHeight="1" s="82">
      <c r="A285" s="2" t="n"/>
      <c r="F285" s="2" t="n"/>
    </row>
    <row r="286" ht="15.75" customHeight="1" s="82">
      <c r="A286" s="2" t="n"/>
      <c r="F286" s="2" t="n"/>
    </row>
    <row r="287" ht="15.75" customHeight="1" s="82">
      <c r="A287" s="2" t="n"/>
      <c r="F287" s="2" t="n"/>
    </row>
    <row r="288" ht="15.75" customHeight="1" s="82">
      <c r="A288" s="2" t="n"/>
      <c r="F288" s="2" t="n"/>
    </row>
    <row r="289" ht="15.75" customHeight="1" s="82">
      <c r="A289" s="2" t="n"/>
      <c r="F289" s="2" t="n"/>
    </row>
    <row r="290" ht="15.75" customHeight="1" s="82">
      <c r="A290" s="2" t="n"/>
      <c r="F290" s="2" t="n"/>
    </row>
    <row r="291" ht="15.75" customHeight="1" s="82">
      <c r="A291" s="2" t="n"/>
      <c r="F291" s="2" t="n"/>
    </row>
    <row r="292" ht="15.75" customHeight="1" s="82">
      <c r="A292" s="2" t="n"/>
      <c r="F292" s="2" t="n"/>
    </row>
    <row r="293" ht="15.75" customHeight="1" s="82">
      <c r="A293" s="2" t="n"/>
      <c r="F293" s="2" t="n"/>
    </row>
    <row r="294" ht="15.75" customHeight="1" s="82">
      <c r="A294" s="2" t="n"/>
      <c r="F294" s="2" t="n"/>
    </row>
    <row r="295" ht="15.75" customHeight="1" s="82">
      <c r="A295" s="2" t="n"/>
      <c r="F295" s="2" t="n"/>
    </row>
    <row r="296" ht="15.75" customHeight="1" s="82">
      <c r="A296" s="2" t="n"/>
      <c r="F296" s="2" t="n"/>
    </row>
    <row r="297" ht="15.75" customHeight="1" s="82">
      <c r="A297" s="2" t="n"/>
      <c r="F297" s="2" t="n"/>
    </row>
    <row r="298" ht="15.75" customHeight="1" s="82">
      <c r="A298" s="2" t="n"/>
      <c r="F298" s="2" t="n"/>
    </row>
    <row r="299" ht="15.75" customHeight="1" s="82">
      <c r="A299" s="2" t="n"/>
      <c r="F299" s="2" t="n"/>
    </row>
    <row r="300" ht="15.75" customHeight="1" s="82">
      <c r="A300" s="2" t="n"/>
      <c r="F300" s="2" t="n"/>
    </row>
    <row r="301" ht="15.75" customHeight="1" s="82">
      <c r="A301" s="2" t="n"/>
      <c r="F301" s="2" t="n"/>
    </row>
    <row r="302" ht="15.75" customHeight="1" s="82">
      <c r="A302" s="2" t="n"/>
      <c r="F302" s="2" t="n"/>
    </row>
    <row r="303" ht="15.75" customHeight="1" s="82">
      <c r="A303" s="2" t="n"/>
      <c r="F303" s="2" t="n"/>
    </row>
    <row r="304" ht="15.75" customHeight="1" s="82">
      <c r="A304" s="2" t="n"/>
      <c r="F304" s="2" t="n"/>
    </row>
    <row r="305" ht="15.75" customHeight="1" s="82">
      <c r="A305" s="2" t="n"/>
      <c r="F305" s="2" t="n"/>
    </row>
    <row r="306" ht="15.75" customHeight="1" s="82">
      <c r="A306" s="2" t="n"/>
      <c r="F306" s="2" t="n"/>
    </row>
    <row r="307" ht="15.75" customHeight="1" s="82">
      <c r="A307" s="2" t="n"/>
      <c r="F307" s="2" t="n"/>
    </row>
    <row r="308" ht="15.75" customHeight="1" s="82">
      <c r="A308" s="2" t="n"/>
      <c r="F308" s="2" t="n"/>
    </row>
    <row r="309" ht="15.75" customHeight="1" s="82">
      <c r="A309" s="2" t="n"/>
      <c r="F309" s="2" t="n"/>
    </row>
    <row r="310" ht="15.75" customHeight="1" s="82">
      <c r="A310" s="2" t="n"/>
      <c r="F310" s="2" t="n"/>
    </row>
    <row r="311" ht="15.75" customHeight="1" s="82">
      <c r="A311" s="2" t="n"/>
      <c r="F311" s="2" t="n"/>
    </row>
    <row r="312" ht="15.75" customHeight="1" s="82">
      <c r="A312" s="2" t="n"/>
      <c r="F312" s="2" t="n"/>
    </row>
    <row r="313" ht="15.75" customHeight="1" s="82">
      <c r="A313" s="2" t="n"/>
      <c r="F313" s="2" t="n"/>
    </row>
    <row r="314" ht="15.75" customHeight="1" s="82">
      <c r="A314" s="2" t="n"/>
      <c r="F314" s="2" t="n"/>
    </row>
    <row r="315" ht="15.75" customHeight="1" s="82">
      <c r="A315" s="2" t="n"/>
      <c r="F315" s="2" t="n"/>
    </row>
    <row r="316" ht="15.75" customHeight="1" s="82">
      <c r="A316" s="2" t="n"/>
      <c r="F316" s="2" t="n"/>
    </row>
    <row r="317" ht="15.75" customHeight="1" s="82">
      <c r="A317" s="2" t="n"/>
      <c r="F317" s="2" t="n"/>
    </row>
    <row r="318" ht="15.75" customHeight="1" s="82">
      <c r="A318" s="2" t="n"/>
      <c r="F318" s="2" t="n"/>
    </row>
    <row r="319" ht="15.75" customHeight="1" s="82">
      <c r="A319" s="2" t="n"/>
      <c r="F319" s="2" t="n"/>
    </row>
    <row r="320" ht="15.75" customHeight="1" s="82">
      <c r="A320" s="2" t="n"/>
      <c r="F320" s="2" t="n"/>
    </row>
    <row r="321" ht="15.75" customHeight="1" s="82">
      <c r="A321" s="2" t="n"/>
      <c r="F321" s="2" t="n"/>
    </row>
    <row r="322" ht="15.75" customHeight="1" s="82">
      <c r="A322" s="2" t="n"/>
      <c r="F322" s="2" t="n"/>
    </row>
    <row r="323" ht="15.75" customHeight="1" s="82">
      <c r="A323" s="2" t="n"/>
      <c r="F323" s="2" t="n"/>
    </row>
    <row r="324" ht="15.75" customHeight="1" s="82">
      <c r="A324" s="2" t="n"/>
      <c r="F324" s="2" t="n"/>
    </row>
    <row r="325" ht="15.75" customHeight="1" s="82">
      <c r="A325" s="2" t="n"/>
      <c r="F325" s="2" t="n"/>
    </row>
    <row r="326" ht="15.75" customHeight="1" s="82">
      <c r="A326" s="2" t="n"/>
      <c r="F326" s="2" t="n"/>
    </row>
    <row r="327" ht="15.75" customHeight="1" s="82">
      <c r="A327" s="2" t="n"/>
      <c r="F327" s="2" t="n"/>
    </row>
    <row r="328" ht="15.75" customHeight="1" s="82">
      <c r="A328" s="2" t="n"/>
      <c r="F328" s="2" t="n"/>
    </row>
    <row r="329" ht="15.75" customHeight="1" s="82">
      <c r="A329" s="2" t="n"/>
      <c r="F329" s="2" t="n"/>
    </row>
    <row r="330" ht="15.75" customHeight="1" s="82">
      <c r="A330" s="2" t="n"/>
      <c r="F330" s="2" t="n"/>
    </row>
    <row r="331" ht="15.75" customHeight="1" s="82">
      <c r="A331" s="2" t="n"/>
      <c r="F331" s="2" t="n"/>
    </row>
    <row r="332" ht="15.75" customHeight="1" s="82">
      <c r="A332" s="2" t="n"/>
      <c r="F332" s="2" t="n"/>
    </row>
    <row r="333" ht="15.75" customHeight="1" s="82">
      <c r="A333" s="2" t="n"/>
      <c r="F333" s="2" t="n"/>
    </row>
    <row r="334" ht="15.75" customHeight="1" s="82">
      <c r="A334" s="2" t="n"/>
      <c r="F334" s="2" t="n"/>
    </row>
    <row r="335" ht="15.75" customHeight="1" s="82">
      <c r="A335" s="2" t="n"/>
      <c r="F335" s="2" t="n"/>
    </row>
    <row r="336" ht="15.75" customHeight="1" s="82">
      <c r="A336" s="2" t="n"/>
      <c r="F336" s="2" t="n"/>
    </row>
    <row r="337" ht="15.75" customHeight="1" s="82">
      <c r="A337" s="2" t="n"/>
      <c r="F337" s="2" t="n"/>
    </row>
    <row r="338" ht="15.75" customHeight="1" s="82">
      <c r="A338" s="2" t="n"/>
      <c r="F338" s="2" t="n"/>
    </row>
    <row r="339" ht="15.75" customHeight="1" s="82">
      <c r="A339" s="2" t="n"/>
      <c r="F339" s="2" t="n"/>
    </row>
    <row r="340" ht="15.75" customHeight="1" s="82">
      <c r="A340" s="2" t="n"/>
      <c r="F340" s="2" t="n"/>
    </row>
    <row r="341" ht="15.75" customHeight="1" s="82">
      <c r="A341" s="2" t="n"/>
      <c r="F341" s="2" t="n"/>
    </row>
    <row r="342" ht="15.75" customHeight="1" s="82">
      <c r="A342" s="2" t="n"/>
      <c r="F342" s="2" t="n"/>
    </row>
    <row r="343" ht="15.75" customHeight="1" s="82">
      <c r="A343" s="2" t="n"/>
      <c r="F343" s="2" t="n"/>
    </row>
    <row r="344" ht="15.75" customHeight="1" s="82">
      <c r="A344" s="2" t="n"/>
      <c r="F344" s="2" t="n"/>
    </row>
    <row r="345" ht="15.75" customHeight="1" s="82">
      <c r="A345" s="2" t="n"/>
      <c r="F345" s="2" t="n"/>
    </row>
    <row r="346" ht="15.75" customHeight="1" s="82">
      <c r="A346" s="2" t="n"/>
      <c r="F346" s="2" t="n"/>
    </row>
    <row r="347" ht="15.75" customHeight="1" s="82">
      <c r="A347" s="2" t="n"/>
      <c r="F347" s="2" t="n"/>
    </row>
    <row r="348" ht="15.75" customHeight="1" s="82">
      <c r="A348" s="2" t="n"/>
      <c r="F348" s="2" t="n"/>
    </row>
    <row r="349" ht="15.75" customHeight="1" s="82">
      <c r="A349" s="2" t="n"/>
      <c r="F349" s="2" t="n"/>
    </row>
    <row r="350" ht="15.75" customHeight="1" s="82">
      <c r="A350" s="2" t="n"/>
      <c r="F350" s="2" t="n"/>
    </row>
    <row r="351" ht="15.75" customHeight="1" s="82">
      <c r="A351" s="2" t="n"/>
      <c r="F351" s="2" t="n"/>
    </row>
    <row r="352" ht="15.75" customHeight="1" s="82">
      <c r="A352" s="2" t="n"/>
      <c r="F352" s="2" t="n"/>
    </row>
    <row r="353" ht="15.75" customHeight="1" s="82">
      <c r="A353" s="2" t="n"/>
      <c r="F353" s="2" t="n"/>
    </row>
    <row r="354" ht="15.75" customHeight="1" s="82">
      <c r="A354" s="2" t="n"/>
      <c r="F354" s="2" t="n"/>
    </row>
    <row r="355" ht="15.75" customHeight="1" s="82">
      <c r="A355" s="2" t="n"/>
      <c r="F355" s="2" t="n"/>
    </row>
    <row r="356" ht="15.75" customHeight="1" s="82">
      <c r="A356" s="2" t="n"/>
      <c r="F356" s="2" t="n"/>
    </row>
    <row r="357" ht="15.75" customHeight="1" s="82">
      <c r="A357" s="2" t="n"/>
      <c r="F357" s="2" t="n"/>
    </row>
    <row r="358" ht="15.75" customHeight="1" s="82">
      <c r="A358" s="2" t="n"/>
      <c r="F358" s="2" t="n"/>
    </row>
    <row r="359" ht="15.75" customHeight="1" s="82">
      <c r="A359" s="2" t="n"/>
      <c r="F359" s="2" t="n"/>
    </row>
    <row r="360" ht="15.75" customHeight="1" s="82">
      <c r="A360" s="2" t="n"/>
      <c r="F360" s="2" t="n"/>
    </row>
    <row r="361" ht="15.75" customHeight="1" s="82">
      <c r="A361" s="2" t="n"/>
      <c r="F361" s="2" t="n"/>
    </row>
    <row r="362" ht="15.75" customHeight="1" s="82">
      <c r="A362" s="2" t="n"/>
      <c r="F362" s="2" t="n"/>
    </row>
    <row r="363" ht="15.75" customHeight="1" s="82">
      <c r="A363" s="2" t="n"/>
      <c r="F363" s="2" t="n"/>
    </row>
    <row r="364" ht="15.75" customHeight="1" s="82">
      <c r="A364" s="2" t="n"/>
      <c r="F364" s="2" t="n"/>
    </row>
    <row r="365" ht="15.75" customHeight="1" s="82">
      <c r="A365" s="2" t="n"/>
      <c r="F365" s="2" t="n"/>
    </row>
    <row r="366" ht="15.75" customHeight="1" s="82">
      <c r="A366" s="2" t="n"/>
      <c r="F366" s="2" t="n"/>
    </row>
    <row r="367" ht="15.75" customHeight="1" s="82">
      <c r="A367" s="2" t="n"/>
      <c r="F367" s="2" t="n"/>
    </row>
    <row r="368" ht="15.75" customHeight="1" s="82">
      <c r="A368" s="2" t="n"/>
      <c r="F368" s="2" t="n"/>
    </row>
    <row r="369" ht="15.75" customHeight="1" s="82">
      <c r="A369" s="2" t="n"/>
      <c r="F369" s="2" t="n"/>
    </row>
    <row r="370" ht="15.75" customHeight="1" s="82">
      <c r="A370" s="2" t="n"/>
      <c r="F370" s="2" t="n"/>
    </row>
    <row r="371" ht="15.75" customHeight="1" s="82">
      <c r="A371" s="2" t="n"/>
      <c r="F371" s="2" t="n"/>
    </row>
    <row r="372" ht="15.75" customHeight="1" s="82">
      <c r="A372" s="2" t="n"/>
      <c r="F372" s="2" t="n"/>
    </row>
    <row r="373" ht="15.75" customHeight="1" s="82">
      <c r="A373" s="2" t="n"/>
      <c r="F373" s="2" t="n"/>
    </row>
    <row r="374" ht="15.75" customHeight="1" s="82">
      <c r="A374" s="2" t="n"/>
      <c r="F374" s="2" t="n"/>
    </row>
    <row r="375" ht="15.75" customHeight="1" s="82">
      <c r="A375" s="2" t="n"/>
      <c r="F375" s="2" t="n"/>
    </row>
    <row r="376" ht="15.75" customHeight="1" s="82">
      <c r="A376" s="2" t="n"/>
      <c r="F376" s="2" t="n"/>
    </row>
    <row r="377" ht="15.75" customHeight="1" s="82">
      <c r="A377" s="2" t="n"/>
      <c r="F377" s="2" t="n"/>
    </row>
    <row r="378" ht="15.75" customHeight="1" s="82">
      <c r="A378" s="2" t="n"/>
      <c r="F378" s="2" t="n"/>
    </row>
    <row r="379" ht="15.75" customHeight="1" s="82">
      <c r="A379" s="2" t="n"/>
      <c r="F379" s="2" t="n"/>
    </row>
    <row r="380" ht="15.75" customHeight="1" s="82">
      <c r="A380" s="2" t="n"/>
      <c r="F380" s="2" t="n"/>
    </row>
    <row r="381" ht="15.75" customHeight="1" s="82">
      <c r="A381" s="2" t="n"/>
      <c r="F381" s="2" t="n"/>
    </row>
    <row r="382" ht="15.75" customHeight="1" s="82">
      <c r="A382" s="2" t="n"/>
      <c r="F382" s="2" t="n"/>
    </row>
    <row r="383" ht="15.75" customHeight="1" s="82">
      <c r="A383" s="2" t="n"/>
      <c r="F383" s="2" t="n"/>
    </row>
    <row r="384" ht="15.75" customHeight="1" s="82">
      <c r="A384" s="2" t="n"/>
      <c r="F384" s="2" t="n"/>
    </row>
    <row r="385" ht="15.75" customHeight="1" s="82">
      <c r="A385" s="2" t="n"/>
      <c r="F385" s="2" t="n"/>
    </row>
    <row r="386" ht="15.75" customHeight="1" s="82">
      <c r="A386" s="2" t="n"/>
      <c r="F386" s="2" t="n"/>
    </row>
    <row r="387" ht="15.75" customHeight="1" s="82">
      <c r="A387" s="2" t="n"/>
      <c r="F387" s="2" t="n"/>
    </row>
    <row r="388" ht="15.75" customHeight="1" s="82">
      <c r="A388" s="2" t="n"/>
      <c r="F388" s="2" t="n"/>
    </row>
    <row r="389" ht="15.75" customHeight="1" s="82">
      <c r="A389" s="2" t="n"/>
      <c r="F389" s="2" t="n"/>
    </row>
    <row r="390" ht="15.75" customHeight="1" s="82">
      <c r="A390" s="2" t="n"/>
      <c r="F390" s="2" t="n"/>
    </row>
    <row r="391" ht="15.75" customHeight="1" s="82">
      <c r="A391" s="2" t="n"/>
      <c r="F391" s="2" t="n"/>
    </row>
    <row r="392" ht="15.75" customHeight="1" s="82">
      <c r="A392" s="2" t="n"/>
      <c r="F392" s="2" t="n"/>
    </row>
    <row r="393" ht="15.75" customHeight="1" s="82">
      <c r="A393" s="2" t="n"/>
      <c r="F393" s="2" t="n"/>
    </row>
    <row r="394" ht="15.75" customHeight="1" s="82">
      <c r="A394" s="2" t="n"/>
      <c r="F394" s="2" t="n"/>
    </row>
    <row r="395" ht="15.75" customHeight="1" s="82">
      <c r="A395" s="2" t="n"/>
      <c r="F395" s="2" t="n"/>
    </row>
    <row r="396" ht="15.75" customHeight="1" s="82">
      <c r="A396" s="2" t="n"/>
      <c r="F396" s="2" t="n"/>
    </row>
    <row r="397" ht="15.75" customHeight="1" s="82">
      <c r="A397" s="2" t="n"/>
      <c r="F397" s="2" t="n"/>
    </row>
    <row r="398" ht="15.75" customHeight="1" s="82">
      <c r="A398" s="2" t="n"/>
      <c r="F398" s="2" t="n"/>
    </row>
    <row r="399" ht="15.75" customHeight="1" s="82">
      <c r="A399" s="2" t="n"/>
      <c r="F399" s="2" t="n"/>
    </row>
    <row r="400" ht="15.75" customHeight="1" s="82">
      <c r="A400" s="2" t="n"/>
      <c r="F400" s="2" t="n"/>
    </row>
    <row r="401" ht="15.75" customHeight="1" s="82">
      <c r="A401" s="2" t="n"/>
      <c r="F401" s="2" t="n"/>
    </row>
    <row r="402" ht="15.75" customHeight="1" s="82">
      <c r="A402" s="2" t="n"/>
      <c r="F402" s="2" t="n"/>
    </row>
    <row r="403" ht="15.75" customHeight="1" s="82">
      <c r="A403" s="2" t="n"/>
      <c r="F403" s="2" t="n"/>
    </row>
    <row r="404" ht="15.75" customHeight="1" s="82">
      <c r="A404" s="2" t="n"/>
      <c r="F404" s="2" t="n"/>
    </row>
    <row r="405" ht="15.75" customHeight="1" s="82">
      <c r="A405" s="2" t="n"/>
      <c r="F405" s="2" t="n"/>
    </row>
    <row r="406" ht="15.75" customHeight="1" s="82">
      <c r="A406" s="2" t="n"/>
      <c r="F406" s="2" t="n"/>
    </row>
    <row r="407" ht="15.75" customHeight="1" s="82">
      <c r="A407" s="2" t="n"/>
      <c r="F407" s="2" t="n"/>
    </row>
    <row r="408" ht="15.75" customHeight="1" s="82">
      <c r="A408" s="2" t="n"/>
      <c r="F408" s="2" t="n"/>
    </row>
    <row r="409" ht="15.75" customHeight="1" s="82">
      <c r="A409" s="2" t="n"/>
      <c r="F409" s="2" t="n"/>
    </row>
    <row r="410" ht="15.75" customHeight="1" s="82">
      <c r="A410" s="2" t="n"/>
      <c r="F410" s="2" t="n"/>
    </row>
    <row r="411" ht="15.75" customHeight="1" s="82">
      <c r="A411" s="2" t="n"/>
      <c r="F411" s="2" t="n"/>
    </row>
    <row r="412" ht="15.75" customHeight="1" s="82">
      <c r="A412" s="2" t="n"/>
      <c r="F412" s="2" t="n"/>
    </row>
    <row r="413" ht="15.75" customHeight="1" s="82">
      <c r="A413" s="2" t="n"/>
      <c r="F413" s="2" t="n"/>
    </row>
    <row r="414" ht="15.75" customHeight="1" s="82">
      <c r="A414" s="2" t="n"/>
      <c r="F414" s="2" t="n"/>
    </row>
    <row r="415" ht="15.75" customHeight="1" s="82">
      <c r="A415" s="2" t="n"/>
      <c r="F415" s="2" t="n"/>
    </row>
    <row r="416" ht="15.75" customHeight="1" s="82">
      <c r="A416" s="2" t="n"/>
      <c r="F416" s="2" t="n"/>
    </row>
    <row r="417" ht="15.75" customHeight="1" s="82">
      <c r="A417" s="2" t="n"/>
      <c r="F417" s="2" t="n"/>
    </row>
    <row r="418" ht="15.75" customHeight="1" s="82">
      <c r="A418" s="2" t="n"/>
      <c r="F418" s="2" t="n"/>
    </row>
    <row r="419" ht="15.75" customHeight="1" s="82">
      <c r="A419" s="2" t="n"/>
      <c r="F419" s="2" t="n"/>
    </row>
    <row r="420" ht="15.75" customHeight="1" s="82">
      <c r="A420" s="2" t="n"/>
      <c r="F420" s="2" t="n"/>
    </row>
    <row r="421" ht="15.75" customHeight="1" s="82">
      <c r="A421" s="2" t="n"/>
      <c r="F421" s="2" t="n"/>
    </row>
    <row r="422" ht="15.75" customHeight="1" s="82">
      <c r="A422" s="2" t="n"/>
      <c r="F422" s="2" t="n"/>
    </row>
    <row r="423" ht="15.75" customHeight="1" s="82">
      <c r="A423" s="2" t="n"/>
      <c r="F423" s="2" t="n"/>
    </row>
    <row r="424" ht="15.75" customHeight="1" s="82">
      <c r="A424" s="2" t="n"/>
      <c r="F424" s="2" t="n"/>
    </row>
    <row r="425" ht="15.75" customHeight="1" s="82">
      <c r="A425" s="2" t="n"/>
      <c r="F425" s="2" t="n"/>
    </row>
    <row r="426" ht="15.75" customHeight="1" s="82">
      <c r="A426" s="2" t="n"/>
      <c r="F426" s="2" t="n"/>
    </row>
    <row r="427" ht="15.75" customHeight="1" s="82">
      <c r="A427" s="2" t="n"/>
      <c r="F427" s="2" t="n"/>
    </row>
    <row r="428" ht="15.75" customHeight="1" s="82">
      <c r="A428" s="2" t="n"/>
      <c r="F428" s="2" t="n"/>
    </row>
    <row r="429" ht="15.75" customHeight="1" s="82">
      <c r="A429" s="2" t="n"/>
      <c r="F429" s="2" t="n"/>
    </row>
    <row r="430" ht="15.75" customHeight="1" s="82">
      <c r="A430" s="2" t="n"/>
      <c r="F430" s="2" t="n"/>
    </row>
    <row r="431" ht="15.75" customHeight="1" s="82">
      <c r="A431" s="2" t="n"/>
      <c r="F431" s="2" t="n"/>
    </row>
    <row r="432" ht="15.75" customHeight="1" s="82">
      <c r="A432" s="2" t="n"/>
      <c r="F432" s="2" t="n"/>
    </row>
    <row r="433" ht="15.75" customHeight="1" s="82">
      <c r="A433" s="2" t="n"/>
      <c r="F433" s="2" t="n"/>
    </row>
    <row r="434" ht="15.75" customHeight="1" s="82">
      <c r="A434" s="2" t="n"/>
      <c r="F434" s="2" t="n"/>
    </row>
    <row r="435" ht="15.75" customHeight="1" s="82">
      <c r="A435" s="2" t="n"/>
      <c r="F435" s="2" t="n"/>
    </row>
    <row r="436" ht="15.75" customHeight="1" s="82">
      <c r="A436" s="2" t="n"/>
      <c r="F436" s="2" t="n"/>
    </row>
    <row r="437" ht="15.75" customHeight="1" s="82">
      <c r="A437" s="2" t="n"/>
      <c r="F437" s="2" t="n"/>
    </row>
    <row r="438" ht="15.75" customHeight="1" s="82">
      <c r="A438" s="2" t="n"/>
      <c r="F438" s="2" t="n"/>
    </row>
    <row r="439" ht="15.75" customHeight="1" s="82">
      <c r="A439" s="2" t="n"/>
      <c r="F439" s="2" t="n"/>
    </row>
    <row r="440" ht="15.75" customHeight="1" s="82">
      <c r="A440" s="2" t="n"/>
      <c r="F440" s="2" t="n"/>
    </row>
    <row r="441" ht="15.75" customHeight="1" s="82">
      <c r="A441" s="2" t="n"/>
      <c r="F441" s="2" t="n"/>
    </row>
    <row r="442" ht="15.75" customHeight="1" s="82">
      <c r="A442" s="2" t="n"/>
      <c r="F442" s="2" t="n"/>
    </row>
    <row r="443" ht="15.75" customHeight="1" s="82">
      <c r="A443" s="2" t="n"/>
      <c r="F443" s="2" t="n"/>
    </row>
    <row r="444" ht="15.75" customHeight="1" s="82">
      <c r="A444" s="2" t="n"/>
      <c r="F444" s="2" t="n"/>
    </row>
    <row r="445" ht="15.75" customHeight="1" s="82">
      <c r="A445" s="2" t="n"/>
      <c r="F445" s="2" t="n"/>
    </row>
    <row r="446" ht="15.75" customHeight="1" s="82">
      <c r="A446" s="2" t="n"/>
      <c r="F446" s="2" t="n"/>
    </row>
    <row r="447" ht="15.75" customHeight="1" s="82">
      <c r="A447" s="2" t="n"/>
      <c r="F447" s="2" t="n"/>
    </row>
    <row r="448" ht="15.75" customHeight="1" s="82">
      <c r="A448" s="2" t="n"/>
      <c r="F448" s="2" t="n"/>
    </row>
    <row r="449" ht="15.75" customHeight="1" s="82">
      <c r="A449" s="2" t="n"/>
      <c r="F449" s="2" t="n"/>
    </row>
    <row r="450" ht="15.75" customHeight="1" s="82">
      <c r="A450" s="2" t="n"/>
      <c r="F450" s="2" t="n"/>
    </row>
    <row r="451" ht="15.75" customHeight="1" s="82">
      <c r="A451" s="2" t="n"/>
      <c r="F451" s="2" t="n"/>
    </row>
    <row r="452" ht="15.75" customHeight="1" s="82">
      <c r="A452" s="2" t="n"/>
      <c r="F452" s="2" t="n"/>
    </row>
    <row r="453" ht="15.75" customHeight="1" s="82">
      <c r="A453" s="2" t="n"/>
      <c r="F453" s="2" t="n"/>
    </row>
    <row r="454" ht="15.75" customHeight="1" s="82">
      <c r="A454" s="2" t="n"/>
      <c r="F454" s="2" t="n"/>
    </row>
    <row r="455" ht="15.75" customHeight="1" s="82">
      <c r="A455" s="2" t="n"/>
      <c r="F455" s="2" t="n"/>
    </row>
    <row r="456" ht="15.75" customHeight="1" s="82">
      <c r="A456" s="2" t="n"/>
      <c r="F456" s="2" t="n"/>
    </row>
    <row r="457" ht="15.75" customHeight="1" s="82">
      <c r="A457" s="2" t="n"/>
      <c r="F457" s="2" t="n"/>
    </row>
    <row r="458" ht="15.75" customHeight="1" s="82">
      <c r="A458" s="2" t="n"/>
      <c r="F458" s="2" t="n"/>
    </row>
    <row r="459" ht="15.75" customHeight="1" s="82">
      <c r="A459" s="2" t="n"/>
      <c r="F459" s="2" t="n"/>
    </row>
    <row r="460" ht="15.75" customHeight="1" s="82">
      <c r="A460" s="2" t="n"/>
      <c r="F460" s="2" t="n"/>
    </row>
    <row r="461" ht="15.75" customHeight="1" s="82">
      <c r="A461" s="2" t="n"/>
      <c r="F461" s="2" t="n"/>
    </row>
    <row r="462" ht="15.75" customHeight="1" s="82">
      <c r="A462" s="2" t="n"/>
      <c r="F462" s="2" t="n"/>
    </row>
    <row r="463" ht="15.75" customHeight="1" s="82">
      <c r="A463" s="2" t="n"/>
      <c r="F463" s="2" t="n"/>
    </row>
    <row r="464" ht="15.75" customHeight="1" s="82">
      <c r="A464" s="2" t="n"/>
      <c r="F464" s="2" t="n"/>
    </row>
    <row r="465" ht="15.75" customHeight="1" s="82">
      <c r="A465" s="2" t="n"/>
      <c r="F465" s="2" t="n"/>
    </row>
    <row r="466" ht="15.75" customHeight="1" s="82">
      <c r="A466" s="2" t="n"/>
      <c r="F466" s="2" t="n"/>
    </row>
    <row r="467" ht="15.75" customHeight="1" s="82">
      <c r="A467" s="2" t="n"/>
      <c r="F467" s="2" t="n"/>
    </row>
    <row r="468" ht="15.75" customHeight="1" s="82">
      <c r="A468" s="2" t="n"/>
      <c r="F468" s="2" t="n"/>
    </row>
    <row r="469" ht="15.75" customHeight="1" s="82">
      <c r="A469" s="2" t="n"/>
      <c r="F469" s="2" t="n"/>
    </row>
    <row r="470" ht="15.75" customHeight="1" s="82">
      <c r="A470" s="2" t="n"/>
      <c r="F470" s="2" t="n"/>
    </row>
    <row r="471" ht="15.75" customHeight="1" s="82">
      <c r="A471" s="2" t="n"/>
      <c r="F471" s="2" t="n"/>
    </row>
    <row r="472" ht="15.75" customHeight="1" s="82">
      <c r="A472" s="2" t="n"/>
      <c r="F472" s="2" t="n"/>
    </row>
    <row r="473" ht="15.75" customHeight="1" s="82">
      <c r="A473" s="2" t="n"/>
      <c r="F473" s="2" t="n"/>
    </row>
    <row r="474" ht="15.75" customHeight="1" s="82">
      <c r="A474" s="2" t="n"/>
      <c r="F474" s="2" t="n"/>
    </row>
    <row r="475" ht="15.75" customHeight="1" s="82">
      <c r="A475" s="2" t="n"/>
      <c r="F475" s="2" t="n"/>
    </row>
    <row r="476" ht="15.75" customHeight="1" s="82">
      <c r="A476" s="2" t="n"/>
      <c r="F476" s="2" t="n"/>
    </row>
    <row r="477" ht="15.75" customHeight="1" s="82">
      <c r="A477" s="2" t="n"/>
      <c r="F477" s="2" t="n"/>
    </row>
    <row r="478" ht="15.75" customHeight="1" s="82">
      <c r="A478" s="2" t="n"/>
      <c r="F478" s="2" t="n"/>
    </row>
    <row r="479" ht="15.75" customHeight="1" s="82">
      <c r="A479" s="2" t="n"/>
      <c r="F479" s="2" t="n"/>
    </row>
    <row r="480" ht="15.75" customHeight="1" s="82">
      <c r="A480" s="2" t="n"/>
      <c r="F480" s="2" t="n"/>
    </row>
    <row r="481" ht="15.75" customHeight="1" s="82">
      <c r="A481" s="2" t="n"/>
      <c r="F481" s="2" t="n"/>
    </row>
    <row r="482" ht="15.75" customHeight="1" s="82">
      <c r="A482" s="2" t="n"/>
      <c r="F482" s="2" t="n"/>
    </row>
    <row r="483" ht="15.75" customHeight="1" s="82">
      <c r="A483" s="2" t="n"/>
      <c r="F483" s="2" t="n"/>
    </row>
    <row r="484" ht="15.75" customHeight="1" s="82">
      <c r="A484" s="2" t="n"/>
      <c r="F484" s="2" t="n"/>
    </row>
    <row r="485" ht="15.75" customHeight="1" s="82">
      <c r="A485" s="2" t="n"/>
      <c r="F485" s="2" t="n"/>
    </row>
    <row r="486" ht="15.75" customHeight="1" s="82">
      <c r="A486" s="2" t="n"/>
      <c r="F486" s="2" t="n"/>
    </row>
    <row r="487" ht="15.75" customHeight="1" s="82">
      <c r="A487" s="2" t="n"/>
      <c r="F487" s="2" t="n"/>
    </row>
    <row r="488" ht="15.75" customHeight="1" s="82">
      <c r="A488" s="2" t="n"/>
      <c r="F488" s="2" t="n"/>
    </row>
    <row r="489" ht="15.75" customHeight="1" s="82">
      <c r="A489" s="2" t="n"/>
      <c r="F489" s="2" t="n"/>
    </row>
    <row r="490" ht="15.75" customHeight="1" s="82">
      <c r="A490" s="2" t="n"/>
      <c r="F490" s="2" t="n"/>
    </row>
    <row r="491" ht="15.75" customHeight="1" s="82">
      <c r="A491" s="2" t="n"/>
      <c r="F491" s="2" t="n"/>
    </row>
    <row r="492" ht="15.75" customHeight="1" s="82">
      <c r="A492" s="2" t="n"/>
      <c r="F492" s="2" t="n"/>
    </row>
    <row r="493" ht="15.75" customHeight="1" s="82">
      <c r="A493" s="2" t="n"/>
      <c r="F493" s="2" t="n"/>
    </row>
    <row r="494" ht="15.75" customHeight="1" s="82">
      <c r="A494" s="2" t="n"/>
      <c r="F494" s="2" t="n"/>
    </row>
    <row r="495" ht="15.75" customHeight="1" s="82">
      <c r="A495" s="2" t="n"/>
      <c r="F495" s="2" t="n"/>
    </row>
    <row r="496" ht="15.75" customHeight="1" s="82">
      <c r="A496" s="2" t="n"/>
      <c r="F496" s="2" t="n"/>
    </row>
    <row r="497" ht="15.75" customHeight="1" s="82">
      <c r="A497" s="2" t="n"/>
      <c r="F497" s="2" t="n"/>
    </row>
    <row r="498" ht="15.75" customHeight="1" s="82">
      <c r="A498" s="2" t="n"/>
      <c r="F498" s="2" t="n"/>
    </row>
    <row r="499" ht="15.75" customHeight="1" s="82">
      <c r="A499" s="2" t="n"/>
      <c r="F499" s="2" t="n"/>
    </row>
    <row r="500" ht="15.75" customHeight="1" s="82">
      <c r="A500" s="2" t="n"/>
      <c r="F500" s="2" t="n"/>
    </row>
    <row r="501" ht="15.75" customHeight="1" s="82">
      <c r="A501" s="2" t="n"/>
      <c r="F501" s="2" t="n"/>
    </row>
    <row r="502" ht="15.75" customHeight="1" s="82">
      <c r="A502" s="2" t="n"/>
      <c r="F502" s="2" t="n"/>
    </row>
    <row r="503" ht="15.75" customHeight="1" s="82">
      <c r="A503" s="2" t="n"/>
      <c r="F503" s="2" t="n"/>
    </row>
    <row r="504" ht="15.75" customHeight="1" s="82">
      <c r="A504" s="2" t="n"/>
      <c r="F504" s="2" t="n"/>
    </row>
    <row r="505" ht="15.75" customHeight="1" s="82">
      <c r="A505" s="2" t="n"/>
      <c r="F505" s="2" t="n"/>
    </row>
    <row r="506" ht="15.75" customHeight="1" s="82">
      <c r="A506" s="2" t="n"/>
      <c r="F506" s="2" t="n"/>
    </row>
    <row r="507" ht="15.75" customHeight="1" s="82">
      <c r="A507" s="2" t="n"/>
      <c r="F507" s="2" t="n"/>
    </row>
    <row r="508" ht="15.75" customHeight="1" s="82">
      <c r="A508" s="2" t="n"/>
      <c r="F508" s="2" t="n"/>
    </row>
    <row r="509" ht="15.75" customHeight="1" s="82">
      <c r="A509" s="2" t="n"/>
      <c r="F509" s="2" t="n"/>
    </row>
    <row r="510" ht="15.75" customHeight="1" s="82">
      <c r="A510" s="2" t="n"/>
      <c r="F510" s="2" t="n"/>
    </row>
    <row r="511" ht="15.75" customHeight="1" s="82">
      <c r="A511" s="2" t="n"/>
      <c r="F511" s="2" t="n"/>
    </row>
    <row r="512" ht="15.75" customHeight="1" s="82">
      <c r="A512" s="2" t="n"/>
      <c r="F512" s="2" t="n"/>
    </row>
    <row r="513" ht="15.75" customHeight="1" s="82">
      <c r="A513" s="2" t="n"/>
      <c r="F513" s="2" t="n"/>
    </row>
    <row r="514" ht="15.75" customHeight="1" s="82">
      <c r="A514" s="2" t="n"/>
      <c r="F514" s="2" t="n"/>
    </row>
    <row r="515" ht="15.75" customHeight="1" s="82">
      <c r="A515" s="2" t="n"/>
      <c r="F515" s="2" t="n"/>
    </row>
    <row r="516" ht="15.75" customHeight="1" s="82">
      <c r="A516" s="2" t="n"/>
      <c r="F516" s="2" t="n"/>
    </row>
    <row r="517" ht="15.75" customHeight="1" s="82">
      <c r="A517" s="2" t="n"/>
      <c r="F517" s="2" t="n"/>
    </row>
    <row r="518" ht="15.75" customHeight="1" s="82">
      <c r="A518" s="2" t="n"/>
      <c r="F518" s="2" t="n"/>
    </row>
    <row r="519" ht="15.75" customHeight="1" s="82">
      <c r="A519" s="2" t="n"/>
      <c r="F519" s="2" t="n"/>
    </row>
    <row r="520" ht="15.75" customHeight="1" s="82">
      <c r="A520" s="2" t="n"/>
      <c r="F520" s="2" t="n"/>
    </row>
    <row r="521" ht="15.75" customHeight="1" s="82">
      <c r="A521" s="2" t="n"/>
      <c r="F521" s="2" t="n"/>
    </row>
    <row r="522" ht="15.75" customHeight="1" s="82">
      <c r="A522" s="2" t="n"/>
      <c r="F522" s="2" t="n"/>
    </row>
    <row r="523" ht="15.75" customHeight="1" s="82">
      <c r="A523" s="2" t="n"/>
      <c r="F523" s="2" t="n"/>
    </row>
    <row r="524" ht="15.75" customHeight="1" s="82">
      <c r="A524" s="2" t="n"/>
      <c r="F524" s="2" t="n"/>
    </row>
    <row r="525" ht="15.75" customHeight="1" s="82">
      <c r="A525" s="2" t="n"/>
      <c r="F525" s="2" t="n"/>
    </row>
    <row r="526" ht="15.75" customHeight="1" s="82">
      <c r="A526" s="2" t="n"/>
      <c r="F526" s="2" t="n"/>
    </row>
    <row r="527" ht="15.75" customHeight="1" s="82">
      <c r="A527" s="2" t="n"/>
      <c r="F527" s="2" t="n"/>
    </row>
    <row r="528" ht="15.75" customHeight="1" s="82">
      <c r="A528" s="2" t="n"/>
      <c r="F528" s="2" t="n"/>
    </row>
    <row r="529" ht="15.75" customHeight="1" s="82">
      <c r="A529" s="2" t="n"/>
      <c r="F529" s="2" t="n"/>
    </row>
    <row r="530" ht="15.75" customHeight="1" s="82">
      <c r="A530" s="2" t="n"/>
      <c r="F530" s="2" t="n"/>
    </row>
    <row r="531" ht="15.75" customHeight="1" s="82">
      <c r="A531" s="2" t="n"/>
      <c r="F531" s="2" t="n"/>
    </row>
    <row r="532" ht="15.75" customHeight="1" s="82">
      <c r="A532" s="2" t="n"/>
      <c r="F532" s="2" t="n"/>
    </row>
    <row r="533" ht="15.75" customHeight="1" s="82">
      <c r="A533" s="2" t="n"/>
      <c r="F533" s="2" t="n"/>
    </row>
    <row r="534" ht="15.75" customHeight="1" s="82">
      <c r="A534" s="2" t="n"/>
      <c r="F534" s="2" t="n"/>
    </row>
    <row r="535" ht="15.75" customHeight="1" s="82">
      <c r="A535" s="2" t="n"/>
      <c r="F535" s="2" t="n"/>
    </row>
    <row r="536" ht="15.75" customHeight="1" s="82">
      <c r="A536" s="2" t="n"/>
      <c r="F536" s="2" t="n"/>
    </row>
    <row r="537" ht="15.75" customHeight="1" s="82">
      <c r="A537" s="2" t="n"/>
      <c r="F537" s="2" t="n"/>
    </row>
    <row r="538" ht="15.75" customHeight="1" s="82">
      <c r="A538" s="2" t="n"/>
      <c r="F538" s="2" t="n"/>
    </row>
    <row r="539" ht="15.75" customHeight="1" s="82">
      <c r="A539" s="2" t="n"/>
      <c r="F539" s="2" t="n"/>
    </row>
    <row r="540" ht="15.75" customHeight="1" s="82">
      <c r="A540" s="2" t="n"/>
      <c r="F540" s="2" t="n"/>
    </row>
    <row r="541" ht="15.75" customHeight="1" s="82">
      <c r="A541" s="2" t="n"/>
      <c r="F541" s="2" t="n"/>
    </row>
    <row r="542" ht="15.75" customHeight="1" s="82">
      <c r="A542" s="2" t="n"/>
      <c r="F542" s="2" t="n"/>
    </row>
    <row r="543" ht="15.75" customHeight="1" s="82">
      <c r="A543" s="2" t="n"/>
      <c r="F543" s="2" t="n"/>
    </row>
    <row r="544" ht="15.75" customHeight="1" s="82">
      <c r="A544" s="2" t="n"/>
      <c r="F544" s="2" t="n"/>
    </row>
    <row r="545" ht="15.75" customHeight="1" s="82">
      <c r="A545" s="2" t="n"/>
      <c r="F545" s="2" t="n"/>
    </row>
    <row r="546" ht="15.75" customHeight="1" s="82">
      <c r="A546" s="2" t="n"/>
      <c r="F546" s="2" t="n"/>
    </row>
    <row r="547" ht="15.75" customHeight="1" s="82">
      <c r="A547" s="2" t="n"/>
      <c r="F547" s="2" t="n"/>
    </row>
    <row r="548" ht="15.75" customHeight="1" s="82">
      <c r="A548" s="2" t="n"/>
      <c r="F548" s="2" t="n"/>
    </row>
    <row r="549" ht="15.75" customHeight="1" s="82">
      <c r="A549" s="2" t="n"/>
      <c r="F549" s="2" t="n"/>
    </row>
    <row r="550" ht="15.75" customHeight="1" s="82">
      <c r="A550" s="2" t="n"/>
      <c r="F550" s="2" t="n"/>
    </row>
    <row r="551" ht="15.75" customHeight="1" s="82">
      <c r="A551" s="2" t="n"/>
      <c r="F551" s="2" t="n"/>
    </row>
    <row r="552" ht="15.75" customHeight="1" s="82">
      <c r="A552" s="2" t="n"/>
      <c r="F552" s="2" t="n"/>
    </row>
    <row r="553" ht="15.75" customHeight="1" s="82">
      <c r="A553" s="2" t="n"/>
      <c r="F553" s="2" t="n"/>
    </row>
    <row r="554" ht="15.75" customHeight="1" s="82">
      <c r="A554" s="2" t="n"/>
      <c r="F554" s="2" t="n"/>
    </row>
    <row r="555" ht="15.75" customHeight="1" s="82">
      <c r="A555" s="2" t="n"/>
      <c r="F555" s="2" t="n"/>
    </row>
    <row r="556" ht="15.75" customHeight="1" s="82">
      <c r="A556" s="2" t="n"/>
      <c r="F556" s="2" t="n"/>
    </row>
    <row r="557" ht="15.75" customHeight="1" s="82">
      <c r="A557" s="2" t="n"/>
      <c r="F557" s="2" t="n"/>
    </row>
    <row r="558" ht="15.75" customHeight="1" s="82">
      <c r="A558" s="2" t="n"/>
      <c r="F558" s="2" t="n"/>
    </row>
    <row r="559" ht="15.75" customHeight="1" s="82">
      <c r="A559" s="2" t="n"/>
      <c r="F559" s="2" t="n"/>
    </row>
    <row r="560" ht="15.75" customHeight="1" s="82">
      <c r="A560" s="2" t="n"/>
      <c r="F560" s="2" t="n"/>
    </row>
    <row r="561" ht="15.75" customHeight="1" s="82">
      <c r="A561" s="2" t="n"/>
      <c r="F561" s="2" t="n"/>
    </row>
    <row r="562" ht="15.75" customHeight="1" s="82">
      <c r="A562" s="2" t="n"/>
      <c r="F562" s="2" t="n"/>
    </row>
    <row r="563" ht="15.75" customHeight="1" s="82">
      <c r="A563" s="2" t="n"/>
      <c r="F563" s="2" t="n"/>
    </row>
    <row r="564" ht="15.75" customHeight="1" s="82">
      <c r="A564" s="2" t="n"/>
      <c r="F564" s="2" t="n"/>
    </row>
    <row r="565" ht="15.75" customHeight="1" s="82">
      <c r="A565" s="2" t="n"/>
      <c r="F565" s="2" t="n"/>
    </row>
    <row r="566" ht="15.75" customHeight="1" s="82">
      <c r="A566" s="2" t="n"/>
      <c r="F566" s="2" t="n"/>
    </row>
    <row r="567" ht="15.75" customHeight="1" s="82">
      <c r="A567" s="2" t="n"/>
      <c r="F567" s="2" t="n"/>
    </row>
    <row r="568" ht="15.75" customHeight="1" s="82">
      <c r="A568" s="2" t="n"/>
      <c r="F568" s="2" t="n"/>
    </row>
    <row r="569" ht="15.75" customHeight="1" s="82">
      <c r="A569" s="2" t="n"/>
      <c r="F569" s="2" t="n"/>
    </row>
    <row r="570" ht="15.75" customHeight="1" s="82">
      <c r="A570" s="2" t="n"/>
      <c r="F570" s="2" t="n"/>
    </row>
    <row r="571" ht="15.75" customHeight="1" s="82">
      <c r="A571" s="2" t="n"/>
      <c r="F571" s="2" t="n"/>
    </row>
    <row r="572" ht="15.75" customHeight="1" s="82">
      <c r="A572" s="2" t="n"/>
      <c r="F572" s="2" t="n"/>
    </row>
    <row r="573" ht="15.75" customHeight="1" s="82">
      <c r="A573" s="2" t="n"/>
      <c r="F573" s="2" t="n"/>
    </row>
    <row r="574" ht="15.75" customHeight="1" s="82">
      <c r="A574" s="2" t="n"/>
      <c r="F574" s="2" t="n"/>
    </row>
    <row r="575" ht="15.75" customHeight="1" s="82">
      <c r="A575" s="2" t="n"/>
      <c r="F575" s="2" t="n"/>
    </row>
    <row r="576" ht="15.75" customHeight="1" s="82">
      <c r="A576" s="2" t="n"/>
      <c r="F576" s="2" t="n"/>
    </row>
    <row r="577" ht="15.75" customHeight="1" s="82">
      <c r="A577" s="2" t="n"/>
      <c r="F577" s="2" t="n"/>
    </row>
    <row r="578" ht="15.75" customHeight="1" s="82">
      <c r="A578" s="2" t="n"/>
      <c r="F578" s="2" t="n"/>
    </row>
    <row r="579" ht="15.75" customHeight="1" s="82">
      <c r="A579" s="2" t="n"/>
      <c r="F579" s="2" t="n"/>
    </row>
    <row r="580" ht="15.75" customHeight="1" s="82">
      <c r="A580" s="2" t="n"/>
      <c r="F580" s="2" t="n"/>
    </row>
    <row r="581" ht="15.75" customHeight="1" s="82">
      <c r="A581" s="2" t="n"/>
      <c r="F581" s="2" t="n"/>
    </row>
    <row r="582" ht="15.75" customHeight="1" s="82">
      <c r="A582" s="2" t="n"/>
      <c r="F582" s="2" t="n"/>
    </row>
    <row r="583" ht="15.75" customHeight="1" s="82">
      <c r="A583" s="2" t="n"/>
      <c r="F583" s="2" t="n"/>
    </row>
    <row r="584" ht="15.75" customHeight="1" s="82">
      <c r="A584" s="2" t="n"/>
      <c r="F584" s="2" t="n"/>
    </row>
    <row r="585" ht="15.75" customHeight="1" s="82">
      <c r="A585" s="2" t="n"/>
      <c r="F585" s="2" t="n"/>
    </row>
    <row r="586" ht="15.75" customHeight="1" s="82">
      <c r="A586" s="2" t="n"/>
      <c r="F586" s="2" t="n"/>
    </row>
    <row r="587" ht="15.75" customHeight="1" s="82">
      <c r="A587" s="2" t="n"/>
      <c r="F587" s="2" t="n"/>
    </row>
    <row r="588" ht="15.75" customHeight="1" s="82">
      <c r="A588" s="2" t="n"/>
      <c r="F588" s="2" t="n"/>
    </row>
    <row r="589" ht="15.75" customHeight="1" s="82">
      <c r="A589" s="2" t="n"/>
      <c r="F589" s="2" t="n"/>
    </row>
    <row r="590" ht="15.75" customHeight="1" s="82">
      <c r="A590" s="2" t="n"/>
      <c r="F590" s="2" t="n"/>
    </row>
    <row r="591" ht="15.75" customHeight="1" s="82">
      <c r="A591" s="2" t="n"/>
      <c r="F591" s="2" t="n"/>
    </row>
    <row r="592" ht="15.75" customHeight="1" s="82">
      <c r="A592" s="2" t="n"/>
      <c r="F592" s="2" t="n"/>
    </row>
    <row r="593" ht="15.75" customHeight="1" s="82">
      <c r="A593" s="2" t="n"/>
      <c r="F593" s="2" t="n"/>
    </row>
    <row r="594" ht="15.75" customHeight="1" s="82">
      <c r="A594" s="2" t="n"/>
      <c r="F594" s="2" t="n"/>
    </row>
    <row r="595" ht="15.75" customHeight="1" s="82">
      <c r="A595" s="2" t="n"/>
      <c r="F595" s="2" t="n"/>
    </row>
    <row r="596" ht="15.75" customHeight="1" s="82">
      <c r="A596" s="2" t="n"/>
      <c r="F596" s="2" t="n"/>
    </row>
    <row r="597" ht="15.75" customHeight="1" s="82">
      <c r="A597" s="2" t="n"/>
      <c r="F597" s="2" t="n"/>
    </row>
    <row r="598" ht="15.75" customHeight="1" s="82">
      <c r="A598" s="2" t="n"/>
      <c r="F598" s="2" t="n"/>
    </row>
    <row r="599" ht="15.75" customHeight="1" s="82">
      <c r="A599" s="2" t="n"/>
      <c r="F599" s="2" t="n"/>
    </row>
    <row r="600" ht="15.75" customHeight="1" s="82">
      <c r="A600" s="2" t="n"/>
      <c r="F600" s="2" t="n"/>
    </row>
    <row r="601" ht="15.75" customHeight="1" s="82">
      <c r="A601" s="2" t="n"/>
      <c r="F601" s="2" t="n"/>
    </row>
    <row r="602" ht="15.75" customHeight="1" s="82">
      <c r="A602" s="2" t="n"/>
      <c r="F602" s="2" t="n"/>
    </row>
    <row r="603" ht="15.75" customHeight="1" s="82">
      <c r="A603" s="2" t="n"/>
      <c r="F603" s="2" t="n"/>
    </row>
    <row r="604" ht="15.75" customHeight="1" s="82">
      <c r="A604" s="2" t="n"/>
      <c r="F604" s="2" t="n"/>
    </row>
    <row r="605" ht="15.75" customHeight="1" s="82">
      <c r="A605" s="2" t="n"/>
      <c r="F605" s="2" t="n"/>
    </row>
    <row r="606" ht="15.75" customHeight="1" s="82">
      <c r="A606" s="2" t="n"/>
      <c r="F606" s="2" t="n"/>
    </row>
    <row r="607" ht="15.75" customHeight="1" s="82">
      <c r="A607" s="2" t="n"/>
      <c r="F607" s="2" t="n"/>
    </row>
    <row r="608" ht="15.75" customHeight="1" s="82">
      <c r="A608" s="2" t="n"/>
      <c r="F608" s="2" t="n"/>
    </row>
    <row r="609" ht="15.75" customHeight="1" s="82">
      <c r="A609" s="2" t="n"/>
      <c r="F609" s="2" t="n"/>
    </row>
    <row r="610" ht="15.75" customHeight="1" s="82">
      <c r="A610" s="2" t="n"/>
      <c r="F610" s="2" t="n"/>
    </row>
    <row r="611" ht="15.75" customHeight="1" s="82">
      <c r="A611" s="2" t="n"/>
      <c r="F611" s="2" t="n"/>
    </row>
    <row r="612" ht="15.75" customHeight="1" s="82">
      <c r="A612" s="2" t="n"/>
      <c r="F612" s="2" t="n"/>
    </row>
    <row r="613" ht="15.75" customHeight="1" s="82">
      <c r="A613" s="2" t="n"/>
      <c r="F613" s="2" t="n"/>
    </row>
    <row r="614" ht="15.75" customHeight="1" s="82">
      <c r="A614" s="2" t="n"/>
      <c r="F614" s="2" t="n"/>
    </row>
    <row r="615" ht="15.75" customHeight="1" s="82">
      <c r="A615" s="2" t="n"/>
      <c r="F615" s="2" t="n"/>
    </row>
    <row r="616" ht="15.75" customHeight="1" s="82">
      <c r="A616" s="2" t="n"/>
      <c r="F616" s="2" t="n"/>
    </row>
    <row r="617" ht="15.75" customHeight="1" s="82">
      <c r="A617" s="2" t="n"/>
      <c r="F617" s="2" t="n"/>
    </row>
    <row r="618" ht="15.75" customHeight="1" s="82">
      <c r="A618" s="2" t="n"/>
      <c r="F618" s="2" t="n"/>
    </row>
    <row r="619" ht="15.75" customHeight="1" s="82">
      <c r="A619" s="2" t="n"/>
      <c r="F619" s="2" t="n"/>
    </row>
    <row r="620" ht="15.75" customHeight="1" s="82">
      <c r="A620" s="2" t="n"/>
      <c r="F620" s="2" t="n"/>
    </row>
    <row r="621" ht="15.75" customHeight="1" s="82">
      <c r="A621" s="2" t="n"/>
      <c r="F621" s="2" t="n"/>
    </row>
    <row r="622" ht="15.75" customHeight="1" s="82">
      <c r="A622" s="2" t="n"/>
      <c r="F622" s="2" t="n"/>
    </row>
    <row r="623" ht="15.75" customHeight="1" s="82">
      <c r="A623" s="2" t="n"/>
      <c r="F623" s="2" t="n"/>
    </row>
    <row r="624" ht="15.75" customHeight="1" s="82">
      <c r="A624" s="2" t="n"/>
      <c r="F624" s="2" t="n"/>
    </row>
    <row r="625" ht="15.75" customHeight="1" s="82">
      <c r="A625" s="2" t="n"/>
      <c r="F625" s="2" t="n"/>
    </row>
    <row r="626" ht="15.75" customHeight="1" s="82">
      <c r="A626" s="2" t="n"/>
      <c r="F626" s="2" t="n"/>
    </row>
    <row r="627" ht="15.75" customHeight="1" s="82">
      <c r="A627" s="2" t="n"/>
      <c r="F627" s="2" t="n"/>
    </row>
    <row r="628" ht="15.75" customHeight="1" s="82">
      <c r="A628" s="2" t="n"/>
      <c r="F628" s="2" t="n"/>
    </row>
    <row r="629" ht="15.75" customHeight="1" s="82">
      <c r="A629" s="2" t="n"/>
      <c r="F629" s="2" t="n"/>
    </row>
    <row r="630" ht="15.75" customHeight="1" s="82">
      <c r="A630" s="2" t="n"/>
      <c r="F630" s="2" t="n"/>
    </row>
    <row r="631" ht="15.75" customHeight="1" s="82">
      <c r="A631" s="2" t="n"/>
      <c r="F631" s="2" t="n"/>
    </row>
    <row r="632" ht="15.75" customHeight="1" s="82">
      <c r="A632" s="2" t="n"/>
      <c r="F632" s="2" t="n"/>
    </row>
    <row r="633" ht="15.75" customHeight="1" s="82">
      <c r="A633" s="2" t="n"/>
      <c r="F633" s="2" t="n"/>
    </row>
    <row r="634" ht="15.75" customHeight="1" s="82">
      <c r="A634" s="2" t="n"/>
      <c r="F634" s="2" t="n"/>
    </row>
    <row r="635" ht="15.75" customHeight="1" s="82">
      <c r="A635" s="2" t="n"/>
      <c r="F635" s="2" t="n"/>
    </row>
    <row r="636" ht="15.75" customHeight="1" s="82">
      <c r="A636" s="2" t="n"/>
      <c r="F636" s="2" t="n"/>
    </row>
    <row r="637" ht="15.75" customHeight="1" s="82">
      <c r="A637" s="2" t="n"/>
      <c r="F637" s="2" t="n"/>
    </row>
    <row r="638" ht="15.75" customHeight="1" s="82">
      <c r="A638" s="2" t="n"/>
      <c r="F638" s="2" t="n"/>
    </row>
    <row r="639" ht="15.75" customHeight="1" s="82">
      <c r="A639" s="2" t="n"/>
      <c r="F639" s="2" t="n"/>
    </row>
    <row r="640" ht="15.75" customHeight="1" s="82">
      <c r="A640" s="2" t="n"/>
      <c r="F640" s="2" t="n"/>
    </row>
    <row r="641" ht="15.75" customHeight="1" s="82">
      <c r="A641" s="2" t="n"/>
      <c r="F641" s="2" t="n"/>
    </row>
    <row r="642" ht="15.75" customHeight="1" s="82">
      <c r="A642" s="2" t="n"/>
      <c r="F642" s="2" t="n"/>
    </row>
    <row r="643" ht="15.75" customHeight="1" s="82">
      <c r="A643" s="2" t="n"/>
      <c r="F643" s="2" t="n"/>
    </row>
    <row r="644" ht="15.75" customHeight="1" s="82">
      <c r="A644" s="2" t="n"/>
      <c r="F644" s="2" t="n"/>
    </row>
    <row r="645" ht="15.75" customHeight="1" s="82">
      <c r="A645" s="2" t="n"/>
      <c r="F645" s="2" t="n"/>
    </row>
    <row r="646" ht="15.75" customHeight="1" s="82">
      <c r="A646" s="2" t="n"/>
      <c r="F646" s="2" t="n"/>
    </row>
    <row r="647" ht="15.75" customHeight="1" s="82">
      <c r="A647" s="2" t="n"/>
      <c r="F647" s="2" t="n"/>
    </row>
    <row r="648" ht="15.75" customHeight="1" s="82">
      <c r="A648" s="2" t="n"/>
      <c r="F648" s="2" t="n"/>
    </row>
    <row r="649" ht="15.75" customHeight="1" s="82">
      <c r="A649" s="2" t="n"/>
      <c r="F649" s="2" t="n"/>
    </row>
    <row r="650" ht="15.75" customHeight="1" s="82">
      <c r="A650" s="2" t="n"/>
      <c r="F650" s="2" t="n"/>
    </row>
    <row r="651" ht="15.75" customHeight="1" s="82">
      <c r="A651" s="2" t="n"/>
      <c r="F651" s="2" t="n"/>
    </row>
    <row r="652" ht="15.75" customHeight="1" s="82">
      <c r="A652" s="2" t="n"/>
      <c r="F652" s="2" t="n"/>
    </row>
    <row r="653" ht="15.75" customHeight="1" s="82">
      <c r="A653" s="2" t="n"/>
      <c r="F653" s="2" t="n"/>
    </row>
    <row r="654" ht="15.75" customHeight="1" s="82">
      <c r="A654" s="2" t="n"/>
      <c r="F654" s="2" t="n"/>
    </row>
    <row r="655" ht="15.75" customHeight="1" s="82">
      <c r="A655" s="2" t="n"/>
      <c r="F655" s="2" t="n"/>
    </row>
    <row r="656" ht="15.75" customHeight="1" s="82">
      <c r="A656" s="2" t="n"/>
      <c r="F656" s="2" t="n"/>
    </row>
    <row r="657" ht="15.75" customHeight="1" s="82">
      <c r="A657" s="2" t="n"/>
      <c r="F657" s="2" t="n"/>
    </row>
    <row r="658" ht="15.75" customHeight="1" s="82">
      <c r="A658" s="2" t="n"/>
      <c r="F658" s="2" t="n"/>
    </row>
    <row r="659" ht="15.75" customHeight="1" s="82">
      <c r="A659" s="2" t="n"/>
      <c r="F659" s="2" t="n"/>
    </row>
    <row r="660" ht="15.75" customHeight="1" s="82">
      <c r="A660" s="2" t="n"/>
      <c r="F660" s="2" t="n"/>
    </row>
    <row r="661" ht="15.75" customHeight="1" s="82">
      <c r="A661" s="2" t="n"/>
      <c r="F661" s="2" t="n"/>
    </row>
    <row r="662" ht="15.75" customHeight="1" s="82">
      <c r="A662" s="2" t="n"/>
      <c r="F662" s="2" t="n"/>
    </row>
    <row r="663" ht="15.75" customHeight="1" s="82">
      <c r="A663" s="2" t="n"/>
      <c r="F663" s="2" t="n"/>
    </row>
    <row r="664" ht="15.75" customHeight="1" s="82">
      <c r="A664" s="2" t="n"/>
      <c r="F664" s="2" t="n"/>
    </row>
    <row r="665" ht="15.75" customHeight="1" s="82">
      <c r="A665" s="2" t="n"/>
      <c r="F665" s="2" t="n"/>
    </row>
    <row r="666" ht="15.75" customHeight="1" s="82">
      <c r="A666" s="2" t="n"/>
      <c r="F666" s="2" t="n"/>
    </row>
    <row r="667" ht="15.75" customHeight="1" s="82">
      <c r="A667" s="2" t="n"/>
      <c r="F667" s="2" t="n"/>
    </row>
    <row r="668" ht="15.75" customHeight="1" s="82">
      <c r="A668" s="2" t="n"/>
      <c r="F668" s="2" t="n"/>
    </row>
    <row r="669" ht="15.75" customHeight="1" s="82">
      <c r="A669" s="2" t="n"/>
      <c r="F669" s="2" t="n"/>
    </row>
    <row r="670" ht="15.75" customHeight="1" s="82">
      <c r="A670" s="2" t="n"/>
      <c r="F670" s="2" t="n"/>
    </row>
    <row r="671" ht="15.75" customHeight="1" s="82">
      <c r="A671" s="2" t="n"/>
      <c r="F671" s="2" t="n"/>
    </row>
    <row r="672" ht="15.75" customHeight="1" s="82">
      <c r="A672" s="2" t="n"/>
      <c r="F672" s="2" t="n"/>
    </row>
    <row r="673" ht="15.75" customHeight="1" s="82">
      <c r="A673" s="2" t="n"/>
      <c r="F673" s="2" t="n"/>
    </row>
    <row r="674" ht="15.75" customHeight="1" s="82">
      <c r="A674" s="2" t="n"/>
      <c r="F674" s="2" t="n"/>
    </row>
    <row r="675" ht="15.75" customHeight="1" s="82">
      <c r="A675" s="2" t="n"/>
      <c r="F675" s="2" t="n"/>
    </row>
    <row r="676" ht="15.75" customHeight="1" s="82">
      <c r="A676" s="2" t="n"/>
      <c r="F676" s="2" t="n"/>
    </row>
    <row r="677" ht="15.75" customHeight="1" s="82">
      <c r="A677" s="2" t="n"/>
      <c r="F677" s="2" t="n"/>
    </row>
    <row r="678" ht="15.75" customHeight="1" s="82">
      <c r="A678" s="2" t="n"/>
      <c r="F678" s="2" t="n"/>
    </row>
    <row r="679" ht="15.75" customHeight="1" s="82">
      <c r="A679" s="2" t="n"/>
      <c r="F679" s="2" t="n"/>
    </row>
    <row r="680" ht="15.75" customHeight="1" s="82">
      <c r="A680" s="2" t="n"/>
      <c r="F680" s="2" t="n"/>
    </row>
    <row r="681" ht="15.75" customHeight="1" s="82">
      <c r="A681" s="2" t="n"/>
      <c r="F681" s="2" t="n"/>
    </row>
    <row r="682" ht="15.75" customHeight="1" s="82">
      <c r="A682" s="2" t="n"/>
      <c r="F682" s="2" t="n"/>
    </row>
    <row r="683" ht="15.75" customHeight="1" s="82">
      <c r="A683" s="2" t="n"/>
      <c r="F683" s="2" t="n"/>
    </row>
    <row r="684" ht="15.75" customHeight="1" s="82">
      <c r="A684" s="2" t="n"/>
      <c r="F684" s="2" t="n"/>
    </row>
    <row r="685" ht="15.75" customHeight="1" s="82">
      <c r="A685" s="2" t="n"/>
      <c r="F685" s="2" t="n"/>
    </row>
    <row r="686" ht="15.75" customHeight="1" s="82">
      <c r="A686" s="2" t="n"/>
      <c r="F686" s="2" t="n"/>
    </row>
    <row r="687" ht="15.75" customHeight="1" s="82">
      <c r="A687" s="2" t="n"/>
      <c r="F687" s="2" t="n"/>
    </row>
    <row r="688" ht="15.75" customHeight="1" s="82">
      <c r="A688" s="2" t="n"/>
      <c r="F688" s="2" t="n"/>
    </row>
    <row r="689" ht="15.75" customHeight="1" s="82">
      <c r="A689" s="2" t="n"/>
      <c r="F689" s="2" t="n"/>
    </row>
    <row r="690" ht="15.75" customHeight="1" s="82">
      <c r="A690" s="2" t="n"/>
      <c r="F690" s="2" t="n"/>
    </row>
    <row r="691" ht="15.75" customHeight="1" s="82">
      <c r="A691" s="2" t="n"/>
      <c r="F691" s="2" t="n"/>
    </row>
    <row r="692" ht="15.75" customHeight="1" s="82">
      <c r="A692" s="2" t="n"/>
      <c r="F692" s="2" t="n"/>
    </row>
    <row r="693" ht="15.75" customHeight="1" s="82">
      <c r="A693" s="2" t="n"/>
      <c r="F693" s="2" t="n"/>
    </row>
    <row r="694" ht="15.75" customHeight="1" s="82">
      <c r="A694" s="2" t="n"/>
      <c r="F694" s="2" t="n"/>
    </row>
    <row r="695" ht="15.75" customHeight="1" s="82">
      <c r="A695" s="2" t="n"/>
      <c r="F695" s="2" t="n"/>
    </row>
    <row r="696" ht="15.75" customHeight="1" s="82">
      <c r="A696" s="2" t="n"/>
      <c r="F696" s="2" t="n"/>
    </row>
    <row r="697" ht="15.75" customHeight="1" s="82">
      <c r="A697" s="2" t="n"/>
      <c r="F697" s="2" t="n"/>
    </row>
    <row r="698" ht="15.75" customHeight="1" s="82">
      <c r="A698" s="2" t="n"/>
      <c r="F698" s="2" t="n"/>
    </row>
    <row r="699" ht="15.75" customHeight="1" s="82">
      <c r="A699" s="2" t="n"/>
      <c r="F699" s="2" t="n"/>
    </row>
    <row r="700" ht="15.75" customHeight="1" s="82">
      <c r="A700" s="2" t="n"/>
      <c r="F700" s="2" t="n"/>
    </row>
    <row r="701" ht="15.75" customHeight="1" s="82">
      <c r="A701" s="2" t="n"/>
      <c r="F701" s="2" t="n"/>
    </row>
    <row r="702" ht="15.75" customHeight="1" s="82">
      <c r="A702" s="2" t="n"/>
      <c r="F702" s="2" t="n"/>
    </row>
    <row r="703" ht="15.75" customHeight="1" s="82">
      <c r="A703" s="2" t="n"/>
      <c r="F703" s="2" t="n"/>
    </row>
    <row r="704" ht="15.75" customHeight="1" s="82">
      <c r="A704" s="2" t="n"/>
      <c r="F704" s="2" t="n"/>
    </row>
    <row r="705" ht="15.75" customHeight="1" s="82">
      <c r="A705" s="2" t="n"/>
      <c r="F705" s="2" t="n"/>
    </row>
    <row r="706" ht="15.75" customHeight="1" s="82">
      <c r="A706" s="2" t="n"/>
      <c r="F706" s="2" t="n"/>
    </row>
    <row r="707" ht="15.75" customHeight="1" s="82">
      <c r="A707" s="2" t="n"/>
      <c r="F707" s="2" t="n"/>
    </row>
    <row r="708" ht="15.75" customHeight="1" s="82">
      <c r="A708" s="2" t="n"/>
      <c r="F708" s="2" t="n"/>
    </row>
    <row r="709" ht="15.75" customHeight="1" s="82">
      <c r="A709" s="2" t="n"/>
      <c r="F709" s="2" t="n"/>
    </row>
    <row r="710" ht="15.75" customHeight="1" s="82">
      <c r="A710" s="2" t="n"/>
      <c r="F710" s="2" t="n"/>
    </row>
    <row r="711" ht="15.75" customHeight="1" s="82">
      <c r="A711" s="2" t="n"/>
      <c r="F711" s="2" t="n"/>
    </row>
    <row r="712" ht="15.75" customHeight="1" s="82">
      <c r="A712" s="2" t="n"/>
      <c r="F712" s="2" t="n"/>
    </row>
    <row r="713" ht="15.75" customHeight="1" s="82">
      <c r="A713" s="2" t="n"/>
      <c r="F713" s="2" t="n"/>
    </row>
    <row r="714" ht="15.75" customHeight="1" s="82">
      <c r="A714" s="2" t="n"/>
      <c r="F714" s="2" t="n"/>
    </row>
    <row r="715" ht="15.75" customHeight="1" s="82">
      <c r="A715" s="2" t="n"/>
      <c r="F715" s="2" t="n"/>
    </row>
    <row r="716" ht="15.75" customHeight="1" s="82">
      <c r="A716" s="2" t="n"/>
      <c r="F716" s="2" t="n"/>
    </row>
    <row r="717" ht="15.75" customHeight="1" s="82">
      <c r="A717" s="2" t="n"/>
      <c r="F717" s="2" t="n"/>
    </row>
    <row r="718" ht="15.75" customHeight="1" s="82">
      <c r="A718" s="2" t="n"/>
      <c r="F718" s="2" t="n"/>
    </row>
    <row r="719" ht="15.75" customHeight="1" s="82">
      <c r="A719" s="2" t="n"/>
      <c r="F719" s="2" t="n"/>
    </row>
    <row r="720" ht="15.75" customHeight="1" s="82">
      <c r="A720" s="2" t="n"/>
      <c r="F720" s="2" t="n"/>
    </row>
    <row r="721" ht="15.75" customHeight="1" s="82">
      <c r="A721" s="2" t="n"/>
      <c r="F721" s="2" t="n"/>
    </row>
    <row r="722" ht="15.75" customHeight="1" s="82">
      <c r="A722" s="2" t="n"/>
      <c r="F722" s="2" t="n"/>
    </row>
    <row r="723" ht="15.75" customHeight="1" s="82">
      <c r="A723" s="2" t="n"/>
      <c r="F723" s="2" t="n"/>
    </row>
    <row r="724" ht="15.75" customHeight="1" s="82">
      <c r="A724" s="2" t="n"/>
      <c r="F724" s="2" t="n"/>
    </row>
    <row r="725" ht="15.75" customHeight="1" s="82">
      <c r="A725" s="2" t="n"/>
      <c r="F725" s="2" t="n"/>
    </row>
    <row r="726" ht="15.75" customHeight="1" s="82">
      <c r="A726" s="2" t="n"/>
      <c r="F726" s="2" t="n"/>
    </row>
    <row r="727" ht="15.75" customHeight="1" s="82">
      <c r="A727" s="2" t="n"/>
      <c r="F727" s="2" t="n"/>
    </row>
    <row r="728" ht="15.75" customHeight="1" s="82">
      <c r="A728" s="2" t="n"/>
      <c r="F728" s="2" t="n"/>
    </row>
    <row r="729" ht="15.75" customHeight="1" s="82">
      <c r="A729" s="2" t="n"/>
      <c r="F729" s="2" t="n"/>
    </row>
    <row r="730" ht="15.75" customHeight="1" s="82">
      <c r="A730" s="2" t="n"/>
      <c r="F730" s="2" t="n"/>
    </row>
    <row r="731" ht="15.75" customHeight="1" s="82">
      <c r="A731" s="2" t="n"/>
      <c r="F731" s="2" t="n"/>
    </row>
    <row r="732" ht="15.75" customHeight="1" s="82">
      <c r="A732" s="2" t="n"/>
      <c r="F732" s="2" t="n"/>
    </row>
    <row r="733" ht="15.75" customHeight="1" s="82">
      <c r="A733" s="2" t="n"/>
      <c r="F733" s="2" t="n"/>
    </row>
    <row r="734" ht="15.75" customHeight="1" s="82">
      <c r="A734" s="2" t="n"/>
      <c r="F734" s="2" t="n"/>
    </row>
    <row r="735" ht="15.75" customHeight="1" s="82">
      <c r="A735" s="2" t="n"/>
      <c r="F735" s="2" t="n"/>
    </row>
    <row r="736" ht="15.75" customHeight="1" s="82">
      <c r="A736" s="2" t="n"/>
      <c r="F736" s="2" t="n"/>
    </row>
    <row r="737" ht="15.75" customHeight="1" s="82">
      <c r="A737" s="2" t="n"/>
      <c r="F737" s="2" t="n"/>
    </row>
    <row r="738" ht="15.75" customHeight="1" s="82">
      <c r="A738" s="2" t="n"/>
      <c r="F738" s="2" t="n"/>
    </row>
    <row r="739" ht="15.75" customHeight="1" s="82">
      <c r="A739" s="2" t="n"/>
      <c r="F739" s="2" t="n"/>
    </row>
    <row r="740" ht="15.75" customHeight="1" s="82">
      <c r="A740" s="2" t="n"/>
      <c r="F740" s="2" t="n"/>
    </row>
    <row r="741" ht="15.75" customHeight="1" s="82">
      <c r="A741" s="2" t="n"/>
      <c r="F741" s="2" t="n"/>
    </row>
    <row r="742" ht="15.75" customHeight="1" s="82">
      <c r="A742" s="2" t="n"/>
      <c r="F742" s="2" t="n"/>
    </row>
    <row r="743" ht="15.75" customHeight="1" s="82">
      <c r="A743" s="2" t="n"/>
      <c r="F743" s="2" t="n"/>
    </row>
    <row r="744" ht="15.75" customHeight="1" s="82">
      <c r="A744" s="2" t="n"/>
      <c r="F744" s="2" t="n"/>
    </row>
    <row r="745" ht="15.75" customHeight="1" s="82">
      <c r="A745" s="2" t="n"/>
      <c r="F745" s="2" t="n"/>
    </row>
    <row r="746" ht="15.75" customHeight="1" s="82">
      <c r="A746" s="2" t="n"/>
      <c r="F746" s="2" t="n"/>
    </row>
    <row r="747" ht="15.75" customHeight="1" s="82">
      <c r="A747" s="2" t="n"/>
      <c r="F747" s="2" t="n"/>
    </row>
    <row r="748" ht="15.75" customHeight="1" s="82">
      <c r="A748" s="2" t="n"/>
      <c r="F748" s="2" t="n"/>
    </row>
    <row r="749" ht="15.75" customHeight="1" s="82">
      <c r="A749" s="2" t="n"/>
      <c r="F749" s="2" t="n"/>
    </row>
    <row r="750" ht="15.75" customHeight="1" s="82">
      <c r="A750" s="2" t="n"/>
      <c r="F750" s="2" t="n"/>
    </row>
    <row r="751" ht="15.75" customHeight="1" s="82">
      <c r="A751" s="2" t="n"/>
      <c r="F751" s="2" t="n"/>
    </row>
    <row r="752" ht="15.75" customHeight="1" s="82">
      <c r="A752" s="2" t="n"/>
      <c r="F752" s="2" t="n"/>
    </row>
    <row r="753" ht="15.75" customHeight="1" s="82">
      <c r="A753" s="2" t="n"/>
      <c r="F753" s="2" t="n"/>
    </row>
    <row r="754" ht="15.75" customHeight="1" s="82">
      <c r="A754" s="2" t="n"/>
      <c r="F754" s="2" t="n"/>
    </row>
    <row r="755" ht="15.75" customHeight="1" s="82">
      <c r="A755" s="2" t="n"/>
      <c r="F755" s="2" t="n"/>
    </row>
    <row r="756" ht="15.75" customHeight="1" s="82">
      <c r="A756" s="2" t="n"/>
      <c r="F756" s="2" t="n"/>
    </row>
    <row r="757" ht="15.75" customHeight="1" s="82">
      <c r="A757" s="2" t="n"/>
      <c r="F757" s="2" t="n"/>
    </row>
    <row r="758" ht="15.75" customHeight="1" s="82">
      <c r="A758" s="2" t="n"/>
      <c r="F758" s="2" t="n"/>
    </row>
    <row r="759" ht="15.75" customHeight="1" s="82">
      <c r="A759" s="2" t="n"/>
      <c r="F759" s="2" t="n"/>
    </row>
    <row r="760" ht="15.75" customHeight="1" s="82">
      <c r="A760" s="2" t="n"/>
      <c r="F760" s="2" t="n"/>
    </row>
    <row r="761" ht="15.75" customHeight="1" s="82">
      <c r="A761" s="2" t="n"/>
      <c r="F761" s="2" t="n"/>
    </row>
    <row r="762" ht="15.75" customHeight="1" s="82">
      <c r="A762" s="2" t="n"/>
      <c r="F762" s="2" t="n"/>
    </row>
    <row r="763" ht="15.75" customHeight="1" s="82">
      <c r="A763" s="2" t="n"/>
      <c r="F763" s="2" t="n"/>
    </row>
    <row r="764" ht="15.75" customHeight="1" s="82">
      <c r="A764" s="2" t="n"/>
      <c r="F764" s="2" t="n"/>
    </row>
    <row r="765" ht="15.75" customHeight="1" s="82">
      <c r="A765" s="2" t="n"/>
      <c r="F765" s="2" t="n"/>
    </row>
    <row r="766" ht="15.75" customHeight="1" s="82">
      <c r="A766" s="2" t="n"/>
      <c r="F766" s="2" t="n"/>
    </row>
    <row r="767" ht="15.75" customHeight="1" s="82">
      <c r="A767" s="2" t="n"/>
      <c r="F767" s="2" t="n"/>
    </row>
    <row r="768" ht="15.75" customHeight="1" s="82">
      <c r="A768" s="2" t="n"/>
      <c r="F768" s="2" t="n"/>
    </row>
    <row r="769" ht="15.75" customHeight="1" s="82">
      <c r="A769" s="2" t="n"/>
      <c r="F769" s="2" t="n"/>
    </row>
    <row r="770" ht="15.75" customHeight="1" s="82">
      <c r="A770" s="2" t="n"/>
      <c r="F770" s="2" t="n"/>
    </row>
    <row r="771" ht="15.75" customHeight="1" s="82">
      <c r="A771" s="2" t="n"/>
      <c r="F771" s="2" t="n"/>
    </row>
    <row r="772" ht="15.75" customHeight="1" s="82">
      <c r="A772" s="2" t="n"/>
      <c r="F772" s="2" t="n"/>
    </row>
    <row r="773" ht="15.75" customHeight="1" s="82">
      <c r="A773" s="2" t="n"/>
      <c r="F773" s="2" t="n"/>
    </row>
    <row r="774" ht="15.75" customHeight="1" s="82">
      <c r="A774" s="2" t="n"/>
      <c r="F774" s="2" t="n"/>
    </row>
    <row r="775" ht="15.75" customHeight="1" s="82">
      <c r="A775" s="2" t="n"/>
      <c r="F775" s="2" t="n"/>
    </row>
    <row r="776" ht="15.75" customHeight="1" s="82">
      <c r="A776" s="2" t="n"/>
      <c r="F776" s="2" t="n"/>
    </row>
    <row r="777" ht="15.75" customHeight="1" s="82">
      <c r="A777" s="2" t="n"/>
      <c r="F777" s="2" t="n"/>
    </row>
    <row r="778" ht="15.75" customHeight="1" s="82">
      <c r="A778" s="2" t="n"/>
      <c r="F778" s="2" t="n"/>
    </row>
    <row r="779" ht="15.75" customHeight="1" s="82">
      <c r="A779" s="2" t="n"/>
      <c r="F779" s="2" t="n"/>
    </row>
    <row r="780" ht="15.75" customHeight="1" s="82">
      <c r="A780" s="2" t="n"/>
      <c r="F780" s="2" t="n"/>
    </row>
    <row r="781" ht="15.75" customHeight="1" s="82">
      <c r="A781" s="2" t="n"/>
      <c r="F781" s="2" t="n"/>
    </row>
    <row r="782" ht="15.75" customHeight="1" s="82">
      <c r="A782" s="2" t="n"/>
      <c r="F782" s="2" t="n"/>
    </row>
    <row r="783" ht="15.75" customHeight="1" s="82">
      <c r="A783" s="2" t="n"/>
      <c r="F783" s="2" t="n"/>
    </row>
    <row r="784" ht="15.75" customHeight="1" s="82">
      <c r="A784" s="2" t="n"/>
      <c r="F784" s="2" t="n"/>
    </row>
    <row r="785" ht="15.75" customHeight="1" s="82">
      <c r="A785" s="2" t="n"/>
      <c r="F785" s="2" t="n"/>
    </row>
    <row r="786" ht="15.75" customHeight="1" s="82">
      <c r="A786" s="2" t="n"/>
      <c r="F786" s="2" t="n"/>
    </row>
    <row r="787" ht="15.75" customHeight="1" s="82">
      <c r="A787" s="2" t="n"/>
      <c r="F787" s="2" t="n"/>
    </row>
    <row r="788" ht="15.75" customHeight="1" s="82">
      <c r="A788" s="2" t="n"/>
      <c r="F788" s="2" t="n"/>
    </row>
    <row r="789" ht="15.75" customHeight="1" s="82">
      <c r="A789" s="2" t="n"/>
      <c r="F789" s="2" t="n"/>
    </row>
    <row r="790" ht="15.75" customHeight="1" s="82">
      <c r="A790" s="2" t="n"/>
      <c r="F790" s="2" t="n"/>
    </row>
    <row r="791" ht="15.75" customHeight="1" s="82">
      <c r="A791" s="2" t="n"/>
      <c r="F791" s="2" t="n"/>
    </row>
    <row r="792" ht="15.75" customHeight="1" s="82">
      <c r="A792" s="2" t="n"/>
      <c r="F792" s="2" t="n"/>
    </row>
    <row r="793" ht="15.75" customHeight="1" s="82">
      <c r="A793" s="2" t="n"/>
      <c r="F793" s="2" t="n"/>
    </row>
    <row r="794" ht="15.75" customHeight="1" s="82">
      <c r="A794" s="2" t="n"/>
      <c r="F794" s="2" t="n"/>
    </row>
    <row r="795" ht="15.75" customHeight="1" s="82">
      <c r="A795" s="2" t="n"/>
      <c r="F795" s="2" t="n"/>
    </row>
    <row r="796" ht="15.75" customHeight="1" s="82">
      <c r="A796" s="2" t="n"/>
      <c r="F796" s="2" t="n"/>
    </row>
    <row r="797" ht="15.75" customHeight="1" s="82">
      <c r="A797" s="2" t="n"/>
      <c r="F797" s="2" t="n"/>
    </row>
    <row r="798" ht="15.75" customHeight="1" s="82">
      <c r="A798" s="2" t="n"/>
      <c r="F798" s="2" t="n"/>
    </row>
    <row r="799" ht="15.75" customHeight="1" s="82">
      <c r="A799" s="2" t="n"/>
      <c r="F799" s="2" t="n"/>
    </row>
    <row r="800" ht="15.75" customHeight="1" s="82">
      <c r="A800" s="2" t="n"/>
      <c r="F800" s="2" t="n"/>
    </row>
    <row r="801" ht="15.75" customHeight="1" s="82">
      <c r="A801" s="2" t="n"/>
      <c r="F801" s="2" t="n"/>
    </row>
    <row r="802" ht="15.75" customHeight="1" s="82">
      <c r="A802" s="2" t="n"/>
      <c r="F802" s="2" t="n"/>
    </row>
    <row r="803" ht="15.75" customHeight="1" s="82">
      <c r="A803" s="2" t="n"/>
      <c r="F803" s="2" t="n"/>
    </row>
    <row r="804" ht="15.75" customHeight="1" s="82">
      <c r="A804" s="2" t="n"/>
      <c r="F804" s="2" t="n"/>
    </row>
    <row r="805" ht="15.75" customHeight="1" s="82">
      <c r="A805" s="2" t="n"/>
      <c r="F805" s="2" t="n"/>
    </row>
    <row r="806" ht="15.75" customHeight="1" s="82">
      <c r="A806" s="2" t="n"/>
      <c r="F806" s="2" t="n"/>
    </row>
    <row r="807" ht="15.75" customHeight="1" s="82">
      <c r="A807" s="2" t="n"/>
      <c r="F807" s="2" t="n"/>
    </row>
    <row r="808" ht="15.75" customHeight="1" s="82">
      <c r="A808" s="2" t="n"/>
      <c r="F808" s="2" t="n"/>
    </row>
    <row r="809" ht="15.75" customHeight="1" s="82">
      <c r="A809" s="2" t="n"/>
      <c r="F809" s="2" t="n"/>
    </row>
    <row r="810" ht="15.75" customHeight="1" s="82">
      <c r="A810" s="2" t="n"/>
      <c r="F810" s="2" t="n"/>
    </row>
    <row r="811" ht="15.75" customHeight="1" s="82">
      <c r="A811" s="2" t="n"/>
      <c r="F811" s="2" t="n"/>
    </row>
    <row r="812" ht="15.75" customHeight="1" s="82">
      <c r="A812" s="2" t="n"/>
      <c r="F812" s="2" t="n"/>
    </row>
    <row r="813" ht="15.75" customHeight="1" s="82">
      <c r="A813" s="2" t="n"/>
      <c r="F813" s="2" t="n"/>
    </row>
    <row r="814" ht="15.75" customHeight="1" s="82">
      <c r="A814" s="2" t="n"/>
      <c r="F814" s="2" t="n"/>
    </row>
    <row r="815" ht="15.75" customHeight="1" s="82">
      <c r="A815" s="2" t="n"/>
      <c r="F815" s="2" t="n"/>
    </row>
    <row r="816" ht="15.75" customHeight="1" s="82">
      <c r="A816" s="2" t="n"/>
      <c r="F816" s="2" t="n"/>
    </row>
    <row r="817" ht="15.75" customHeight="1" s="82">
      <c r="A817" s="2" t="n"/>
      <c r="F817" s="2" t="n"/>
    </row>
    <row r="818" ht="15.75" customHeight="1" s="82">
      <c r="A818" s="2" t="n"/>
      <c r="F818" s="2" t="n"/>
    </row>
    <row r="819" ht="15.75" customHeight="1" s="82">
      <c r="A819" s="2" t="n"/>
      <c r="F819" s="2" t="n"/>
    </row>
    <row r="820" ht="15.75" customHeight="1" s="82">
      <c r="A820" s="2" t="n"/>
      <c r="F820" s="2" t="n"/>
    </row>
    <row r="821" ht="15.75" customHeight="1" s="82">
      <c r="A821" s="2" t="n"/>
      <c r="F821" s="2" t="n"/>
    </row>
    <row r="822" ht="15.75" customHeight="1" s="82">
      <c r="A822" s="2" t="n"/>
      <c r="F822" s="2" t="n"/>
    </row>
    <row r="823" ht="15.75" customHeight="1" s="82">
      <c r="A823" s="2" t="n"/>
      <c r="F823" s="2" t="n"/>
    </row>
    <row r="824" ht="15.75" customHeight="1" s="82">
      <c r="A824" s="2" t="n"/>
      <c r="F824" s="2" t="n"/>
    </row>
    <row r="825" ht="15.75" customHeight="1" s="82">
      <c r="A825" s="2" t="n"/>
      <c r="F825" s="2" t="n"/>
    </row>
    <row r="826" ht="15.75" customHeight="1" s="82">
      <c r="A826" s="2" t="n"/>
      <c r="F826" s="2" t="n"/>
    </row>
    <row r="827" ht="15.75" customHeight="1" s="82">
      <c r="A827" s="2" t="n"/>
      <c r="F827" s="2" t="n"/>
    </row>
    <row r="828" ht="15.75" customHeight="1" s="82">
      <c r="A828" s="2" t="n"/>
      <c r="F828" s="2" t="n"/>
    </row>
    <row r="829" ht="15.75" customHeight="1" s="82">
      <c r="A829" s="2" t="n"/>
      <c r="F829" s="2" t="n"/>
    </row>
    <row r="830" ht="15.75" customHeight="1" s="82">
      <c r="A830" s="2" t="n"/>
      <c r="F830" s="2" t="n"/>
    </row>
    <row r="831" ht="15.75" customHeight="1" s="82">
      <c r="A831" s="2" t="n"/>
      <c r="F831" s="2" t="n"/>
    </row>
    <row r="832" ht="15.75" customHeight="1" s="82">
      <c r="A832" s="2" t="n"/>
      <c r="F832" s="2" t="n"/>
    </row>
    <row r="833" ht="15.75" customHeight="1" s="82">
      <c r="A833" s="2" t="n"/>
      <c r="F833" s="2" t="n"/>
    </row>
    <row r="834" ht="15.75" customHeight="1" s="82">
      <c r="A834" s="2" t="n"/>
      <c r="F834" s="2" t="n"/>
    </row>
    <row r="835" ht="15.75" customHeight="1" s="82">
      <c r="A835" s="2" t="n"/>
      <c r="F835" s="2" t="n"/>
    </row>
    <row r="836" ht="15.75" customHeight="1" s="82">
      <c r="A836" s="2" t="n"/>
      <c r="F836" s="2" t="n"/>
    </row>
    <row r="837" ht="15.75" customHeight="1" s="82">
      <c r="A837" s="2" t="n"/>
      <c r="F837" s="2" t="n"/>
    </row>
    <row r="838" ht="15.75" customHeight="1" s="82">
      <c r="A838" s="2" t="n"/>
      <c r="F838" s="2" t="n"/>
    </row>
    <row r="839" ht="15.75" customHeight="1" s="82">
      <c r="A839" s="2" t="n"/>
      <c r="F839" s="2" t="n"/>
    </row>
    <row r="840" ht="15.75" customHeight="1" s="82">
      <c r="A840" s="2" t="n"/>
      <c r="F840" s="2" t="n"/>
    </row>
    <row r="841" ht="15.75" customHeight="1" s="82">
      <c r="A841" s="2" t="n"/>
      <c r="F841" s="2" t="n"/>
    </row>
    <row r="842" ht="15.75" customHeight="1" s="82">
      <c r="A842" s="2" t="n"/>
      <c r="F842" s="2" t="n"/>
    </row>
    <row r="843" ht="15.75" customHeight="1" s="82">
      <c r="A843" s="2" t="n"/>
      <c r="F843" s="2" t="n"/>
    </row>
    <row r="844" ht="15.75" customHeight="1" s="82">
      <c r="A844" s="2" t="n"/>
      <c r="F844" s="2" t="n"/>
    </row>
    <row r="845" ht="15.75" customHeight="1" s="82">
      <c r="A845" s="2" t="n"/>
      <c r="F845" s="2" t="n"/>
    </row>
    <row r="846" ht="15.75" customHeight="1" s="82">
      <c r="A846" s="2" t="n"/>
      <c r="F846" s="2" t="n"/>
    </row>
    <row r="847" ht="15.75" customHeight="1" s="82">
      <c r="A847" s="2" t="n"/>
      <c r="F847" s="2" t="n"/>
    </row>
    <row r="848" ht="15.75" customHeight="1" s="82">
      <c r="A848" s="2" t="n"/>
      <c r="F848" s="2" t="n"/>
    </row>
    <row r="849" ht="15.75" customHeight="1" s="82">
      <c r="A849" s="2" t="n"/>
      <c r="F849" s="2" t="n"/>
    </row>
    <row r="850" ht="15.75" customHeight="1" s="82">
      <c r="A850" s="2" t="n"/>
      <c r="F850" s="2" t="n"/>
    </row>
    <row r="851" ht="15.75" customHeight="1" s="82">
      <c r="A851" s="2" t="n"/>
      <c r="F851" s="2" t="n"/>
    </row>
    <row r="852" ht="15.75" customHeight="1" s="82">
      <c r="A852" s="2" t="n"/>
      <c r="F852" s="2" t="n"/>
    </row>
    <row r="853" ht="15.75" customHeight="1" s="82">
      <c r="A853" s="2" t="n"/>
      <c r="F853" s="2" t="n"/>
    </row>
    <row r="854" ht="15.75" customHeight="1" s="82">
      <c r="A854" s="2" t="n"/>
      <c r="F854" s="2" t="n"/>
    </row>
    <row r="855" ht="15.75" customHeight="1" s="82">
      <c r="A855" s="2" t="n"/>
      <c r="F855" s="2" t="n"/>
    </row>
    <row r="856" ht="15.75" customHeight="1" s="82">
      <c r="A856" s="2" t="n"/>
      <c r="F856" s="2" t="n"/>
    </row>
    <row r="857" ht="15.75" customHeight="1" s="82">
      <c r="A857" s="2" t="n"/>
      <c r="F857" s="2" t="n"/>
    </row>
    <row r="858" ht="15.75" customHeight="1" s="82">
      <c r="A858" s="2" t="n"/>
      <c r="F858" s="2" t="n"/>
    </row>
    <row r="859" ht="15.75" customHeight="1" s="82">
      <c r="A859" s="2" t="n"/>
      <c r="F859" s="2" t="n"/>
    </row>
    <row r="860" ht="15.75" customHeight="1" s="82">
      <c r="A860" s="2" t="n"/>
      <c r="F860" s="2" t="n"/>
    </row>
    <row r="861" ht="15.75" customHeight="1" s="82">
      <c r="A861" s="2" t="n"/>
      <c r="F861" s="2" t="n"/>
    </row>
    <row r="862" ht="15.75" customHeight="1" s="82">
      <c r="A862" s="2" t="n"/>
      <c r="F862" s="2" t="n"/>
    </row>
    <row r="863" ht="15.75" customHeight="1" s="82">
      <c r="A863" s="2" t="n"/>
      <c r="F863" s="2" t="n"/>
    </row>
    <row r="864" ht="15.75" customHeight="1" s="82">
      <c r="A864" s="2" t="n"/>
      <c r="F864" s="2" t="n"/>
    </row>
    <row r="865" ht="15.75" customHeight="1" s="82">
      <c r="A865" s="2" t="n"/>
      <c r="F865" s="2" t="n"/>
    </row>
    <row r="866" ht="15.75" customHeight="1" s="82">
      <c r="A866" s="2" t="n"/>
      <c r="F866" s="2" t="n"/>
    </row>
    <row r="867" ht="15.75" customHeight="1" s="82">
      <c r="A867" s="2" t="n"/>
      <c r="F867" s="2" t="n"/>
    </row>
    <row r="868" ht="15.75" customHeight="1" s="82">
      <c r="A868" s="2" t="n"/>
      <c r="F868" s="2" t="n"/>
    </row>
    <row r="869" ht="15.75" customHeight="1" s="82">
      <c r="A869" s="2" t="n"/>
      <c r="F869" s="2" t="n"/>
    </row>
    <row r="870" ht="15.75" customHeight="1" s="82">
      <c r="A870" s="2" t="n"/>
      <c r="F870" s="2" t="n"/>
    </row>
    <row r="871" ht="15.75" customHeight="1" s="82">
      <c r="A871" s="2" t="n"/>
      <c r="F871" s="2" t="n"/>
    </row>
    <row r="872" ht="15.75" customHeight="1" s="82">
      <c r="A872" s="2" t="n"/>
      <c r="F872" s="2" t="n"/>
    </row>
    <row r="873" ht="15.75" customHeight="1" s="82">
      <c r="A873" s="2" t="n"/>
      <c r="F873" s="2" t="n"/>
    </row>
    <row r="874" ht="15.75" customHeight="1" s="82">
      <c r="A874" s="2" t="n"/>
      <c r="F874" s="2" t="n"/>
    </row>
    <row r="875" ht="15.75" customHeight="1" s="82">
      <c r="A875" s="2" t="n"/>
      <c r="F875" s="2" t="n"/>
    </row>
    <row r="876" ht="15.75" customHeight="1" s="82">
      <c r="A876" s="2" t="n"/>
      <c r="F876" s="2" t="n"/>
    </row>
    <row r="877" ht="15.75" customHeight="1" s="82">
      <c r="A877" s="2" t="n"/>
      <c r="F877" s="2" t="n"/>
    </row>
    <row r="878" ht="15.75" customHeight="1" s="82">
      <c r="A878" s="2" t="n"/>
      <c r="F878" s="2" t="n"/>
    </row>
    <row r="879" ht="15.75" customHeight="1" s="82">
      <c r="A879" s="2" t="n"/>
      <c r="F879" s="2" t="n"/>
    </row>
    <row r="880" ht="15.75" customHeight="1" s="82">
      <c r="A880" s="2" t="n"/>
      <c r="F880" s="2" t="n"/>
    </row>
    <row r="881" ht="15.75" customHeight="1" s="82">
      <c r="A881" s="2" t="n"/>
      <c r="F881" s="2" t="n"/>
    </row>
    <row r="882" ht="15.75" customHeight="1" s="82">
      <c r="A882" s="2" t="n"/>
      <c r="F882" s="2" t="n"/>
    </row>
    <row r="883" ht="15.75" customHeight="1" s="82">
      <c r="A883" s="2" t="n"/>
      <c r="F883" s="2" t="n"/>
    </row>
    <row r="884" ht="15.75" customHeight="1" s="82">
      <c r="A884" s="2" t="n"/>
      <c r="F884" s="2" t="n"/>
    </row>
    <row r="885" ht="15.75" customHeight="1" s="82">
      <c r="A885" s="2" t="n"/>
      <c r="F885" s="2" t="n"/>
    </row>
    <row r="886" ht="15.75" customHeight="1" s="82">
      <c r="A886" s="2" t="n"/>
      <c r="F886" s="2" t="n"/>
    </row>
    <row r="887" ht="15.75" customHeight="1" s="82">
      <c r="A887" s="2" t="n"/>
      <c r="F887" s="2" t="n"/>
    </row>
    <row r="888" ht="15.75" customHeight="1" s="82">
      <c r="A888" s="2" t="n"/>
      <c r="F888" s="2" t="n"/>
    </row>
    <row r="889" ht="15.75" customHeight="1" s="82">
      <c r="A889" s="2" t="n"/>
      <c r="F889" s="2" t="n"/>
    </row>
    <row r="890" ht="15.75" customHeight="1" s="82">
      <c r="A890" s="2" t="n"/>
      <c r="F890" s="2" t="n"/>
    </row>
    <row r="891" ht="15.75" customHeight="1" s="82">
      <c r="A891" s="2" t="n"/>
      <c r="F891" s="2" t="n"/>
    </row>
    <row r="892" ht="15.75" customHeight="1" s="82">
      <c r="A892" s="2" t="n"/>
      <c r="F892" s="2" t="n"/>
    </row>
    <row r="893" ht="15.75" customHeight="1" s="82">
      <c r="A893" s="2" t="n"/>
      <c r="F893" s="2" t="n"/>
    </row>
    <row r="894" ht="15.75" customHeight="1" s="82">
      <c r="A894" s="2" t="n"/>
      <c r="F894" s="2" t="n"/>
    </row>
    <row r="895" ht="15.75" customHeight="1" s="82">
      <c r="A895" s="2" t="n"/>
      <c r="F895" s="2" t="n"/>
    </row>
    <row r="896" ht="15.75" customHeight="1" s="82">
      <c r="A896" s="2" t="n"/>
      <c r="F896" s="2" t="n"/>
    </row>
    <row r="897" ht="15.75" customHeight="1" s="82">
      <c r="A897" s="2" t="n"/>
      <c r="F897" s="2" t="n"/>
    </row>
    <row r="898" ht="15.75" customHeight="1" s="82">
      <c r="A898" s="2" t="n"/>
      <c r="F898" s="2" t="n"/>
    </row>
    <row r="899" ht="15.75" customHeight="1" s="82">
      <c r="A899" s="2" t="n"/>
      <c r="F899" s="2" t="n"/>
    </row>
    <row r="900" ht="15.75" customHeight="1" s="82">
      <c r="A900" s="2" t="n"/>
      <c r="F900" s="2" t="n"/>
    </row>
    <row r="901" ht="15.75" customHeight="1" s="82">
      <c r="A901" s="2" t="n"/>
      <c r="F901" s="2" t="n"/>
    </row>
    <row r="902" ht="15.75" customHeight="1" s="82">
      <c r="A902" s="2" t="n"/>
      <c r="F902" s="2" t="n"/>
    </row>
    <row r="903" ht="15.75" customHeight="1" s="82">
      <c r="A903" s="2" t="n"/>
      <c r="F903" s="2" t="n"/>
    </row>
    <row r="904" ht="15.75" customHeight="1" s="82">
      <c r="A904" s="2" t="n"/>
      <c r="F904" s="2" t="n"/>
    </row>
    <row r="905" ht="15.75" customHeight="1" s="82">
      <c r="A905" s="2" t="n"/>
      <c r="F905" s="2" t="n"/>
    </row>
    <row r="906" ht="15.75" customHeight="1" s="82">
      <c r="A906" s="2" t="n"/>
      <c r="F906" s="2" t="n"/>
    </row>
    <row r="907" ht="15.75" customHeight="1" s="82">
      <c r="A907" s="2" t="n"/>
      <c r="F907" s="2" t="n"/>
    </row>
    <row r="908" ht="15.75" customHeight="1" s="82">
      <c r="A908" s="2" t="n"/>
      <c r="F908" s="2" t="n"/>
    </row>
    <row r="909" ht="15.75" customHeight="1" s="82">
      <c r="A909" s="2" t="n"/>
      <c r="F909" s="2" t="n"/>
    </row>
    <row r="910" ht="15.75" customHeight="1" s="82">
      <c r="A910" s="2" t="n"/>
      <c r="F910" s="2" t="n"/>
    </row>
    <row r="911" ht="15.75" customHeight="1" s="82">
      <c r="A911" s="2" t="n"/>
      <c r="F911" s="2" t="n"/>
    </row>
    <row r="912" ht="15.75" customHeight="1" s="82">
      <c r="A912" s="2" t="n"/>
      <c r="F912" s="2" t="n"/>
    </row>
    <row r="913" ht="15.75" customHeight="1" s="82">
      <c r="A913" s="2" t="n"/>
      <c r="F913" s="2" t="n"/>
    </row>
    <row r="914" ht="15.75" customHeight="1" s="82">
      <c r="A914" s="2" t="n"/>
      <c r="F914" s="2" t="n"/>
    </row>
    <row r="915" ht="15.75" customHeight="1" s="82">
      <c r="A915" s="2" t="n"/>
      <c r="F915" s="2" t="n"/>
    </row>
    <row r="916" ht="15.75" customHeight="1" s="82">
      <c r="A916" s="2" t="n"/>
      <c r="F916" s="2" t="n"/>
    </row>
    <row r="917" ht="15.75" customHeight="1" s="82">
      <c r="A917" s="2" t="n"/>
      <c r="F917" s="2" t="n"/>
    </row>
    <row r="918" ht="15.75" customHeight="1" s="82">
      <c r="A918" s="2" t="n"/>
      <c r="F918" s="2" t="n"/>
    </row>
    <row r="919" ht="15.75" customHeight="1" s="82">
      <c r="A919" s="2" t="n"/>
      <c r="F919" s="2" t="n"/>
    </row>
    <row r="920" ht="15.75" customHeight="1" s="82">
      <c r="A920" s="2" t="n"/>
      <c r="F920" s="2" t="n"/>
    </row>
    <row r="921" ht="15.75" customHeight="1" s="82">
      <c r="A921" s="2" t="n"/>
      <c r="F921" s="2" t="n"/>
    </row>
    <row r="922" ht="15.75" customHeight="1" s="82">
      <c r="A922" s="2" t="n"/>
      <c r="F922" s="2" t="n"/>
    </row>
    <row r="923" ht="15.75" customHeight="1" s="82">
      <c r="A923" s="2" t="n"/>
      <c r="F923" s="2" t="n"/>
    </row>
    <row r="924" ht="15.75" customHeight="1" s="82">
      <c r="A924" s="2" t="n"/>
      <c r="F924" s="2" t="n"/>
    </row>
    <row r="925" ht="15.75" customHeight="1" s="82">
      <c r="A925" s="2" t="n"/>
      <c r="F925" s="2" t="n"/>
    </row>
    <row r="926" ht="15.75" customHeight="1" s="82">
      <c r="A926" s="2" t="n"/>
      <c r="F926" s="2" t="n"/>
    </row>
    <row r="927" ht="15.75" customHeight="1" s="82">
      <c r="A927" s="2" t="n"/>
      <c r="F927" s="2" t="n"/>
    </row>
    <row r="928" ht="15.75" customHeight="1" s="82">
      <c r="A928" s="2" t="n"/>
      <c r="F928" s="2" t="n"/>
    </row>
    <row r="929" ht="15.75" customHeight="1" s="82">
      <c r="A929" s="2" t="n"/>
      <c r="F929" s="2" t="n"/>
    </row>
    <row r="930" ht="15.75" customHeight="1" s="82">
      <c r="A930" s="2" t="n"/>
      <c r="F930" s="2" t="n"/>
    </row>
    <row r="931" ht="15.75" customHeight="1" s="82">
      <c r="A931" s="2" t="n"/>
      <c r="F931" s="2" t="n"/>
    </row>
    <row r="932" ht="15.75" customHeight="1" s="82">
      <c r="A932" s="2" t="n"/>
      <c r="F932" s="2" t="n"/>
    </row>
    <row r="933" ht="15.75" customHeight="1" s="82">
      <c r="A933" s="2" t="n"/>
      <c r="F933" s="2" t="n"/>
    </row>
    <row r="934" ht="15.75" customHeight="1" s="82">
      <c r="A934" s="2" t="n"/>
      <c r="F934" s="2" t="n"/>
    </row>
    <row r="935" ht="15.75" customHeight="1" s="82">
      <c r="A935" s="2" t="n"/>
      <c r="F935" s="2" t="n"/>
    </row>
    <row r="936" ht="15.75" customHeight="1" s="82">
      <c r="A936" s="2" t="n"/>
      <c r="F936" s="2" t="n"/>
    </row>
    <row r="937" ht="15.75" customHeight="1" s="82">
      <c r="A937" s="2" t="n"/>
      <c r="F937" s="2" t="n"/>
    </row>
    <row r="938" ht="15.75" customHeight="1" s="82">
      <c r="A938" s="2" t="n"/>
      <c r="F938" s="2" t="n"/>
    </row>
    <row r="939" ht="15.75" customHeight="1" s="82">
      <c r="A939" s="2" t="n"/>
      <c r="F939" s="2" t="n"/>
    </row>
    <row r="940" ht="15.75" customHeight="1" s="82">
      <c r="A940" s="2" t="n"/>
      <c r="F940" s="2" t="n"/>
    </row>
    <row r="941" ht="15.75" customHeight="1" s="82">
      <c r="A941" s="2" t="n"/>
      <c r="F941" s="2" t="n"/>
    </row>
    <row r="942" ht="15.75" customHeight="1" s="82">
      <c r="A942" s="2" t="n"/>
      <c r="F942" s="2" t="n"/>
    </row>
    <row r="943" ht="15.75" customHeight="1" s="82">
      <c r="A943" s="2" t="n"/>
      <c r="F943" s="2" t="n"/>
    </row>
    <row r="944" ht="15.75" customHeight="1" s="82">
      <c r="A944" s="2" t="n"/>
      <c r="F944" s="2" t="n"/>
    </row>
    <row r="945" ht="15.75" customHeight="1" s="82">
      <c r="A945" s="2" t="n"/>
      <c r="F945" s="2" t="n"/>
    </row>
    <row r="946" ht="15.75" customHeight="1" s="82">
      <c r="A946" s="2" t="n"/>
      <c r="F946" s="2" t="n"/>
    </row>
    <row r="947" ht="15.75" customHeight="1" s="82">
      <c r="A947" s="2" t="n"/>
      <c r="F947" s="2" t="n"/>
    </row>
    <row r="948" ht="15.75" customHeight="1" s="82">
      <c r="A948" s="2" t="n"/>
      <c r="F948" s="2" t="n"/>
    </row>
    <row r="949" ht="15.75" customHeight="1" s="82">
      <c r="A949" s="2" t="n"/>
      <c r="F949" s="2" t="n"/>
    </row>
    <row r="950" ht="15.75" customHeight="1" s="82">
      <c r="A950" s="2" t="n"/>
      <c r="F950" s="2" t="n"/>
    </row>
    <row r="951" ht="15.75" customHeight="1" s="82">
      <c r="A951" s="2" t="n"/>
      <c r="F951" s="2" t="n"/>
    </row>
    <row r="952" ht="15.75" customHeight="1" s="82">
      <c r="A952" s="2" t="n"/>
      <c r="F952" s="2" t="n"/>
    </row>
    <row r="953" ht="15.75" customHeight="1" s="82">
      <c r="A953" s="2" t="n"/>
      <c r="F953" s="2" t="n"/>
    </row>
    <row r="954" ht="15.75" customHeight="1" s="82">
      <c r="A954" s="2" t="n"/>
      <c r="F954" s="2" t="n"/>
    </row>
    <row r="955" ht="15.75" customHeight="1" s="82">
      <c r="A955" s="2" t="n"/>
      <c r="F955" s="2" t="n"/>
    </row>
    <row r="956" ht="15.75" customHeight="1" s="82">
      <c r="A956" s="2" t="n"/>
      <c r="F956" s="2" t="n"/>
    </row>
    <row r="957" ht="15.75" customHeight="1" s="82">
      <c r="A957" s="2" t="n"/>
      <c r="F957" s="2" t="n"/>
    </row>
    <row r="958" ht="15.75" customHeight="1" s="82">
      <c r="A958" s="2" t="n"/>
      <c r="F958" s="2" t="n"/>
    </row>
    <row r="959" ht="15.75" customHeight="1" s="82">
      <c r="A959" s="2" t="n"/>
      <c r="F959" s="2" t="n"/>
    </row>
    <row r="960" ht="15.75" customHeight="1" s="82">
      <c r="A960" s="2" t="n"/>
      <c r="F960" s="2" t="n"/>
    </row>
    <row r="961" ht="15.75" customHeight="1" s="82">
      <c r="A961" s="2" t="n"/>
      <c r="F961" s="2" t="n"/>
    </row>
    <row r="962" ht="15.75" customHeight="1" s="82">
      <c r="A962" s="2" t="n"/>
      <c r="F962" s="2" t="n"/>
    </row>
    <row r="963" ht="15.75" customHeight="1" s="82">
      <c r="A963" s="2" t="n"/>
      <c r="F963" s="2" t="n"/>
    </row>
    <row r="964" ht="15.75" customHeight="1" s="82">
      <c r="A964" s="2" t="n"/>
      <c r="F964" s="2" t="n"/>
    </row>
    <row r="965" ht="15.75" customHeight="1" s="82">
      <c r="A965" s="2" t="n"/>
      <c r="F965" s="2" t="n"/>
    </row>
    <row r="966" ht="15.75" customHeight="1" s="82">
      <c r="A966" s="2" t="n"/>
      <c r="F966" s="2" t="n"/>
    </row>
    <row r="967" ht="15.75" customHeight="1" s="82">
      <c r="A967" s="2" t="n"/>
      <c r="F967" s="2" t="n"/>
    </row>
    <row r="968" ht="15.75" customHeight="1" s="82">
      <c r="A968" s="2" t="n"/>
      <c r="F968" s="2" t="n"/>
    </row>
    <row r="969" ht="15.75" customHeight="1" s="82">
      <c r="A969" s="2" t="n"/>
      <c r="F969" s="2" t="n"/>
    </row>
    <row r="970" ht="15.75" customHeight="1" s="82">
      <c r="A970" s="2" t="n"/>
      <c r="F970" s="2" t="n"/>
    </row>
    <row r="971" ht="15.75" customHeight="1" s="82">
      <c r="A971" s="2" t="n"/>
      <c r="F971" s="2" t="n"/>
    </row>
    <row r="972" ht="15.75" customHeight="1" s="82">
      <c r="A972" s="2" t="n"/>
      <c r="F972" s="2" t="n"/>
    </row>
    <row r="973" ht="15.75" customHeight="1" s="82">
      <c r="A973" s="2" t="n"/>
      <c r="F973" s="2" t="n"/>
    </row>
    <row r="974" ht="15.75" customHeight="1" s="82">
      <c r="A974" s="2" t="n"/>
      <c r="F974" s="2" t="n"/>
    </row>
    <row r="975" ht="15.75" customHeight="1" s="82">
      <c r="A975" s="2" t="n"/>
      <c r="F975" s="2" t="n"/>
    </row>
    <row r="976" ht="15.75" customHeight="1" s="82">
      <c r="A976" s="2" t="n"/>
      <c r="F976" s="2" t="n"/>
    </row>
    <row r="977" ht="15.75" customHeight="1" s="82">
      <c r="A977" s="2" t="n"/>
      <c r="F977" s="2" t="n"/>
    </row>
    <row r="978" ht="15.75" customHeight="1" s="82">
      <c r="A978" s="2" t="n"/>
      <c r="F978" s="2" t="n"/>
    </row>
    <row r="979" ht="15.75" customHeight="1" s="82">
      <c r="A979" s="2" t="n"/>
      <c r="F979" s="2" t="n"/>
    </row>
    <row r="980" ht="15.75" customHeight="1" s="82">
      <c r="A980" s="2" t="n"/>
      <c r="F980" s="2" t="n"/>
    </row>
    <row r="981" ht="15.75" customHeight="1" s="82">
      <c r="A981" s="2" t="n"/>
      <c r="F981" s="2" t="n"/>
    </row>
    <row r="982" ht="15.75" customHeight="1" s="82">
      <c r="A982" s="2" t="n"/>
      <c r="F982" s="2" t="n"/>
    </row>
    <row r="983" ht="15.75" customHeight="1" s="82">
      <c r="A983" s="2" t="n"/>
      <c r="F983" s="2" t="n"/>
    </row>
    <row r="984" ht="15.75" customHeight="1" s="82">
      <c r="A984" s="2" t="n"/>
      <c r="F984" s="2" t="n"/>
    </row>
    <row r="985" ht="15.75" customHeight="1" s="82">
      <c r="A985" s="2" t="n"/>
      <c r="F985" s="2" t="n"/>
    </row>
    <row r="986" ht="15.75" customHeight="1" s="82">
      <c r="A986" s="2" t="n"/>
      <c r="F986" s="2" t="n"/>
    </row>
    <row r="987" ht="15.75" customHeight="1" s="82">
      <c r="A987" s="2" t="n"/>
      <c r="F987" s="2" t="n"/>
    </row>
    <row r="988" ht="15.75" customHeight="1" s="82">
      <c r="A988" s="2" t="n"/>
      <c r="F988" s="2" t="n"/>
    </row>
    <row r="989" ht="15.75" customHeight="1" s="82">
      <c r="A989" s="2" t="n"/>
      <c r="F989" s="2" t="n"/>
    </row>
    <row r="990" ht="15.75" customHeight="1" s="82">
      <c r="A990" s="2" t="n"/>
      <c r="F990" s="2" t="n"/>
    </row>
    <row r="991" ht="15.75" customHeight="1" s="82">
      <c r="A991" s="2" t="n"/>
      <c r="F991" s="2" t="n"/>
    </row>
    <row r="992" ht="15.75" customHeight="1" s="82">
      <c r="A992" s="2" t="n"/>
      <c r="F992" s="2" t="n"/>
    </row>
    <row r="993" ht="15.75" customHeight="1" s="82">
      <c r="A993" s="2" t="n"/>
      <c r="F993" s="2" t="n"/>
    </row>
    <row r="994" ht="15.75" customHeight="1" s="82">
      <c r="A994" s="2" t="n"/>
      <c r="F994" s="2" t="n"/>
    </row>
    <row r="995" ht="15.75" customHeight="1" s="82">
      <c r="A995" s="2" t="n"/>
      <c r="F995" s="2" t="n"/>
    </row>
    <row r="996" ht="15.75" customHeight="1" s="82">
      <c r="A996" s="2" t="n"/>
      <c r="F996" s="2" t="n"/>
    </row>
    <row r="997" ht="15.75" customHeight="1" s="82">
      <c r="A997" s="2" t="n"/>
      <c r="F997" s="2" t="n"/>
    </row>
    <row r="998" ht="15.75" customHeight="1" s="82">
      <c r="A998" s="2" t="n"/>
      <c r="F998" s="2" t="n"/>
    </row>
    <row r="999" ht="15.75" customHeight="1" s="82">
      <c r="A999" s="2" t="n"/>
      <c r="F999" s="2" t="n"/>
    </row>
    <row r="1000" ht="15.75" customHeight="1" s="82">
      <c r="A1000" s="2" t="n"/>
      <c r="F1000" s="2" t="n"/>
    </row>
  </sheetData>
  <mergeCells count="4">
    <mergeCell ref="A69:A70"/>
    <mergeCell ref="B69:B70"/>
    <mergeCell ref="C69:C70"/>
    <mergeCell ref="D69:D7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5"/>
  <sheetViews>
    <sheetView topLeftCell="A50" workbookViewId="0">
      <selection activeCell="D67" sqref="D67"/>
    </sheetView>
  </sheetViews>
  <sheetFormatPr baseColWidth="10" defaultColWidth="11" defaultRowHeight="14"/>
  <cols>
    <col width="22.1640625" customWidth="1" style="82" min="1" max="1"/>
    <col width="11.83203125" customWidth="1" style="82" min="3" max="3"/>
    <col width="15.83203125" customWidth="1" style="82" min="15" max="15"/>
    <col width="11.1640625" bestFit="1" customWidth="1" style="82" min="16" max="16"/>
    <col width="16.5" customWidth="1" style="82" min="22" max="22"/>
    <col width="23.5" customWidth="1" style="82" min="23" max="23"/>
  </cols>
  <sheetData>
    <row r="1">
      <c r="B1" s="58" t="inlineStr">
        <is>
          <t>Wind</t>
        </is>
      </c>
    </row>
    <row r="2">
      <c r="A2" s="58" t="inlineStr">
        <is>
          <t>State</t>
        </is>
      </c>
      <c r="B2" s="13" t="n">
        <v>2018</v>
      </c>
      <c r="C2" s="13" t="n">
        <v>2019</v>
      </c>
      <c r="D2" s="13" t="n">
        <v>2020</v>
      </c>
      <c r="E2" s="13" t="n">
        <v>2021</v>
      </c>
      <c r="F2" s="13" t="n">
        <v>2022</v>
      </c>
      <c r="G2" s="13" t="n">
        <v>2023</v>
      </c>
      <c r="H2" s="13" t="n">
        <v>2024</v>
      </c>
      <c r="I2" s="13" t="n">
        <v>2025</v>
      </c>
      <c r="J2" s="13" t="n">
        <v>2026</v>
      </c>
      <c r="K2" s="13" t="n">
        <v>2027</v>
      </c>
      <c r="L2" s="13" t="n">
        <v>2028</v>
      </c>
      <c r="M2" s="13" t="n">
        <v>2029</v>
      </c>
      <c r="N2" s="13" t="n">
        <v>2030</v>
      </c>
      <c r="O2" s="13" t="n">
        <v>2031</v>
      </c>
      <c r="P2" s="13" t="n">
        <v>2032</v>
      </c>
      <c r="Q2" s="13" t="n">
        <v>2033</v>
      </c>
      <c r="R2" s="13" t="n">
        <v>2034</v>
      </c>
      <c r="S2" s="13" t="n">
        <v>2035</v>
      </c>
      <c r="T2" s="13" t="n">
        <v>2036</v>
      </c>
      <c r="U2" s="13" t="n">
        <v>2037</v>
      </c>
      <c r="V2" s="13" t="n">
        <v>2038</v>
      </c>
      <c r="W2" s="13" t="n">
        <v>2039</v>
      </c>
      <c r="X2" s="13" t="n">
        <v>2040</v>
      </c>
      <c r="Y2" s="13" t="n">
        <v>2041</v>
      </c>
      <c r="Z2" s="13" t="n">
        <v>2042</v>
      </c>
      <c r="AA2" s="13" t="n">
        <v>2043</v>
      </c>
      <c r="AB2" s="13" t="n">
        <v>2044</v>
      </c>
      <c r="AC2" s="13" t="n">
        <v>2045</v>
      </c>
      <c r="AD2" s="13" t="n">
        <v>2046</v>
      </c>
      <c r="AE2" s="13" t="n">
        <v>2047</v>
      </c>
      <c r="AF2" s="13" t="n">
        <v>2048</v>
      </c>
      <c r="AG2" s="13" t="n">
        <v>2049</v>
      </c>
      <c r="AH2" s="13" t="n">
        <v>2050</v>
      </c>
    </row>
    <row r="3">
      <c r="A3">
        <f>About!B2</f>
        <v/>
      </c>
      <c r="B3">
        <f t="array" ref="B3:AH3">TRANSPOSE(L69:L101)</f>
        <v/>
      </c>
      <c r="C3" t="n">
        <v>0.3407211006840849</v>
      </c>
      <c r="D3" t="n">
        <v>0.3442749504406901</v>
      </c>
      <c r="E3" t="n">
        <v>0.3478288001972953</v>
      </c>
      <c r="F3" t="n">
        <v>0.3513826499539006</v>
      </c>
      <c r="G3" t="n">
        <v>0.3549364997105058</v>
      </c>
      <c r="H3" t="n">
        <v>0.3584903494671111</v>
      </c>
      <c r="I3" t="n">
        <v>0.3620441992237163</v>
      </c>
      <c r="J3" t="n">
        <v>0.3655980489803216</v>
      </c>
      <c r="K3" t="n">
        <v>0.3691518987369268</v>
      </c>
      <c r="L3" t="n">
        <v>0.3727057484935321</v>
      </c>
      <c r="M3" t="n">
        <v>0.3762595982501373</v>
      </c>
      <c r="N3" t="n">
        <v>0.3798134480067425</v>
      </c>
      <c r="O3" t="n">
        <v>0.380546419640151</v>
      </c>
      <c r="P3" t="n">
        <v>0.3812793912735594</v>
      </c>
      <c r="Q3" t="n">
        <v>0.3820123629069678</v>
      </c>
      <c r="R3" t="n">
        <v>0.3827453345403762</v>
      </c>
      <c r="S3" t="n">
        <v>0.3834783061737846</v>
      </c>
      <c r="T3" t="n">
        <v>0.384211277807193</v>
      </c>
      <c r="U3" t="n">
        <v>0.3849442494406014</v>
      </c>
      <c r="V3" t="n">
        <v>0.3856772210740099</v>
      </c>
      <c r="W3" t="n">
        <v>0.3864101927074183</v>
      </c>
      <c r="X3" t="n">
        <v>0.3871431643408267</v>
      </c>
      <c r="Y3" t="n">
        <v>0.3878761359742351</v>
      </c>
      <c r="Z3" t="n">
        <v>0.3886091076076436</v>
      </c>
      <c r="AA3" t="n">
        <v>0.389342079241052</v>
      </c>
      <c r="AB3" t="n">
        <v>0.3900750508744604</v>
      </c>
      <c r="AC3" t="n">
        <v>0.3908080225078688</v>
      </c>
      <c r="AD3" t="n">
        <v>0.3915409941412772</v>
      </c>
      <c r="AE3" t="n">
        <v>0.3922739657746857</v>
      </c>
      <c r="AF3" t="n">
        <v>0.3930069374080941</v>
      </c>
      <c r="AG3" t="n">
        <v>0.3937399090415025</v>
      </c>
      <c r="AH3" t="n">
        <v>0.3944728806749109</v>
      </c>
    </row>
    <row r="7" ht="15" customHeight="1" s="82">
      <c r="B7" s="62" t="n">
        <v>1</v>
      </c>
      <c r="C7" s="62" t="n">
        <v>2</v>
      </c>
      <c r="D7" s="62" t="n">
        <v>3</v>
      </c>
      <c r="E7" s="62" t="n">
        <v>4</v>
      </c>
      <c r="F7" s="62" t="n">
        <v>5</v>
      </c>
      <c r="G7" s="62" t="n">
        <v>6</v>
      </c>
      <c r="H7" s="62" t="n">
        <v>7</v>
      </c>
      <c r="I7" s="62" t="n">
        <v>8</v>
      </c>
      <c r="J7" s="62" t="n">
        <v>9</v>
      </c>
      <c r="K7" s="62" t="n">
        <v>10</v>
      </c>
    </row>
    <row r="8">
      <c r="A8">
        <f>About!B1</f>
        <v/>
      </c>
      <c r="B8">
        <f>SUMIFS(B12:B59,$A$12:$A$59,$A$3)</f>
        <v/>
      </c>
      <c r="C8">
        <f>SUMIFS(C12:C59,$A$12:$A$59,$A$3)</f>
        <v/>
      </c>
      <c r="D8">
        <f>SUMIFS(D12:D59,$A$12:$A$59,$A$3)</f>
        <v/>
      </c>
      <c r="E8">
        <f>SUMIFS(E12:E59,$A$12:$A$59,$A$3)</f>
        <v/>
      </c>
      <c r="F8">
        <f>SUMIFS(F12:F59,$A$12:$A$59,$A$3)</f>
        <v/>
      </c>
      <c r="G8">
        <f>SUMIFS(G12:G59,$A$12:$A$59,$A$3)</f>
        <v/>
      </c>
      <c r="H8">
        <f>SUMIFS(H12:H59,$A$12:$A$59,$A$3)</f>
        <v/>
      </c>
      <c r="I8">
        <f>SUMIFS(I12:I59,$A$12:$A$59,$A$3)</f>
        <v/>
      </c>
      <c r="J8">
        <f>SUMIFS(J12:J59,$A$12:$A$59,$A$3)</f>
        <v/>
      </c>
      <c r="K8">
        <f>SUMIFS(K12:K59,$A$12:$A$59,$A$3)</f>
        <v/>
      </c>
    </row>
    <row r="10" ht="15" customHeight="1" s="82">
      <c r="A10" s="60" t="n"/>
      <c r="B10" s="68" t="inlineStr">
        <is>
          <t>Capacity by Wind TRG Class (MW)</t>
        </is>
      </c>
      <c r="C10" s="69" t="n"/>
      <c r="D10" s="69" t="n"/>
      <c r="E10" s="69" t="n"/>
      <c r="F10" s="69" t="n"/>
      <c r="G10" s="69" t="n"/>
      <c r="H10" s="69" t="n"/>
      <c r="I10" s="69" t="n"/>
      <c r="J10" s="69" t="n"/>
      <c r="K10" s="70" t="n"/>
    </row>
    <row r="11" ht="15" customHeight="1" s="82">
      <c r="A11" s="61" t="inlineStr">
        <is>
          <t>State</t>
        </is>
      </c>
      <c r="B11" s="62" t="n">
        <v>1</v>
      </c>
      <c r="C11" s="62" t="n">
        <v>2</v>
      </c>
      <c r="D11" s="62" t="n">
        <v>3</v>
      </c>
      <c r="E11" s="62" t="n">
        <v>4</v>
      </c>
      <c r="F11" s="62" t="n">
        <v>5</v>
      </c>
      <c r="G11" s="62" t="n">
        <v>6</v>
      </c>
      <c r="H11" s="62" t="n">
        <v>7</v>
      </c>
      <c r="I11" s="62" t="n">
        <v>8</v>
      </c>
      <c r="J11" s="62" t="n">
        <v>9</v>
      </c>
      <c r="K11" s="62" t="n">
        <v>10</v>
      </c>
      <c r="L11" s="67" t="inlineStr">
        <is>
          <t>Weighted Class</t>
        </is>
      </c>
      <c r="M11" s="58" t="inlineStr">
        <is>
          <t>Weighted Class by Capacity</t>
        </is>
      </c>
    </row>
    <row r="12" ht="15" customHeight="1" s="82">
      <c r="A12" s="63" t="inlineStr">
        <is>
          <t>AL</t>
        </is>
      </c>
      <c r="B12" s="64" t="n">
        <v>0</v>
      </c>
      <c r="C12" s="64" t="n">
        <v>0</v>
      </c>
      <c r="D12" s="64" t="n">
        <v>0</v>
      </c>
      <c r="E12" s="64" t="n">
        <v>0</v>
      </c>
      <c r="F12" s="64" t="n">
        <v>2</v>
      </c>
      <c r="G12" s="64" t="n">
        <v>72</v>
      </c>
      <c r="H12" s="64" t="n">
        <v>1761</v>
      </c>
      <c r="I12" s="64" t="n">
        <v>24172</v>
      </c>
      <c r="J12" s="64" t="n">
        <v>105097</v>
      </c>
      <c r="K12" s="64" t="n">
        <v>11782</v>
      </c>
      <c r="L12">
        <f>SUMPRODUCT(B12:K12,$B$11:$K$11)/SUM(B12:K12)</f>
        <v/>
      </c>
    </row>
    <row r="13" ht="15" customHeight="1" s="82">
      <c r="A13" s="63" t="inlineStr">
        <is>
          <t>AR</t>
        </is>
      </c>
      <c r="B13" s="64" t="n">
        <v>6</v>
      </c>
      <c r="C13" s="64" t="n">
        <v>6</v>
      </c>
      <c r="D13" s="64" t="n">
        <v>8</v>
      </c>
      <c r="E13" s="64" t="n">
        <v>45</v>
      </c>
      <c r="F13" s="64" t="n">
        <v>363</v>
      </c>
      <c r="G13" s="64" t="n">
        <v>4896</v>
      </c>
      <c r="H13" s="64" t="n">
        <v>48185</v>
      </c>
      <c r="I13" s="64" t="n">
        <v>65971</v>
      </c>
      <c r="J13" s="64" t="n">
        <v>37039</v>
      </c>
      <c r="K13" s="64" t="n">
        <v>5811</v>
      </c>
      <c r="L13">
        <f>SUMPRODUCT(B13:K13,$B$11:$K$11)/SUM(B13:K13)</f>
        <v/>
      </c>
    </row>
    <row r="14" ht="15" customHeight="1" s="82">
      <c r="A14" s="63" t="inlineStr">
        <is>
          <t>AZ</t>
        </is>
      </c>
      <c r="B14" s="64" t="n">
        <v>0</v>
      </c>
      <c r="C14" s="64" t="n">
        <v>0</v>
      </c>
      <c r="D14" s="64" t="n">
        <v>0</v>
      </c>
      <c r="E14" s="64" t="n">
        <v>1</v>
      </c>
      <c r="F14" s="64" t="n">
        <v>36</v>
      </c>
      <c r="G14" s="64" t="n">
        <v>1750</v>
      </c>
      <c r="H14" s="64" t="n">
        <v>34679</v>
      </c>
      <c r="I14" s="64" t="n">
        <v>120345</v>
      </c>
      <c r="J14" s="64" t="n">
        <v>206319</v>
      </c>
      <c r="K14" s="64" t="n">
        <v>111836</v>
      </c>
      <c r="L14">
        <f>SUMPRODUCT(B14:K14,$B$11:$K$11)/SUM(B14:K14)</f>
        <v/>
      </c>
    </row>
    <row r="15" ht="15" customHeight="1" s="82">
      <c r="A15" s="63" t="inlineStr">
        <is>
          <t>CA</t>
        </is>
      </c>
      <c r="B15" s="64" t="n">
        <v>94</v>
      </c>
      <c r="C15" s="64" t="n">
        <v>55</v>
      </c>
      <c r="D15" s="64" t="n">
        <v>94</v>
      </c>
      <c r="E15" s="64" t="n">
        <v>75</v>
      </c>
      <c r="F15" s="64" t="n">
        <v>886</v>
      </c>
      <c r="G15" s="64" t="n">
        <v>5076</v>
      </c>
      <c r="H15" s="64" t="n">
        <v>19020</v>
      </c>
      <c r="I15" s="64" t="n">
        <v>46418</v>
      </c>
      <c r="J15" s="64" t="n">
        <v>75107</v>
      </c>
      <c r="K15" s="64" t="n">
        <v>156550</v>
      </c>
      <c r="L15">
        <f>SUMPRODUCT(B15:K15,$B$11:$K$11)/SUM(B15:K15)</f>
        <v/>
      </c>
    </row>
    <row r="16" ht="15" customHeight="1" s="82">
      <c r="A16" s="63" t="inlineStr">
        <is>
          <t>CO</t>
        </is>
      </c>
      <c r="B16" s="64" t="n">
        <v>227</v>
      </c>
      <c r="C16" s="64" t="n">
        <v>618</v>
      </c>
      <c r="D16" s="64" t="n">
        <v>954</v>
      </c>
      <c r="E16" s="64" t="n">
        <v>19027</v>
      </c>
      <c r="F16" s="64" t="n">
        <v>70367</v>
      </c>
      <c r="G16" s="64" t="n">
        <v>84010</v>
      </c>
      <c r="H16" s="64" t="n">
        <v>78984</v>
      </c>
      <c r="I16" s="64" t="n">
        <v>59735</v>
      </c>
      <c r="J16" s="64" t="n">
        <v>42556</v>
      </c>
      <c r="K16" s="64" t="n">
        <v>38899</v>
      </c>
      <c r="L16">
        <f>SUMPRODUCT(B16:K16,$B$11:$K$11)/SUM(B16:K16)</f>
        <v/>
      </c>
    </row>
    <row r="17" ht="15" customHeight="1" s="82">
      <c r="A17" s="63" t="inlineStr">
        <is>
          <t>CT</t>
        </is>
      </c>
      <c r="B17" s="64" t="n">
        <v>0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64" t="n">
        <v>16</v>
      </c>
      <c r="I17" s="64" t="n">
        <v>539</v>
      </c>
      <c r="J17" s="64" t="n">
        <v>885</v>
      </c>
      <c r="K17" s="64" t="n">
        <v>239</v>
      </c>
      <c r="L17">
        <f>SUMPRODUCT(B17:K17,$B$11:$K$11)/SUM(B17:K17)</f>
        <v/>
      </c>
    </row>
    <row r="18" ht="15" customHeight="1" s="82">
      <c r="A18" s="63" t="inlineStr">
        <is>
          <t>DE</t>
        </is>
      </c>
      <c r="B18" s="64" t="n">
        <v>0</v>
      </c>
      <c r="C18" s="64" t="n">
        <v>0</v>
      </c>
      <c r="D18" s="64" t="n">
        <v>0</v>
      </c>
      <c r="E18" s="64" t="n">
        <v>0</v>
      </c>
      <c r="F18" s="64" t="n">
        <v>0</v>
      </c>
      <c r="G18" s="64" t="n">
        <v>0</v>
      </c>
      <c r="H18" s="64" t="n">
        <v>6</v>
      </c>
      <c r="I18" s="64" t="n">
        <v>522</v>
      </c>
      <c r="J18" s="64" t="n">
        <v>227</v>
      </c>
      <c r="K18" s="64" t="n">
        <v>0</v>
      </c>
      <c r="L18">
        <f>SUMPRODUCT(B18:K18,$B$11:$K$11)/SUM(B18:K18)</f>
        <v/>
      </c>
    </row>
    <row r="19" ht="15" customHeight="1" s="82">
      <c r="A19" s="63" t="inlineStr">
        <is>
          <t>FL</t>
        </is>
      </c>
      <c r="B19" s="64" t="n">
        <v>0</v>
      </c>
      <c r="C19" s="64" t="n">
        <v>0</v>
      </c>
      <c r="D19" s="64" t="n">
        <v>0</v>
      </c>
      <c r="E19" s="64" t="n">
        <v>0</v>
      </c>
      <c r="F19" s="64" t="n">
        <v>0</v>
      </c>
      <c r="G19" s="64" t="n">
        <v>0</v>
      </c>
      <c r="H19" s="64" t="n">
        <v>774</v>
      </c>
      <c r="I19" s="64" t="n">
        <v>13626</v>
      </c>
      <c r="J19" s="64" t="n">
        <v>22006</v>
      </c>
      <c r="K19" s="64" t="n">
        <v>1839</v>
      </c>
      <c r="L19">
        <f>SUMPRODUCT(B19:K19,$B$11:$K$11)/SUM(B19:K19)</f>
        <v/>
      </c>
    </row>
    <row r="20" ht="15" customHeight="1" s="82">
      <c r="A20" s="63" t="inlineStr">
        <is>
          <t>GA</t>
        </is>
      </c>
      <c r="B20" s="64" t="n">
        <v>0</v>
      </c>
      <c r="C20" s="64" t="n">
        <v>0</v>
      </c>
      <c r="D20" s="64" t="n">
        <v>0</v>
      </c>
      <c r="E20" s="64" t="n">
        <v>0</v>
      </c>
      <c r="F20" s="64" t="n">
        <v>5</v>
      </c>
      <c r="G20" s="64" t="n">
        <v>49</v>
      </c>
      <c r="H20" s="64" t="n">
        <v>424</v>
      </c>
      <c r="I20" s="64" t="n">
        <v>11407</v>
      </c>
      <c r="J20" s="64" t="n">
        <v>73098</v>
      </c>
      <c r="K20" s="64" t="n">
        <v>8657</v>
      </c>
      <c r="L20">
        <f>SUMPRODUCT(B20:K20,$B$11:$K$11)/SUM(B20:K20)</f>
        <v/>
      </c>
    </row>
    <row r="21" ht="15" customHeight="1" s="82">
      <c r="A21" s="63" t="inlineStr">
        <is>
          <t>IA</t>
        </is>
      </c>
      <c r="B21" s="64" t="n">
        <v>99</v>
      </c>
      <c r="C21" s="64" t="n">
        <v>3514</v>
      </c>
      <c r="D21" s="64" t="n">
        <v>15717</v>
      </c>
      <c r="E21" s="64" t="n">
        <v>43324</v>
      </c>
      <c r="F21" s="64" t="n">
        <v>111326</v>
      </c>
      <c r="G21" s="64" t="n">
        <v>77613</v>
      </c>
      <c r="H21" s="64" t="n">
        <v>27407</v>
      </c>
      <c r="I21" s="64" t="n">
        <v>552</v>
      </c>
      <c r="J21" s="64" t="n">
        <v>17</v>
      </c>
      <c r="K21" s="64" t="n">
        <v>0</v>
      </c>
      <c r="L21">
        <f>SUMPRODUCT(B21:K21,$B$11:$K$11)/SUM(B21:K21)</f>
        <v/>
      </c>
    </row>
    <row r="22" ht="15" customHeight="1" s="82">
      <c r="A22" s="63" t="inlineStr">
        <is>
          <t>ID</t>
        </is>
      </c>
      <c r="B22" s="64" t="n">
        <v>31</v>
      </c>
      <c r="C22" s="64" t="n">
        <v>21</v>
      </c>
      <c r="D22" s="64" t="n">
        <v>44</v>
      </c>
      <c r="E22" s="64" t="n">
        <v>60</v>
      </c>
      <c r="F22" s="64" t="n">
        <v>427</v>
      </c>
      <c r="G22" s="64" t="n">
        <v>3322</v>
      </c>
      <c r="H22" s="64" t="n">
        <v>41862</v>
      </c>
      <c r="I22" s="64" t="n">
        <v>77921</v>
      </c>
      <c r="J22" s="64" t="n">
        <v>37556</v>
      </c>
      <c r="K22" s="64" t="n">
        <v>51588</v>
      </c>
      <c r="L22">
        <f>SUMPRODUCT(B22:K22,$B$11:$K$11)/SUM(B22:K22)</f>
        <v/>
      </c>
    </row>
    <row r="23" ht="15" customHeight="1" s="82">
      <c r="A23" s="63" t="inlineStr">
        <is>
          <t>IL</t>
        </is>
      </c>
      <c r="B23" s="64" t="n">
        <v>0</v>
      </c>
      <c r="C23" s="64" t="n">
        <v>0</v>
      </c>
      <c r="D23" s="64" t="n">
        <v>0</v>
      </c>
      <c r="E23" s="64" t="n">
        <v>0</v>
      </c>
      <c r="F23" s="64" t="n">
        <v>5645</v>
      </c>
      <c r="G23" s="64" t="n">
        <v>77347</v>
      </c>
      <c r="H23" s="64" t="n">
        <v>72097</v>
      </c>
      <c r="I23" s="64" t="n">
        <v>34004</v>
      </c>
      <c r="J23" s="64" t="n">
        <v>2254</v>
      </c>
      <c r="K23" s="64" t="n">
        <v>3</v>
      </c>
      <c r="L23">
        <f>SUMPRODUCT(B23:K23,$B$11:$K$11)/SUM(B23:K23)</f>
        <v/>
      </c>
    </row>
    <row r="24" ht="15" customHeight="1" s="82">
      <c r="A24" s="63" t="inlineStr">
        <is>
          <t>IN</t>
        </is>
      </c>
      <c r="B24" s="64" t="n">
        <v>0</v>
      </c>
      <c r="C24" s="64" t="n">
        <v>0</v>
      </c>
      <c r="D24" s="64" t="n">
        <v>0</v>
      </c>
      <c r="E24" s="64" t="n">
        <v>0</v>
      </c>
      <c r="F24" s="64" t="n">
        <v>4705</v>
      </c>
      <c r="G24" s="64" t="n">
        <v>35070</v>
      </c>
      <c r="H24" s="64" t="n">
        <v>48453</v>
      </c>
      <c r="I24" s="64" t="n">
        <v>19072</v>
      </c>
      <c r="J24" s="64" t="n">
        <v>10688</v>
      </c>
      <c r="K24" s="64" t="n">
        <v>400</v>
      </c>
      <c r="L24">
        <f>SUMPRODUCT(B24:K24,$B$11:$K$11)/SUM(B24:K24)</f>
        <v/>
      </c>
    </row>
    <row r="25" ht="15" customHeight="1" s="82">
      <c r="A25" s="63" t="inlineStr">
        <is>
          <t>KS</t>
        </is>
      </c>
      <c r="B25" s="64" t="n">
        <v>12028</v>
      </c>
      <c r="C25" s="64" t="n">
        <v>62684</v>
      </c>
      <c r="D25" s="64" t="n">
        <v>79463</v>
      </c>
      <c r="E25" s="64" t="n">
        <v>129403</v>
      </c>
      <c r="F25" s="64" t="n">
        <v>162006</v>
      </c>
      <c r="G25" s="64" t="n">
        <v>55912</v>
      </c>
      <c r="H25" s="64" t="n">
        <v>4687</v>
      </c>
      <c r="I25" s="64" t="n">
        <v>0</v>
      </c>
      <c r="J25" s="64" t="n">
        <v>0</v>
      </c>
      <c r="K25" s="64" t="n">
        <v>0</v>
      </c>
      <c r="L25">
        <f>SUMPRODUCT(B25:K25,$B$11:$K$11)/SUM(B25:K25)</f>
        <v/>
      </c>
    </row>
    <row r="26" ht="15" customHeight="1" s="82">
      <c r="A26" s="63" t="inlineStr">
        <is>
          <t>KY</t>
        </is>
      </c>
      <c r="B26" s="64" t="n">
        <v>0</v>
      </c>
      <c r="C26" s="64" t="n">
        <v>0</v>
      </c>
      <c r="D26" s="64" t="n">
        <v>0</v>
      </c>
      <c r="E26" s="64" t="n">
        <v>0</v>
      </c>
      <c r="F26" s="64" t="n">
        <v>0</v>
      </c>
      <c r="G26" s="64" t="n">
        <v>20</v>
      </c>
      <c r="H26" s="64" t="n">
        <v>5128</v>
      </c>
      <c r="I26" s="64" t="n">
        <v>75392</v>
      </c>
      <c r="J26" s="64" t="n">
        <v>57351</v>
      </c>
      <c r="K26" s="64" t="n">
        <v>13065</v>
      </c>
      <c r="L26">
        <f>SUMPRODUCT(B26:K26,$B$11:$K$11)/SUM(B26:K26)</f>
        <v/>
      </c>
    </row>
    <row r="27" ht="15" customHeight="1" s="82">
      <c r="A27" s="63" t="inlineStr">
        <is>
          <t>LA</t>
        </is>
      </c>
      <c r="B27" s="64" t="n">
        <v>0</v>
      </c>
      <c r="C27" s="64" t="n">
        <v>0</v>
      </c>
      <c r="D27" s="64" t="n">
        <v>0</v>
      </c>
      <c r="E27" s="64" t="n">
        <v>0</v>
      </c>
      <c r="F27" s="64" t="n">
        <v>0</v>
      </c>
      <c r="G27" s="64" t="n">
        <v>4</v>
      </c>
      <c r="H27" s="64" t="n">
        <v>9162</v>
      </c>
      <c r="I27" s="64" t="n">
        <v>33370</v>
      </c>
      <c r="J27" s="64" t="n">
        <v>14193</v>
      </c>
      <c r="K27" s="64" t="n">
        <v>0</v>
      </c>
      <c r="L27">
        <f>SUMPRODUCT(B27:K27,$B$11:$K$11)/SUM(B27:K27)</f>
        <v/>
      </c>
    </row>
    <row r="28" ht="15" customHeight="1" s="82">
      <c r="A28" s="63" t="inlineStr">
        <is>
          <t>MA</t>
        </is>
      </c>
      <c r="B28" s="64" t="n">
        <v>0</v>
      </c>
      <c r="C28" s="64" t="n">
        <v>0</v>
      </c>
      <c r="D28" s="64" t="n">
        <v>0</v>
      </c>
      <c r="E28" s="64" t="n">
        <v>0</v>
      </c>
      <c r="F28" s="64" t="n">
        <v>2</v>
      </c>
      <c r="G28" s="64" t="n">
        <v>38</v>
      </c>
      <c r="H28" s="64" t="n">
        <v>311</v>
      </c>
      <c r="I28" s="64" t="n">
        <v>1922</v>
      </c>
      <c r="J28" s="64" t="n">
        <v>1713</v>
      </c>
      <c r="K28" s="64" t="n">
        <v>763</v>
      </c>
      <c r="L28">
        <f>SUMPRODUCT(B28:K28,$B$11:$K$11)/SUM(B28:K28)</f>
        <v/>
      </c>
    </row>
    <row r="29" ht="15" customHeight="1" s="82">
      <c r="A29" s="63" t="inlineStr">
        <is>
          <t>MD</t>
        </is>
      </c>
      <c r="B29" s="64" t="n">
        <v>0</v>
      </c>
      <c r="C29" s="64" t="n">
        <v>0</v>
      </c>
      <c r="D29" s="64" t="n">
        <v>0</v>
      </c>
      <c r="E29" s="64" t="n">
        <v>0</v>
      </c>
      <c r="F29" s="64" t="n">
        <v>7</v>
      </c>
      <c r="G29" s="64" t="n">
        <v>142</v>
      </c>
      <c r="H29" s="64" t="n">
        <v>722</v>
      </c>
      <c r="I29" s="64" t="n">
        <v>3046</v>
      </c>
      <c r="J29" s="64" t="n">
        <v>2420</v>
      </c>
      <c r="K29" s="64" t="n">
        <v>946</v>
      </c>
      <c r="L29">
        <f>SUMPRODUCT(B29:K29,$B$11:$K$11)/SUM(B29:K29)</f>
        <v/>
      </c>
    </row>
    <row r="30" ht="15" customHeight="1" s="82">
      <c r="A30" s="63" t="inlineStr">
        <is>
          <t>ME</t>
        </is>
      </c>
      <c r="B30" s="64" t="n">
        <v>5</v>
      </c>
      <c r="C30" s="64" t="n">
        <v>3</v>
      </c>
      <c r="D30" s="64" t="n">
        <v>14</v>
      </c>
      <c r="E30" s="64" t="n">
        <v>18</v>
      </c>
      <c r="F30" s="64" t="n">
        <v>66</v>
      </c>
      <c r="G30" s="64" t="n">
        <v>829</v>
      </c>
      <c r="H30" s="64" t="n">
        <v>6579</v>
      </c>
      <c r="I30" s="64" t="n">
        <v>33625</v>
      </c>
      <c r="J30" s="64" t="n">
        <v>22330</v>
      </c>
      <c r="K30" s="64" t="n">
        <v>6328</v>
      </c>
      <c r="L30">
        <f>SUMPRODUCT(B30:K30,$B$11:$K$11)/SUM(B30:K30)</f>
        <v/>
      </c>
    </row>
    <row r="31" ht="15" customHeight="1" s="82">
      <c r="A31" s="63" t="inlineStr">
        <is>
          <t>MI</t>
        </is>
      </c>
      <c r="B31" s="64" t="n">
        <v>1</v>
      </c>
      <c r="C31" s="64" t="n">
        <v>3</v>
      </c>
      <c r="D31" s="64" t="n">
        <v>10</v>
      </c>
      <c r="E31" s="64" t="n">
        <v>175</v>
      </c>
      <c r="F31" s="64" t="n">
        <v>264</v>
      </c>
      <c r="G31" s="64" t="n">
        <v>8603</v>
      </c>
      <c r="H31" s="64" t="n">
        <v>44702</v>
      </c>
      <c r="I31" s="64" t="n">
        <v>24577</v>
      </c>
      <c r="J31" s="64" t="n">
        <v>2976</v>
      </c>
      <c r="K31" s="64" t="n">
        <v>0</v>
      </c>
      <c r="L31">
        <f>SUMPRODUCT(B31:K31,$B$11:$K$11)/SUM(B31:K31)</f>
        <v/>
      </c>
    </row>
    <row r="32" ht="15" customHeight="1" s="82">
      <c r="A32" s="63" t="inlineStr">
        <is>
          <t>MN</t>
        </is>
      </c>
      <c r="B32" s="64" t="n">
        <v>149</v>
      </c>
      <c r="C32" s="64" t="n">
        <v>2771</v>
      </c>
      <c r="D32" s="64" t="n">
        <v>11734</v>
      </c>
      <c r="E32" s="64" t="n">
        <v>11232</v>
      </c>
      <c r="F32" s="64" t="n">
        <v>39297</v>
      </c>
      <c r="G32" s="64" t="n">
        <v>79661</v>
      </c>
      <c r="H32" s="64" t="n">
        <v>30041</v>
      </c>
      <c r="I32" s="64" t="n">
        <v>7586</v>
      </c>
      <c r="J32" s="64" t="n">
        <v>354</v>
      </c>
      <c r="K32" s="64" t="n">
        <v>0</v>
      </c>
      <c r="L32">
        <f>SUMPRODUCT(B32:K32,$B$11:$K$11)/SUM(B32:K32)</f>
        <v/>
      </c>
    </row>
    <row r="33" ht="15" customHeight="1" s="82">
      <c r="A33" s="63" t="inlineStr">
        <is>
          <t>MO</t>
        </is>
      </c>
      <c r="B33" s="64" t="n">
        <v>0</v>
      </c>
      <c r="C33" s="64" t="n">
        <v>0</v>
      </c>
      <c r="D33" s="64" t="n">
        <v>0</v>
      </c>
      <c r="E33" s="64" t="n">
        <v>339</v>
      </c>
      <c r="F33" s="64" t="n">
        <v>5815</v>
      </c>
      <c r="G33" s="64" t="n">
        <v>69041</v>
      </c>
      <c r="H33" s="64" t="n">
        <v>131335</v>
      </c>
      <c r="I33" s="64" t="n">
        <v>55094</v>
      </c>
      <c r="J33" s="64" t="n">
        <v>16603</v>
      </c>
      <c r="K33" s="64" t="n">
        <v>467</v>
      </c>
      <c r="L33">
        <f>SUMPRODUCT(B33:K33,$B$11:$K$11)/SUM(B33:K33)</f>
        <v/>
      </c>
    </row>
    <row r="34" ht="15" customHeight="1" s="82">
      <c r="A34" s="63" t="inlineStr">
        <is>
          <t>MS</t>
        </is>
      </c>
      <c r="B34" s="64" t="n">
        <v>0</v>
      </c>
      <c r="C34" s="64" t="n">
        <v>0</v>
      </c>
      <c r="D34" s="64" t="n">
        <v>0</v>
      </c>
      <c r="E34" s="64" t="n">
        <v>0</v>
      </c>
      <c r="F34" s="64" t="n">
        <v>0</v>
      </c>
      <c r="G34" s="64" t="n">
        <v>0</v>
      </c>
      <c r="H34" s="64" t="n">
        <v>4375</v>
      </c>
      <c r="I34" s="64" t="n">
        <v>40757</v>
      </c>
      <c r="J34" s="64" t="n">
        <v>64740</v>
      </c>
      <c r="K34" s="64" t="n">
        <v>4667</v>
      </c>
      <c r="L34">
        <f>SUMPRODUCT(B34:K34,$B$11:$K$11)/SUM(B34:K34)</f>
        <v/>
      </c>
    </row>
    <row r="35" ht="15" customHeight="1" s="82">
      <c r="A35" s="63" t="inlineStr">
        <is>
          <t>MT</t>
        </is>
      </c>
      <c r="B35" s="64" t="n">
        <v>3629</v>
      </c>
      <c r="C35" s="64" t="n">
        <v>3542</v>
      </c>
      <c r="D35" s="64" t="n">
        <v>13464</v>
      </c>
      <c r="E35" s="64" t="n">
        <v>44029</v>
      </c>
      <c r="F35" s="64" t="n">
        <v>142558</v>
      </c>
      <c r="G35" s="64" t="n">
        <v>247609</v>
      </c>
      <c r="H35" s="64" t="n">
        <v>122684</v>
      </c>
      <c r="I35" s="64" t="n">
        <v>40167</v>
      </c>
      <c r="J35" s="64" t="n">
        <v>20889</v>
      </c>
      <c r="K35" s="64" t="n">
        <v>40406</v>
      </c>
      <c r="L35">
        <f>SUMPRODUCT(B35:K35,$B$11:$K$11)/SUM(B35:K35)</f>
        <v/>
      </c>
    </row>
    <row r="36" ht="15" customHeight="1" s="82">
      <c r="A36" s="63" t="inlineStr">
        <is>
          <t>NC</t>
        </is>
      </c>
      <c r="B36" s="64" t="n">
        <v>3</v>
      </c>
      <c r="C36" s="64" t="n">
        <v>0</v>
      </c>
      <c r="D36" s="64" t="n">
        <v>3</v>
      </c>
      <c r="E36" s="64" t="n">
        <v>7</v>
      </c>
      <c r="F36" s="64" t="n">
        <v>18</v>
      </c>
      <c r="G36" s="64" t="n">
        <v>138</v>
      </c>
      <c r="H36" s="64" t="n">
        <v>806</v>
      </c>
      <c r="I36" s="64" t="n">
        <v>3480</v>
      </c>
      <c r="J36" s="64" t="n">
        <v>35348</v>
      </c>
      <c r="K36" s="64" t="n">
        <v>37839</v>
      </c>
      <c r="L36">
        <f>SUMPRODUCT(B36:K36,$B$11:$K$11)/SUM(B36:K36)</f>
        <v/>
      </c>
    </row>
    <row r="37" ht="15" customHeight="1" s="82">
      <c r="A37" s="63" t="inlineStr">
        <is>
          <t>ND</t>
        </is>
      </c>
      <c r="B37" s="64" t="n">
        <v>3584</v>
      </c>
      <c r="C37" s="64" t="n">
        <v>6630</v>
      </c>
      <c r="D37" s="64" t="n">
        <v>38543</v>
      </c>
      <c r="E37" s="64" t="n">
        <v>81675</v>
      </c>
      <c r="F37" s="64" t="n">
        <v>140152</v>
      </c>
      <c r="G37" s="64" t="n">
        <v>24208</v>
      </c>
      <c r="H37" s="64" t="n">
        <v>1291</v>
      </c>
      <c r="I37" s="64" t="n">
        <v>0</v>
      </c>
      <c r="J37" s="64" t="n">
        <v>0</v>
      </c>
      <c r="K37" s="64" t="n">
        <v>0</v>
      </c>
      <c r="L37">
        <f>SUMPRODUCT(B37:K37,$B$11:$K$11)/SUM(B37:K37)</f>
        <v/>
      </c>
    </row>
    <row r="38" ht="15" customHeight="1" s="82">
      <c r="A38" s="63" t="inlineStr">
        <is>
          <t>NE</t>
        </is>
      </c>
      <c r="B38" s="64" t="n">
        <v>8290</v>
      </c>
      <c r="C38" s="64" t="n">
        <v>19706</v>
      </c>
      <c r="D38" s="64" t="n">
        <v>55103</v>
      </c>
      <c r="E38" s="64" t="n">
        <v>140249</v>
      </c>
      <c r="F38" s="64" t="n">
        <v>198274</v>
      </c>
      <c r="G38" s="64" t="n">
        <v>40414</v>
      </c>
      <c r="H38" s="64" t="n">
        <v>3439</v>
      </c>
      <c r="I38" s="64" t="n">
        <v>0</v>
      </c>
      <c r="J38" s="64" t="n">
        <v>0</v>
      </c>
      <c r="K38" s="64" t="n">
        <v>0</v>
      </c>
      <c r="L38">
        <f>SUMPRODUCT(B38:K38,$B$11:$K$11)/SUM(B38:K38)</f>
        <v/>
      </c>
    </row>
    <row r="39" ht="15" customHeight="1" s="82">
      <c r="A39" s="63" t="inlineStr">
        <is>
          <t>NH</t>
        </is>
      </c>
      <c r="B39" s="64" t="n">
        <v>0</v>
      </c>
      <c r="C39" s="64" t="n">
        <v>0</v>
      </c>
      <c r="D39" s="64" t="n">
        <v>0</v>
      </c>
      <c r="E39" s="64" t="n">
        <v>3</v>
      </c>
      <c r="F39" s="64" t="n">
        <v>12</v>
      </c>
      <c r="G39" s="64" t="n">
        <v>215</v>
      </c>
      <c r="H39" s="64" t="n">
        <v>1124</v>
      </c>
      <c r="I39" s="64" t="n">
        <v>3733</v>
      </c>
      <c r="J39" s="64" t="n">
        <v>4273</v>
      </c>
      <c r="K39" s="64" t="n">
        <v>3301</v>
      </c>
      <c r="L39">
        <f>SUMPRODUCT(B39:K39,$B$11:$K$11)/SUM(B39:K39)</f>
        <v/>
      </c>
    </row>
    <row r="40" ht="15" customHeight="1" s="82">
      <c r="A40" s="63" t="inlineStr">
        <is>
          <t>NJ</t>
        </is>
      </c>
      <c r="B40" s="64" t="n">
        <v>0</v>
      </c>
      <c r="C40" s="64" t="n">
        <v>0</v>
      </c>
      <c r="D40" s="64" t="n">
        <v>0</v>
      </c>
      <c r="E40" s="64" t="n">
        <v>0</v>
      </c>
      <c r="F40" s="64" t="n">
        <v>0</v>
      </c>
      <c r="G40" s="64" t="n">
        <v>0</v>
      </c>
      <c r="H40" s="64" t="n">
        <v>1</v>
      </c>
      <c r="I40" s="64" t="n">
        <v>125</v>
      </c>
      <c r="J40" s="64" t="n">
        <v>700</v>
      </c>
      <c r="K40" s="64" t="n">
        <v>119</v>
      </c>
      <c r="L40">
        <f>SUMPRODUCT(B40:K40,$B$11:$K$11)/SUM(B40:K40)</f>
        <v/>
      </c>
    </row>
    <row r="41" ht="15" customHeight="1" s="82">
      <c r="A41" s="63" t="inlineStr">
        <is>
          <t>NM</t>
        </is>
      </c>
      <c r="B41" s="64" t="n">
        <v>2326</v>
      </c>
      <c r="C41" s="64" t="n">
        <v>4912</v>
      </c>
      <c r="D41" s="64" t="n">
        <v>5837</v>
      </c>
      <c r="E41" s="64" t="n">
        <v>21559</v>
      </c>
      <c r="F41" s="64" t="n">
        <v>86457</v>
      </c>
      <c r="G41" s="64" t="n">
        <v>112684</v>
      </c>
      <c r="H41" s="64" t="n">
        <v>158360</v>
      </c>
      <c r="I41" s="64" t="n">
        <v>142506</v>
      </c>
      <c r="J41" s="64" t="n">
        <v>94740</v>
      </c>
      <c r="K41" s="64" t="n">
        <v>23194</v>
      </c>
      <c r="L41">
        <f>SUMPRODUCT(B41:K41,$B$11:$K$11)/SUM(B41:K41)</f>
        <v/>
      </c>
    </row>
    <row r="42" ht="15" customHeight="1" s="82">
      <c r="A42" s="63" t="inlineStr">
        <is>
          <t>NV</t>
        </is>
      </c>
      <c r="B42" s="64" t="n">
        <v>2</v>
      </c>
      <c r="C42" s="64" t="n">
        <v>0</v>
      </c>
      <c r="D42" s="64" t="n">
        <v>5</v>
      </c>
      <c r="E42" s="64" t="n">
        <v>5</v>
      </c>
      <c r="F42" s="64" t="n">
        <v>88</v>
      </c>
      <c r="G42" s="64" t="n">
        <v>1486</v>
      </c>
      <c r="H42" s="64" t="n">
        <v>15743</v>
      </c>
      <c r="I42" s="64" t="n">
        <v>87372</v>
      </c>
      <c r="J42" s="64" t="n">
        <v>162387</v>
      </c>
      <c r="K42" s="64" t="n">
        <v>200946</v>
      </c>
      <c r="L42">
        <f>SUMPRODUCT(B42:K42,$B$11:$K$11)/SUM(B42:K42)</f>
        <v/>
      </c>
    </row>
    <row r="43" ht="15" customHeight="1" s="82">
      <c r="A43" s="63" t="inlineStr">
        <is>
          <t>NY</t>
        </is>
      </c>
      <c r="B43" s="64" t="n">
        <v>4</v>
      </c>
      <c r="C43" s="64" t="n">
        <v>5</v>
      </c>
      <c r="D43" s="64" t="n">
        <v>10</v>
      </c>
      <c r="E43" s="64" t="n">
        <v>14</v>
      </c>
      <c r="F43" s="64" t="n">
        <v>63</v>
      </c>
      <c r="G43" s="64" t="n">
        <v>1181</v>
      </c>
      <c r="H43" s="64" t="n">
        <v>14842</v>
      </c>
      <c r="I43" s="64" t="n">
        <v>41902</v>
      </c>
      <c r="J43" s="64" t="n">
        <v>24189</v>
      </c>
      <c r="K43" s="64" t="n">
        <v>9437</v>
      </c>
      <c r="L43">
        <f>SUMPRODUCT(B43:K43,$B$11:$K$11)/SUM(B43:K43)</f>
        <v/>
      </c>
    </row>
    <row r="44" ht="15" customHeight="1" s="82">
      <c r="A44" s="63" t="inlineStr">
        <is>
          <t>OH</t>
        </is>
      </c>
      <c r="B44" s="64" t="n">
        <v>0</v>
      </c>
      <c r="C44" s="64" t="n">
        <v>0</v>
      </c>
      <c r="D44" s="64" t="n">
        <v>0</v>
      </c>
      <c r="E44" s="64" t="n">
        <v>0</v>
      </c>
      <c r="F44" s="64" t="n">
        <v>155</v>
      </c>
      <c r="G44" s="64" t="n">
        <v>3437</v>
      </c>
      <c r="H44" s="64" t="n">
        <v>58531</v>
      </c>
      <c r="I44" s="64" t="n">
        <v>26020</v>
      </c>
      <c r="J44" s="64" t="n">
        <v>27174</v>
      </c>
      <c r="K44" s="64" t="n">
        <v>3810</v>
      </c>
      <c r="L44">
        <f>SUMPRODUCT(B44:K44,$B$11:$K$11)/SUM(B44:K44)</f>
        <v/>
      </c>
    </row>
    <row r="45" ht="15" customHeight="1" s="82">
      <c r="A45" s="63" t="inlineStr">
        <is>
          <t>OK</t>
        </is>
      </c>
      <c r="B45" s="64" t="n">
        <v>3216</v>
      </c>
      <c r="C45" s="64" t="n">
        <v>8904</v>
      </c>
      <c r="D45" s="64" t="n">
        <v>14981</v>
      </c>
      <c r="E45" s="64" t="n">
        <v>42970</v>
      </c>
      <c r="F45" s="64" t="n">
        <v>99419</v>
      </c>
      <c r="G45" s="64" t="n">
        <v>84278</v>
      </c>
      <c r="H45" s="64" t="n">
        <v>72462</v>
      </c>
      <c r="I45" s="64" t="n">
        <v>22050</v>
      </c>
      <c r="J45" s="64" t="n">
        <v>9893</v>
      </c>
      <c r="K45" s="64" t="n">
        <v>1262</v>
      </c>
      <c r="L45">
        <f>SUMPRODUCT(B45:K45,$B$11:$K$11)/SUM(B45:K45)</f>
        <v/>
      </c>
    </row>
    <row r="46" ht="15" customHeight="1" s="82">
      <c r="A46" s="63" t="inlineStr">
        <is>
          <t>OR</t>
        </is>
      </c>
      <c r="B46" s="64" t="n">
        <v>48</v>
      </c>
      <c r="C46" s="64" t="n">
        <v>33</v>
      </c>
      <c r="D46" s="64" t="n">
        <v>61</v>
      </c>
      <c r="E46" s="64" t="n">
        <v>98</v>
      </c>
      <c r="F46" s="64" t="n">
        <v>655</v>
      </c>
      <c r="G46" s="64" t="n">
        <v>5746</v>
      </c>
      <c r="H46" s="64" t="n">
        <v>32516</v>
      </c>
      <c r="I46" s="64" t="n">
        <v>83529</v>
      </c>
      <c r="J46" s="64" t="n">
        <v>70658</v>
      </c>
      <c r="K46" s="64" t="n">
        <v>103991</v>
      </c>
      <c r="L46">
        <f>SUMPRODUCT(B46:K46,$B$11:$K$11)/SUM(B46:K46)</f>
        <v/>
      </c>
    </row>
    <row r="47" ht="15" customHeight="1" s="82">
      <c r="A47" s="63" t="inlineStr">
        <is>
          <t>PA</t>
        </is>
      </c>
      <c r="B47" s="64" t="n">
        <v>0</v>
      </c>
      <c r="C47" s="64" t="n">
        <v>0</v>
      </c>
      <c r="D47" s="64" t="n">
        <v>0</v>
      </c>
      <c r="E47" s="64" t="n">
        <v>0</v>
      </c>
      <c r="F47" s="64" t="n">
        <v>0</v>
      </c>
      <c r="G47" s="64" t="n">
        <v>297</v>
      </c>
      <c r="H47" s="64" t="n">
        <v>3232</v>
      </c>
      <c r="I47" s="64" t="n">
        <v>21354</v>
      </c>
      <c r="J47" s="64" t="n">
        <v>44168</v>
      </c>
      <c r="K47" s="64" t="n">
        <v>39895</v>
      </c>
      <c r="L47">
        <f>SUMPRODUCT(B47:K47,$B$11:$K$11)/SUM(B47:K47)</f>
        <v/>
      </c>
    </row>
    <row r="48" ht="15" customHeight="1" s="82">
      <c r="A48" s="63" t="inlineStr">
        <is>
          <t>RI</t>
        </is>
      </c>
      <c r="B48" s="64" t="n">
        <v>0</v>
      </c>
      <c r="C48" s="64" t="n">
        <v>0</v>
      </c>
      <c r="D48" s="64" t="n">
        <v>0</v>
      </c>
      <c r="E48" s="64" t="n">
        <v>0</v>
      </c>
      <c r="F48" s="64" t="n">
        <v>0</v>
      </c>
      <c r="G48" s="64" t="n">
        <v>0</v>
      </c>
      <c r="H48" s="64" t="n">
        <v>0</v>
      </c>
      <c r="I48" s="64" t="n">
        <v>146</v>
      </c>
      <c r="J48" s="64" t="n">
        <v>46</v>
      </c>
      <c r="K48" s="64" t="n">
        <v>0</v>
      </c>
      <c r="L48">
        <f>SUMPRODUCT(B48:K48,$B$11:$K$11)/SUM(B48:K48)</f>
        <v/>
      </c>
    </row>
    <row r="49" ht="15" customHeight="1" s="82">
      <c r="A49" s="63" t="inlineStr">
        <is>
          <t>SC</t>
        </is>
      </c>
      <c r="B49" s="64" t="n">
        <v>0</v>
      </c>
      <c r="C49" s="64" t="n">
        <v>0</v>
      </c>
      <c r="D49" s="64" t="n">
        <v>0</v>
      </c>
      <c r="E49" s="64" t="n">
        <v>0</v>
      </c>
      <c r="F49" s="64" t="n">
        <v>0</v>
      </c>
      <c r="G49" s="64" t="n">
        <v>6</v>
      </c>
      <c r="H49" s="64" t="n">
        <v>90</v>
      </c>
      <c r="I49" s="64" t="n">
        <v>6196</v>
      </c>
      <c r="J49" s="64" t="n">
        <v>30917</v>
      </c>
      <c r="K49" s="64" t="n">
        <v>4501</v>
      </c>
      <c r="L49">
        <f>SUMPRODUCT(B49:K49,$B$11:$K$11)/SUM(B49:K49)</f>
        <v/>
      </c>
    </row>
    <row r="50" ht="15" customHeight="1" s="82">
      <c r="A50" s="63" t="inlineStr">
        <is>
          <t>SD</t>
        </is>
      </c>
      <c r="B50" s="64" t="n">
        <v>5198</v>
      </c>
      <c r="C50" s="64" t="n">
        <v>10497</v>
      </c>
      <c r="D50" s="64" t="n">
        <v>40442</v>
      </c>
      <c r="E50" s="64" t="n">
        <v>116892</v>
      </c>
      <c r="F50" s="64" t="n">
        <v>184209</v>
      </c>
      <c r="G50" s="64" t="n">
        <v>44841</v>
      </c>
      <c r="H50" s="64" t="n">
        <v>12769</v>
      </c>
      <c r="I50" s="64" t="n">
        <v>2775</v>
      </c>
      <c r="J50" s="64" t="n">
        <v>252</v>
      </c>
      <c r="K50" s="64" t="n">
        <v>4</v>
      </c>
      <c r="L50">
        <f>SUMPRODUCT(B50:K50,$B$11:$K$11)/SUM(B50:K50)</f>
        <v/>
      </c>
    </row>
    <row r="51" ht="15" customHeight="1" s="82">
      <c r="A51" s="63" t="inlineStr">
        <is>
          <t>TN</t>
        </is>
      </c>
      <c r="B51" s="64" t="n">
        <v>1</v>
      </c>
      <c r="C51" s="64" t="n">
        <v>0</v>
      </c>
      <c r="D51" s="64" t="n">
        <v>1</v>
      </c>
      <c r="E51" s="64" t="n">
        <v>1</v>
      </c>
      <c r="F51" s="64" t="n">
        <v>17</v>
      </c>
      <c r="G51" s="64" t="n">
        <v>176</v>
      </c>
      <c r="H51" s="64" t="n">
        <v>4510</v>
      </c>
      <c r="I51" s="64" t="n">
        <v>50361</v>
      </c>
      <c r="J51" s="64" t="n">
        <v>44870</v>
      </c>
      <c r="K51" s="64" t="n">
        <v>15920</v>
      </c>
      <c r="L51">
        <f>SUMPRODUCT(B51:K51,$B$11:$K$11)/SUM(B51:K51)</f>
        <v/>
      </c>
    </row>
    <row r="52" ht="15" customHeight="1" s="82">
      <c r="A52" s="63" t="inlineStr">
        <is>
          <t>TX</t>
        </is>
      </c>
      <c r="B52" s="64" t="n">
        <v>45733</v>
      </c>
      <c r="C52" s="64" t="n">
        <v>72106</v>
      </c>
      <c r="D52" s="64" t="n">
        <v>109659</v>
      </c>
      <c r="E52" s="64" t="n">
        <v>130064</v>
      </c>
      <c r="F52" s="64" t="n">
        <v>267337</v>
      </c>
      <c r="G52" s="64" t="n">
        <v>364328</v>
      </c>
      <c r="H52" s="64" t="n">
        <v>286166</v>
      </c>
      <c r="I52" s="64" t="n">
        <v>62223</v>
      </c>
      <c r="J52" s="64" t="n">
        <v>9303</v>
      </c>
      <c r="K52" s="64" t="n">
        <v>1073</v>
      </c>
      <c r="L52">
        <f>SUMPRODUCT(B52:K52,$B$11:$K$11)/SUM(B52:K52)</f>
        <v/>
      </c>
    </row>
    <row r="53" ht="15" customHeight="1" s="82">
      <c r="A53" s="63" t="inlineStr">
        <is>
          <t>UT</t>
        </is>
      </c>
      <c r="B53" s="64" t="n">
        <v>1</v>
      </c>
      <c r="C53" s="64" t="n">
        <v>0</v>
      </c>
      <c r="D53" s="64" t="n">
        <v>4</v>
      </c>
      <c r="E53" s="64" t="n">
        <v>3</v>
      </c>
      <c r="F53" s="64" t="n">
        <v>69</v>
      </c>
      <c r="G53" s="64" t="n">
        <v>1314</v>
      </c>
      <c r="H53" s="64" t="n">
        <v>26330</v>
      </c>
      <c r="I53" s="64" t="n">
        <v>79662</v>
      </c>
      <c r="J53" s="64" t="n">
        <v>84963</v>
      </c>
      <c r="K53" s="64" t="n">
        <v>85399</v>
      </c>
      <c r="L53">
        <f>SUMPRODUCT(B53:K53,$B$11:$K$11)/SUM(B53:K53)</f>
        <v/>
      </c>
    </row>
    <row r="54" ht="15" customHeight="1" s="82">
      <c r="A54" s="63" t="inlineStr">
        <is>
          <t>VA</t>
        </is>
      </c>
      <c r="B54" s="64" t="n">
        <v>3</v>
      </c>
      <c r="C54" s="64" t="n">
        <v>3</v>
      </c>
      <c r="D54" s="64" t="n">
        <v>7</v>
      </c>
      <c r="E54" s="64" t="n">
        <v>19</v>
      </c>
      <c r="F54" s="64" t="n">
        <v>85</v>
      </c>
      <c r="G54" s="64" t="n">
        <v>361</v>
      </c>
      <c r="H54" s="64" t="n">
        <v>1224</v>
      </c>
      <c r="I54" s="64" t="n">
        <v>3845</v>
      </c>
      <c r="J54" s="64" t="n">
        <v>32017</v>
      </c>
      <c r="K54" s="64" t="n">
        <v>51556</v>
      </c>
      <c r="L54">
        <f>SUMPRODUCT(B54:K54,$B$11:$K$11)/SUM(B54:K54)</f>
        <v/>
      </c>
    </row>
    <row r="55" ht="15" customHeight="1" s="82">
      <c r="A55" s="63" t="inlineStr">
        <is>
          <t>VT</t>
        </is>
      </c>
      <c r="B55" s="64" t="n">
        <v>0</v>
      </c>
      <c r="C55" s="64" t="n">
        <v>2</v>
      </c>
      <c r="D55" s="64" t="n">
        <v>3</v>
      </c>
      <c r="E55" s="64" t="n">
        <v>7</v>
      </c>
      <c r="F55" s="64" t="n">
        <v>25</v>
      </c>
      <c r="G55" s="64" t="n">
        <v>316</v>
      </c>
      <c r="H55" s="64" t="n">
        <v>1619</v>
      </c>
      <c r="I55" s="64" t="n">
        <v>6606</v>
      </c>
      <c r="J55" s="64" t="n">
        <v>7153</v>
      </c>
      <c r="K55" s="64" t="n">
        <v>6460</v>
      </c>
      <c r="L55">
        <f>SUMPRODUCT(B55:K55,$B$11:$K$11)/SUM(B55:K55)</f>
        <v/>
      </c>
    </row>
    <row r="56" ht="15" customHeight="1" s="82">
      <c r="A56" s="63" t="inlineStr">
        <is>
          <t>WA</t>
        </is>
      </c>
      <c r="B56" s="64" t="n">
        <v>38</v>
      </c>
      <c r="C56" s="64" t="n">
        <v>22</v>
      </c>
      <c r="D56" s="64" t="n">
        <v>49</v>
      </c>
      <c r="E56" s="64" t="n">
        <v>67</v>
      </c>
      <c r="F56" s="64" t="n">
        <v>546</v>
      </c>
      <c r="G56" s="64" t="n">
        <v>3916</v>
      </c>
      <c r="H56" s="64" t="n">
        <v>23249</v>
      </c>
      <c r="I56" s="64" t="n">
        <v>65388</v>
      </c>
      <c r="J56" s="64" t="n">
        <v>33461</v>
      </c>
      <c r="K56" s="64" t="n">
        <v>47488</v>
      </c>
      <c r="L56">
        <f>SUMPRODUCT(B56:K56,$B$11:$K$11)/SUM(B56:K56)</f>
        <v/>
      </c>
    </row>
    <row r="57" ht="15" customHeight="1" s="82">
      <c r="A57" s="63" t="inlineStr">
        <is>
          <t>WI</t>
        </is>
      </c>
      <c r="B57" s="64" t="n">
        <v>0</v>
      </c>
      <c r="C57" s="64" t="n">
        <v>0</v>
      </c>
      <c r="D57" s="64" t="n">
        <v>0</v>
      </c>
      <c r="E57" s="64" t="n">
        <v>7</v>
      </c>
      <c r="F57" s="64" t="n">
        <v>197</v>
      </c>
      <c r="G57" s="64" t="n">
        <v>14124</v>
      </c>
      <c r="H57" s="64" t="n">
        <v>61424</v>
      </c>
      <c r="I57" s="64" t="n">
        <v>36159</v>
      </c>
      <c r="J57" s="64" t="n">
        <v>2403</v>
      </c>
      <c r="K57" s="64" t="n">
        <v>0</v>
      </c>
      <c r="L57">
        <f>SUMPRODUCT(B57:K57,$B$11:$K$11)/SUM(B57:K57)</f>
        <v/>
      </c>
    </row>
    <row r="58" ht="15" customHeight="1" s="82">
      <c r="A58" s="63" t="inlineStr">
        <is>
          <t>WV</t>
        </is>
      </c>
      <c r="B58" s="64" t="n">
        <v>5</v>
      </c>
      <c r="C58" s="64" t="n">
        <v>6</v>
      </c>
      <c r="D58" s="64" t="n">
        <v>11</v>
      </c>
      <c r="E58" s="64" t="n">
        <v>29</v>
      </c>
      <c r="F58" s="64" t="n">
        <v>159</v>
      </c>
      <c r="G58" s="64" t="n">
        <v>688</v>
      </c>
      <c r="H58" s="64" t="n">
        <v>2849</v>
      </c>
      <c r="I58" s="64" t="n">
        <v>7004</v>
      </c>
      <c r="J58" s="64" t="n">
        <v>30253</v>
      </c>
      <c r="K58" s="64" t="n">
        <v>28094</v>
      </c>
      <c r="L58">
        <f>SUMPRODUCT(B58:K58,$B$11:$K$11)/SUM(B58:K58)</f>
        <v/>
      </c>
    </row>
    <row r="59" ht="15" customHeight="1" s="82">
      <c r="A59" s="63" t="inlineStr">
        <is>
          <t>WY</t>
        </is>
      </c>
      <c r="B59" s="64" t="n">
        <v>15209</v>
      </c>
      <c r="C59" s="64" t="n">
        <v>3980</v>
      </c>
      <c r="D59" s="64" t="n">
        <v>13639</v>
      </c>
      <c r="E59" s="64" t="n">
        <v>18533</v>
      </c>
      <c r="F59" s="64" t="n">
        <v>78414</v>
      </c>
      <c r="G59" s="64" t="n">
        <v>144895</v>
      </c>
      <c r="H59" s="64" t="n">
        <v>84042</v>
      </c>
      <c r="I59" s="64" t="n">
        <v>57684</v>
      </c>
      <c r="J59" s="64" t="n">
        <v>34444</v>
      </c>
      <c r="K59" s="64" t="n">
        <v>21578</v>
      </c>
      <c r="L59">
        <f>SUMPRODUCT(B59:K59,$B$11:$K$11)/SUM(B59:K59)</f>
        <v/>
      </c>
    </row>
    <row r="60">
      <c r="A60" s="76" t="n"/>
      <c r="B60" s="76" t="n"/>
      <c r="C60" s="76" t="n"/>
      <c r="D60" s="76" t="n"/>
      <c r="E60" s="76" t="n"/>
      <c r="F60" s="76" t="n"/>
      <c r="G60" s="76" t="n"/>
      <c r="H60" s="76" t="n"/>
      <c r="I60" s="76" t="n"/>
      <c r="J60" s="76" t="n"/>
      <c r="K60" s="76" t="n"/>
    </row>
    <row r="61">
      <c r="A61" s="76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</row>
    <row r="64" ht="15" customHeight="1" s="82">
      <c r="A64" s="65" t="inlineStr">
        <is>
          <t>Source</t>
        </is>
      </c>
      <c r="B64" s="66" t="inlineStr">
        <is>
          <t>https://windexchange.energy.gov/maps-data/321</t>
        </is>
      </c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</row>
    <row r="68">
      <c r="A68" s="12" t="n"/>
      <c r="B68" s="12" t="inlineStr">
        <is>
          <t>Class 1 - Moderate</t>
        </is>
      </c>
      <c r="C68" s="12" t="inlineStr">
        <is>
          <t>Class 2 - Moderate</t>
        </is>
      </c>
      <c r="D68" s="12" t="inlineStr">
        <is>
          <t>Class 3 - Moderate</t>
        </is>
      </c>
      <c r="E68" s="12" t="inlineStr">
        <is>
          <t>Class 4 - Moderate</t>
        </is>
      </c>
      <c r="F68" s="12" t="inlineStr">
        <is>
          <t>Class 5 - Moderate</t>
        </is>
      </c>
      <c r="G68" s="12" t="inlineStr">
        <is>
          <t>Class 6 - Moderate</t>
        </is>
      </c>
      <c r="H68" s="12" t="inlineStr">
        <is>
          <t>Class 7 - Moderate</t>
        </is>
      </c>
      <c r="I68" s="12" t="inlineStr">
        <is>
          <t>Class 8 - Moderate</t>
        </is>
      </c>
      <c r="J68" s="12" t="inlineStr">
        <is>
          <t>Class 9 - Moderate</t>
        </is>
      </c>
      <c r="K68" s="12" t="inlineStr">
        <is>
          <t>Class 10 - Moderate</t>
        </is>
      </c>
    </row>
    <row r="69">
      <c r="A69" s="13" t="n">
        <v>2018</v>
      </c>
      <c r="B69" s="16">
        <f>INDEX('NREL ATB'!$B$37:$AH$66,MATCH('Wind By State'!B$68,'NREL ATB'!$A$37:$A$66,0),MATCH('Wind By State'!$A69,'NREL ATB'!$B$36:$AH$36,0))</f>
        <v/>
      </c>
      <c r="C69" s="16">
        <f>INDEX('NREL ATB'!$B$37:$AH$66,MATCH('Wind By State'!C$68,'NREL ATB'!$A$37:$A$66,0),MATCH('Wind By State'!$A69,'NREL ATB'!$B$36:$AH$36,0))</f>
        <v/>
      </c>
      <c r="D69" s="16">
        <f>INDEX('NREL ATB'!$B$37:$AH$66,MATCH('Wind By State'!D$68,'NREL ATB'!$A$37:$A$66,0),MATCH('Wind By State'!$A69,'NREL ATB'!$B$36:$AH$36,0))</f>
        <v/>
      </c>
      <c r="E69" s="16">
        <f>INDEX('NREL ATB'!$B$37:$AH$66,MATCH('Wind By State'!E$68,'NREL ATB'!$A$37:$A$66,0),MATCH('Wind By State'!$A69,'NREL ATB'!$B$36:$AH$36,0))</f>
        <v/>
      </c>
      <c r="F69" s="16">
        <f>INDEX('NREL ATB'!$B$37:$AH$66,MATCH('Wind By State'!F$68,'NREL ATB'!$A$37:$A$66,0),MATCH('Wind By State'!$A69,'NREL ATB'!$B$36:$AH$36,0))</f>
        <v/>
      </c>
      <c r="G69" s="16">
        <f>INDEX('NREL ATB'!$B$37:$AH$66,MATCH('Wind By State'!G$68,'NREL ATB'!$A$37:$A$66,0),MATCH('Wind By State'!$A69,'NREL ATB'!$B$36:$AH$36,0))</f>
        <v/>
      </c>
      <c r="H69" s="16">
        <f>INDEX('NREL ATB'!$B$37:$AH$66,MATCH('Wind By State'!H$68,'NREL ATB'!$A$37:$A$66,0),MATCH('Wind By State'!$A69,'NREL ATB'!$B$36:$AH$36,0))</f>
        <v/>
      </c>
      <c r="I69" s="16">
        <f>INDEX('NREL ATB'!$B$37:$AH$66,MATCH('Wind By State'!I$68,'NREL ATB'!$A$37:$A$66,0),MATCH('Wind By State'!$A69,'NREL ATB'!$B$36:$AH$36,0))</f>
        <v/>
      </c>
      <c r="J69" s="16">
        <f>INDEX('NREL ATB'!$B$37:$AH$66,MATCH('Wind By State'!J$68,'NREL ATB'!$A$37:$A$66,0),MATCH('Wind By State'!$A69,'NREL ATB'!$B$36:$AH$36,0))</f>
        <v/>
      </c>
      <c r="K69" s="16">
        <f>INDEX('NREL ATB'!$B$37:$AH$66,MATCH('Wind By State'!K$68,'NREL ATB'!$A$37:$A$66,0),MATCH('Wind By State'!$A69,'NREL ATB'!$B$36:$AH$36,0))</f>
        <v/>
      </c>
      <c r="L69">
        <f>SUMPRODUCT($B69:$K69,$B$8:$K$8)/SUM($B$8:$K$8)</f>
        <v/>
      </c>
    </row>
    <row r="70">
      <c r="A70" s="13" t="n">
        <v>2019</v>
      </c>
      <c r="B70" s="16">
        <f>INDEX('NREL ATB'!$B$37:$AH$66,MATCH('Wind By State'!B$68,'NREL ATB'!$A$37:$A$66,0),MATCH('Wind By State'!$A70,'NREL ATB'!$B$36:$AH$36,0))</f>
        <v/>
      </c>
      <c r="C70" s="16">
        <f>INDEX('NREL ATB'!$B$37:$AH$66,MATCH('Wind By State'!C$68,'NREL ATB'!$A$37:$A$66,0),MATCH('Wind By State'!$A70,'NREL ATB'!$B$36:$AH$36,0))</f>
        <v/>
      </c>
      <c r="D70" s="16">
        <f>INDEX('NREL ATB'!$B$37:$AH$66,MATCH('Wind By State'!D$68,'NREL ATB'!$A$37:$A$66,0),MATCH('Wind By State'!$A70,'NREL ATB'!$B$36:$AH$36,0))</f>
        <v/>
      </c>
      <c r="E70" s="16">
        <f>INDEX('NREL ATB'!$B$37:$AH$66,MATCH('Wind By State'!E$68,'NREL ATB'!$A$37:$A$66,0),MATCH('Wind By State'!$A70,'NREL ATB'!$B$36:$AH$36,0))</f>
        <v/>
      </c>
      <c r="F70" s="16">
        <f>INDEX('NREL ATB'!$B$37:$AH$66,MATCH('Wind By State'!F$68,'NREL ATB'!$A$37:$A$66,0),MATCH('Wind By State'!$A70,'NREL ATB'!$B$36:$AH$36,0))</f>
        <v/>
      </c>
      <c r="G70" s="16">
        <f>INDEX('NREL ATB'!$B$37:$AH$66,MATCH('Wind By State'!G$68,'NREL ATB'!$A$37:$A$66,0),MATCH('Wind By State'!$A70,'NREL ATB'!$B$36:$AH$36,0))</f>
        <v/>
      </c>
      <c r="H70" s="16">
        <f>INDEX('NREL ATB'!$B$37:$AH$66,MATCH('Wind By State'!H$68,'NREL ATB'!$A$37:$A$66,0),MATCH('Wind By State'!$A70,'NREL ATB'!$B$36:$AH$36,0))</f>
        <v/>
      </c>
      <c r="I70" s="16">
        <f>INDEX('NREL ATB'!$B$37:$AH$66,MATCH('Wind By State'!I$68,'NREL ATB'!$A$37:$A$66,0),MATCH('Wind By State'!$A70,'NREL ATB'!$B$36:$AH$36,0))</f>
        <v/>
      </c>
      <c r="J70" s="16">
        <f>INDEX('NREL ATB'!$B$37:$AH$66,MATCH('Wind By State'!J$68,'NREL ATB'!$A$37:$A$66,0),MATCH('Wind By State'!$A70,'NREL ATB'!$B$36:$AH$36,0))</f>
        <v/>
      </c>
      <c r="K70" s="16">
        <f>INDEX('NREL ATB'!$B$37:$AH$66,MATCH('Wind By State'!K$68,'NREL ATB'!$A$37:$A$66,0),MATCH('Wind By State'!$A70,'NREL ATB'!$B$36:$AH$36,0))</f>
        <v/>
      </c>
      <c r="L70">
        <f>SUMPRODUCT($B70:$K70,$B$8:$K$8)/SUM($B$8:$K$8)</f>
        <v/>
      </c>
    </row>
    <row r="71">
      <c r="A71" s="13" t="n">
        <v>2020</v>
      </c>
      <c r="B71" s="16">
        <f>INDEX('NREL ATB'!$B$37:$AH$66,MATCH('Wind By State'!B$68,'NREL ATB'!$A$37:$A$66,0),MATCH('Wind By State'!$A71,'NREL ATB'!$B$36:$AH$36,0))</f>
        <v/>
      </c>
      <c r="C71" s="16">
        <f>INDEX('NREL ATB'!$B$37:$AH$66,MATCH('Wind By State'!C$68,'NREL ATB'!$A$37:$A$66,0),MATCH('Wind By State'!$A71,'NREL ATB'!$B$36:$AH$36,0))</f>
        <v/>
      </c>
      <c r="D71" s="16">
        <f>INDEX('NREL ATB'!$B$37:$AH$66,MATCH('Wind By State'!D$68,'NREL ATB'!$A$37:$A$66,0),MATCH('Wind By State'!$A71,'NREL ATB'!$B$36:$AH$36,0))</f>
        <v/>
      </c>
      <c r="E71" s="16">
        <f>INDEX('NREL ATB'!$B$37:$AH$66,MATCH('Wind By State'!E$68,'NREL ATB'!$A$37:$A$66,0),MATCH('Wind By State'!$A71,'NREL ATB'!$B$36:$AH$36,0))</f>
        <v/>
      </c>
      <c r="F71" s="16">
        <f>INDEX('NREL ATB'!$B$37:$AH$66,MATCH('Wind By State'!F$68,'NREL ATB'!$A$37:$A$66,0),MATCH('Wind By State'!$A71,'NREL ATB'!$B$36:$AH$36,0))</f>
        <v/>
      </c>
      <c r="G71" s="16">
        <f>INDEX('NREL ATB'!$B$37:$AH$66,MATCH('Wind By State'!G$68,'NREL ATB'!$A$37:$A$66,0),MATCH('Wind By State'!$A71,'NREL ATB'!$B$36:$AH$36,0))</f>
        <v/>
      </c>
      <c r="H71" s="16">
        <f>INDEX('NREL ATB'!$B$37:$AH$66,MATCH('Wind By State'!H$68,'NREL ATB'!$A$37:$A$66,0),MATCH('Wind By State'!$A71,'NREL ATB'!$B$36:$AH$36,0))</f>
        <v/>
      </c>
      <c r="I71" s="16">
        <f>INDEX('NREL ATB'!$B$37:$AH$66,MATCH('Wind By State'!I$68,'NREL ATB'!$A$37:$A$66,0),MATCH('Wind By State'!$A71,'NREL ATB'!$B$36:$AH$36,0))</f>
        <v/>
      </c>
      <c r="J71" s="16">
        <f>INDEX('NREL ATB'!$B$37:$AH$66,MATCH('Wind By State'!J$68,'NREL ATB'!$A$37:$A$66,0),MATCH('Wind By State'!$A71,'NREL ATB'!$B$36:$AH$36,0))</f>
        <v/>
      </c>
      <c r="K71" s="16">
        <f>INDEX('NREL ATB'!$B$37:$AH$66,MATCH('Wind By State'!K$68,'NREL ATB'!$A$37:$A$66,0),MATCH('Wind By State'!$A71,'NREL ATB'!$B$36:$AH$36,0))</f>
        <v/>
      </c>
      <c r="L71">
        <f>SUMPRODUCT($B71:$K71,$B$8:$K$8)/SUM($B$8:$K$8)</f>
        <v/>
      </c>
    </row>
    <row r="72">
      <c r="A72" s="13" t="n">
        <v>2021</v>
      </c>
      <c r="B72" s="16">
        <f>INDEX('NREL ATB'!$B$37:$AH$66,MATCH('Wind By State'!B$68,'NREL ATB'!$A$37:$A$66,0),MATCH('Wind By State'!$A72,'NREL ATB'!$B$36:$AH$36,0))</f>
        <v/>
      </c>
      <c r="C72" s="16">
        <f>INDEX('NREL ATB'!$B$37:$AH$66,MATCH('Wind By State'!C$68,'NREL ATB'!$A$37:$A$66,0),MATCH('Wind By State'!$A72,'NREL ATB'!$B$36:$AH$36,0))</f>
        <v/>
      </c>
      <c r="D72" s="16">
        <f>INDEX('NREL ATB'!$B$37:$AH$66,MATCH('Wind By State'!D$68,'NREL ATB'!$A$37:$A$66,0),MATCH('Wind By State'!$A72,'NREL ATB'!$B$36:$AH$36,0))</f>
        <v/>
      </c>
      <c r="E72" s="16">
        <f>INDEX('NREL ATB'!$B$37:$AH$66,MATCH('Wind By State'!E$68,'NREL ATB'!$A$37:$A$66,0),MATCH('Wind By State'!$A72,'NREL ATB'!$B$36:$AH$36,0))</f>
        <v/>
      </c>
      <c r="F72" s="16">
        <f>INDEX('NREL ATB'!$B$37:$AH$66,MATCH('Wind By State'!F$68,'NREL ATB'!$A$37:$A$66,0),MATCH('Wind By State'!$A72,'NREL ATB'!$B$36:$AH$36,0))</f>
        <v/>
      </c>
      <c r="G72" s="16">
        <f>INDEX('NREL ATB'!$B$37:$AH$66,MATCH('Wind By State'!G$68,'NREL ATB'!$A$37:$A$66,0),MATCH('Wind By State'!$A72,'NREL ATB'!$B$36:$AH$36,0))</f>
        <v/>
      </c>
      <c r="H72" s="16">
        <f>INDEX('NREL ATB'!$B$37:$AH$66,MATCH('Wind By State'!H$68,'NREL ATB'!$A$37:$A$66,0),MATCH('Wind By State'!$A72,'NREL ATB'!$B$36:$AH$36,0))</f>
        <v/>
      </c>
      <c r="I72" s="16">
        <f>INDEX('NREL ATB'!$B$37:$AH$66,MATCH('Wind By State'!I$68,'NREL ATB'!$A$37:$A$66,0),MATCH('Wind By State'!$A72,'NREL ATB'!$B$36:$AH$36,0))</f>
        <v/>
      </c>
      <c r="J72" s="16">
        <f>INDEX('NREL ATB'!$B$37:$AH$66,MATCH('Wind By State'!J$68,'NREL ATB'!$A$37:$A$66,0),MATCH('Wind By State'!$A72,'NREL ATB'!$B$36:$AH$36,0))</f>
        <v/>
      </c>
      <c r="K72" s="16">
        <f>INDEX('NREL ATB'!$B$37:$AH$66,MATCH('Wind By State'!K$68,'NREL ATB'!$A$37:$A$66,0),MATCH('Wind By State'!$A72,'NREL ATB'!$B$36:$AH$36,0))</f>
        <v/>
      </c>
      <c r="L72">
        <f>SUMPRODUCT($B72:$K72,$B$8:$K$8)/SUM($B$8:$K$8)</f>
        <v/>
      </c>
    </row>
    <row r="73">
      <c r="A73" s="13" t="n">
        <v>2022</v>
      </c>
      <c r="B73" s="16">
        <f>INDEX('NREL ATB'!$B$37:$AH$66,MATCH('Wind By State'!B$68,'NREL ATB'!$A$37:$A$66,0),MATCH('Wind By State'!$A73,'NREL ATB'!$B$36:$AH$36,0))</f>
        <v/>
      </c>
      <c r="C73" s="16">
        <f>INDEX('NREL ATB'!$B$37:$AH$66,MATCH('Wind By State'!C$68,'NREL ATB'!$A$37:$A$66,0),MATCH('Wind By State'!$A73,'NREL ATB'!$B$36:$AH$36,0))</f>
        <v/>
      </c>
      <c r="D73" s="16">
        <f>INDEX('NREL ATB'!$B$37:$AH$66,MATCH('Wind By State'!D$68,'NREL ATB'!$A$37:$A$66,0),MATCH('Wind By State'!$A73,'NREL ATB'!$B$36:$AH$36,0))</f>
        <v/>
      </c>
      <c r="E73" s="16">
        <f>INDEX('NREL ATB'!$B$37:$AH$66,MATCH('Wind By State'!E$68,'NREL ATB'!$A$37:$A$66,0),MATCH('Wind By State'!$A73,'NREL ATB'!$B$36:$AH$36,0))</f>
        <v/>
      </c>
      <c r="F73" s="16">
        <f>INDEX('NREL ATB'!$B$37:$AH$66,MATCH('Wind By State'!F$68,'NREL ATB'!$A$37:$A$66,0),MATCH('Wind By State'!$A73,'NREL ATB'!$B$36:$AH$36,0))</f>
        <v/>
      </c>
      <c r="G73" s="16">
        <f>INDEX('NREL ATB'!$B$37:$AH$66,MATCH('Wind By State'!G$68,'NREL ATB'!$A$37:$A$66,0),MATCH('Wind By State'!$A73,'NREL ATB'!$B$36:$AH$36,0))</f>
        <v/>
      </c>
      <c r="H73" s="16">
        <f>INDEX('NREL ATB'!$B$37:$AH$66,MATCH('Wind By State'!H$68,'NREL ATB'!$A$37:$A$66,0),MATCH('Wind By State'!$A73,'NREL ATB'!$B$36:$AH$36,0))</f>
        <v/>
      </c>
      <c r="I73" s="16">
        <f>INDEX('NREL ATB'!$B$37:$AH$66,MATCH('Wind By State'!I$68,'NREL ATB'!$A$37:$A$66,0),MATCH('Wind By State'!$A73,'NREL ATB'!$B$36:$AH$36,0))</f>
        <v/>
      </c>
      <c r="J73" s="16">
        <f>INDEX('NREL ATB'!$B$37:$AH$66,MATCH('Wind By State'!J$68,'NREL ATB'!$A$37:$A$66,0),MATCH('Wind By State'!$A73,'NREL ATB'!$B$36:$AH$36,0))</f>
        <v/>
      </c>
      <c r="K73" s="16">
        <f>INDEX('NREL ATB'!$B$37:$AH$66,MATCH('Wind By State'!K$68,'NREL ATB'!$A$37:$A$66,0),MATCH('Wind By State'!$A73,'NREL ATB'!$B$36:$AH$36,0))</f>
        <v/>
      </c>
      <c r="L73">
        <f>SUMPRODUCT($B73:$K73,$B$8:$K$8)/SUM($B$8:$K$8)</f>
        <v/>
      </c>
    </row>
    <row r="74">
      <c r="A74" s="13" t="n">
        <v>2023</v>
      </c>
      <c r="B74" s="16">
        <f>INDEX('NREL ATB'!$B$37:$AH$66,MATCH('Wind By State'!B$68,'NREL ATB'!$A$37:$A$66,0),MATCH('Wind By State'!$A74,'NREL ATB'!$B$36:$AH$36,0))</f>
        <v/>
      </c>
      <c r="C74" s="16">
        <f>INDEX('NREL ATB'!$B$37:$AH$66,MATCH('Wind By State'!C$68,'NREL ATB'!$A$37:$A$66,0),MATCH('Wind By State'!$A74,'NREL ATB'!$B$36:$AH$36,0))</f>
        <v/>
      </c>
      <c r="D74" s="16">
        <f>INDEX('NREL ATB'!$B$37:$AH$66,MATCH('Wind By State'!D$68,'NREL ATB'!$A$37:$A$66,0),MATCH('Wind By State'!$A74,'NREL ATB'!$B$36:$AH$36,0))</f>
        <v/>
      </c>
      <c r="E74" s="16">
        <f>INDEX('NREL ATB'!$B$37:$AH$66,MATCH('Wind By State'!E$68,'NREL ATB'!$A$37:$A$66,0),MATCH('Wind By State'!$A74,'NREL ATB'!$B$36:$AH$36,0))</f>
        <v/>
      </c>
      <c r="F74" s="16">
        <f>INDEX('NREL ATB'!$B$37:$AH$66,MATCH('Wind By State'!F$68,'NREL ATB'!$A$37:$A$66,0),MATCH('Wind By State'!$A74,'NREL ATB'!$B$36:$AH$36,0))</f>
        <v/>
      </c>
      <c r="G74" s="16">
        <f>INDEX('NREL ATB'!$B$37:$AH$66,MATCH('Wind By State'!G$68,'NREL ATB'!$A$37:$A$66,0),MATCH('Wind By State'!$A74,'NREL ATB'!$B$36:$AH$36,0))</f>
        <v/>
      </c>
      <c r="H74" s="16">
        <f>INDEX('NREL ATB'!$B$37:$AH$66,MATCH('Wind By State'!H$68,'NREL ATB'!$A$37:$A$66,0),MATCH('Wind By State'!$A74,'NREL ATB'!$B$36:$AH$36,0))</f>
        <v/>
      </c>
      <c r="I74" s="16">
        <f>INDEX('NREL ATB'!$B$37:$AH$66,MATCH('Wind By State'!I$68,'NREL ATB'!$A$37:$A$66,0),MATCH('Wind By State'!$A74,'NREL ATB'!$B$36:$AH$36,0))</f>
        <v/>
      </c>
      <c r="J74" s="16">
        <f>INDEX('NREL ATB'!$B$37:$AH$66,MATCH('Wind By State'!J$68,'NREL ATB'!$A$37:$A$66,0),MATCH('Wind By State'!$A74,'NREL ATB'!$B$36:$AH$36,0))</f>
        <v/>
      </c>
      <c r="K74" s="16">
        <f>INDEX('NREL ATB'!$B$37:$AH$66,MATCH('Wind By State'!K$68,'NREL ATB'!$A$37:$A$66,0),MATCH('Wind By State'!$A74,'NREL ATB'!$B$36:$AH$36,0))</f>
        <v/>
      </c>
      <c r="L74">
        <f>SUMPRODUCT($B74:$K74,$B$8:$K$8)/SUM($B$8:$K$8)</f>
        <v/>
      </c>
    </row>
    <row r="75">
      <c r="A75" s="13" t="n">
        <v>2024</v>
      </c>
      <c r="B75" s="16">
        <f>INDEX('NREL ATB'!$B$37:$AH$66,MATCH('Wind By State'!B$68,'NREL ATB'!$A$37:$A$66,0),MATCH('Wind By State'!$A75,'NREL ATB'!$B$36:$AH$36,0))</f>
        <v/>
      </c>
      <c r="C75" s="16">
        <f>INDEX('NREL ATB'!$B$37:$AH$66,MATCH('Wind By State'!C$68,'NREL ATB'!$A$37:$A$66,0),MATCH('Wind By State'!$A75,'NREL ATB'!$B$36:$AH$36,0))</f>
        <v/>
      </c>
      <c r="D75" s="16">
        <f>INDEX('NREL ATB'!$B$37:$AH$66,MATCH('Wind By State'!D$68,'NREL ATB'!$A$37:$A$66,0),MATCH('Wind By State'!$A75,'NREL ATB'!$B$36:$AH$36,0))</f>
        <v/>
      </c>
      <c r="E75" s="16">
        <f>INDEX('NREL ATB'!$B$37:$AH$66,MATCH('Wind By State'!E$68,'NREL ATB'!$A$37:$A$66,0),MATCH('Wind By State'!$A75,'NREL ATB'!$B$36:$AH$36,0))</f>
        <v/>
      </c>
      <c r="F75" s="16">
        <f>INDEX('NREL ATB'!$B$37:$AH$66,MATCH('Wind By State'!F$68,'NREL ATB'!$A$37:$A$66,0),MATCH('Wind By State'!$A75,'NREL ATB'!$B$36:$AH$36,0))</f>
        <v/>
      </c>
      <c r="G75" s="16">
        <f>INDEX('NREL ATB'!$B$37:$AH$66,MATCH('Wind By State'!G$68,'NREL ATB'!$A$37:$A$66,0),MATCH('Wind By State'!$A75,'NREL ATB'!$B$36:$AH$36,0))</f>
        <v/>
      </c>
      <c r="H75" s="16">
        <f>INDEX('NREL ATB'!$B$37:$AH$66,MATCH('Wind By State'!H$68,'NREL ATB'!$A$37:$A$66,0),MATCH('Wind By State'!$A75,'NREL ATB'!$B$36:$AH$36,0))</f>
        <v/>
      </c>
      <c r="I75" s="16">
        <f>INDEX('NREL ATB'!$B$37:$AH$66,MATCH('Wind By State'!I$68,'NREL ATB'!$A$37:$A$66,0),MATCH('Wind By State'!$A75,'NREL ATB'!$B$36:$AH$36,0))</f>
        <v/>
      </c>
      <c r="J75" s="16">
        <f>INDEX('NREL ATB'!$B$37:$AH$66,MATCH('Wind By State'!J$68,'NREL ATB'!$A$37:$A$66,0),MATCH('Wind By State'!$A75,'NREL ATB'!$B$36:$AH$36,0))</f>
        <v/>
      </c>
      <c r="K75" s="16">
        <f>INDEX('NREL ATB'!$B$37:$AH$66,MATCH('Wind By State'!K$68,'NREL ATB'!$A$37:$A$66,0),MATCH('Wind By State'!$A75,'NREL ATB'!$B$36:$AH$36,0))</f>
        <v/>
      </c>
      <c r="L75">
        <f>SUMPRODUCT($B75:$K75,$B$8:$K$8)/SUM($B$8:$K$8)</f>
        <v/>
      </c>
    </row>
    <row r="76">
      <c r="A76" s="13" t="n">
        <v>2025</v>
      </c>
      <c r="B76" s="16">
        <f>INDEX('NREL ATB'!$B$37:$AH$66,MATCH('Wind By State'!B$68,'NREL ATB'!$A$37:$A$66,0),MATCH('Wind By State'!$A76,'NREL ATB'!$B$36:$AH$36,0))</f>
        <v/>
      </c>
      <c r="C76" s="16">
        <f>INDEX('NREL ATB'!$B$37:$AH$66,MATCH('Wind By State'!C$68,'NREL ATB'!$A$37:$A$66,0),MATCH('Wind By State'!$A76,'NREL ATB'!$B$36:$AH$36,0))</f>
        <v/>
      </c>
      <c r="D76" s="16">
        <f>INDEX('NREL ATB'!$B$37:$AH$66,MATCH('Wind By State'!D$68,'NREL ATB'!$A$37:$A$66,0),MATCH('Wind By State'!$A76,'NREL ATB'!$B$36:$AH$36,0))</f>
        <v/>
      </c>
      <c r="E76" s="16">
        <f>INDEX('NREL ATB'!$B$37:$AH$66,MATCH('Wind By State'!E$68,'NREL ATB'!$A$37:$A$66,0),MATCH('Wind By State'!$A76,'NREL ATB'!$B$36:$AH$36,0))</f>
        <v/>
      </c>
      <c r="F76" s="16">
        <f>INDEX('NREL ATB'!$B$37:$AH$66,MATCH('Wind By State'!F$68,'NREL ATB'!$A$37:$A$66,0),MATCH('Wind By State'!$A76,'NREL ATB'!$B$36:$AH$36,0))</f>
        <v/>
      </c>
      <c r="G76" s="16">
        <f>INDEX('NREL ATB'!$B$37:$AH$66,MATCH('Wind By State'!G$68,'NREL ATB'!$A$37:$A$66,0),MATCH('Wind By State'!$A76,'NREL ATB'!$B$36:$AH$36,0))</f>
        <v/>
      </c>
      <c r="H76" s="16">
        <f>INDEX('NREL ATB'!$B$37:$AH$66,MATCH('Wind By State'!H$68,'NREL ATB'!$A$37:$A$66,0),MATCH('Wind By State'!$A76,'NREL ATB'!$B$36:$AH$36,0))</f>
        <v/>
      </c>
      <c r="I76" s="16">
        <f>INDEX('NREL ATB'!$B$37:$AH$66,MATCH('Wind By State'!I$68,'NREL ATB'!$A$37:$A$66,0),MATCH('Wind By State'!$A76,'NREL ATB'!$B$36:$AH$36,0))</f>
        <v/>
      </c>
      <c r="J76" s="16">
        <f>INDEX('NREL ATB'!$B$37:$AH$66,MATCH('Wind By State'!J$68,'NREL ATB'!$A$37:$A$66,0),MATCH('Wind By State'!$A76,'NREL ATB'!$B$36:$AH$36,0))</f>
        <v/>
      </c>
      <c r="K76" s="16">
        <f>INDEX('NREL ATB'!$B$37:$AH$66,MATCH('Wind By State'!K$68,'NREL ATB'!$A$37:$A$66,0),MATCH('Wind By State'!$A76,'NREL ATB'!$B$36:$AH$36,0))</f>
        <v/>
      </c>
      <c r="L76">
        <f>SUMPRODUCT($B76:$K76,$B$8:$K$8)/SUM($B$8:$K$8)</f>
        <v/>
      </c>
    </row>
    <row r="77">
      <c r="A77" s="13" t="n">
        <v>2026</v>
      </c>
      <c r="B77" s="16">
        <f>INDEX('NREL ATB'!$B$37:$AH$66,MATCH('Wind By State'!B$68,'NREL ATB'!$A$37:$A$66,0),MATCH('Wind By State'!$A77,'NREL ATB'!$B$36:$AH$36,0))</f>
        <v/>
      </c>
      <c r="C77" s="16">
        <f>INDEX('NREL ATB'!$B$37:$AH$66,MATCH('Wind By State'!C$68,'NREL ATB'!$A$37:$A$66,0),MATCH('Wind By State'!$A77,'NREL ATB'!$B$36:$AH$36,0))</f>
        <v/>
      </c>
      <c r="D77" s="16">
        <f>INDEX('NREL ATB'!$B$37:$AH$66,MATCH('Wind By State'!D$68,'NREL ATB'!$A$37:$A$66,0),MATCH('Wind By State'!$A77,'NREL ATB'!$B$36:$AH$36,0))</f>
        <v/>
      </c>
      <c r="E77" s="16">
        <f>INDEX('NREL ATB'!$B$37:$AH$66,MATCH('Wind By State'!E$68,'NREL ATB'!$A$37:$A$66,0),MATCH('Wind By State'!$A77,'NREL ATB'!$B$36:$AH$36,0))</f>
        <v/>
      </c>
      <c r="F77" s="16">
        <f>INDEX('NREL ATB'!$B$37:$AH$66,MATCH('Wind By State'!F$68,'NREL ATB'!$A$37:$A$66,0),MATCH('Wind By State'!$A77,'NREL ATB'!$B$36:$AH$36,0))</f>
        <v/>
      </c>
      <c r="G77" s="16">
        <f>INDEX('NREL ATB'!$B$37:$AH$66,MATCH('Wind By State'!G$68,'NREL ATB'!$A$37:$A$66,0),MATCH('Wind By State'!$A77,'NREL ATB'!$B$36:$AH$36,0))</f>
        <v/>
      </c>
      <c r="H77" s="16">
        <f>INDEX('NREL ATB'!$B$37:$AH$66,MATCH('Wind By State'!H$68,'NREL ATB'!$A$37:$A$66,0),MATCH('Wind By State'!$A77,'NREL ATB'!$B$36:$AH$36,0))</f>
        <v/>
      </c>
      <c r="I77" s="16">
        <f>INDEX('NREL ATB'!$B$37:$AH$66,MATCH('Wind By State'!I$68,'NREL ATB'!$A$37:$A$66,0),MATCH('Wind By State'!$A77,'NREL ATB'!$B$36:$AH$36,0))</f>
        <v/>
      </c>
      <c r="J77" s="16">
        <f>INDEX('NREL ATB'!$B$37:$AH$66,MATCH('Wind By State'!J$68,'NREL ATB'!$A$37:$A$66,0),MATCH('Wind By State'!$A77,'NREL ATB'!$B$36:$AH$36,0))</f>
        <v/>
      </c>
      <c r="K77" s="16">
        <f>INDEX('NREL ATB'!$B$37:$AH$66,MATCH('Wind By State'!K$68,'NREL ATB'!$A$37:$A$66,0),MATCH('Wind By State'!$A77,'NREL ATB'!$B$36:$AH$36,0))</f>
        <v/>
      </c>
      <c r="L77">
        <f>SUMPRODUCT($B77:$K77,$B$8:$K$8)/SUM($B$8:$K$8)</f>
        <v/>
      </c>
    </row>
    <row r="78">
      <c r="A78" s="13" t="n">
        <v>2027</v>
      </c>
      <c r="B78" s="16">
        <f>INDEX('NREL ATB'!$B$37:$AH$66,MATCH('Wind By State'!B$68,'NREL ATB'!$A$37:$A$66,0),MATCH('Wind By State'!$A78,'NREL ATB'!$B$36:$AH$36,0))</f>
        <v/>
      </c>
      <c r="C78" s="16">
        <f>INDEX('NREL ATB'!$B$37:$AH$66,MATCH('Wind By State'!C$68,'NREL ATB'!$A$37:$A$66,0),MATCH('Wind By State'!$A78,'NREL ATB'!$B$36:$AH$36,0))</f>
        <v/>
      </c>
      <c r="D78" s="16">
        <f>INDEX('NREL ATB'!$B$37:$AH$66,MATCH('Wind By State'!D$68,'NREL ATB'!$A$37:$A$66,0),MATCH('Wind By State'!$A78,'NREL ATB'!$B$36:$AH$36,0))</f>
        <v/>
      </c>
      <c r="E78" s="16">
        <f>INDEX('NREL ATB'!$B$37:$AH$66,MATCH('Wind By State'!E$68,'NREL ATB'!$A$37:$A$66,0),MATCH('Wind By State'!$A78,'NREL ATB'!$B$36:$AH$36,0))</f>
        <v/>
      </c>
      <c r="F78" s="16">
        <f>INDEX('NREL ATB'!$B$37:$AH$66,MATCH('Wind By State'!F$68,'NREL ATB'!$A$37:$A$66,0),MATCH('Wind By State'!$A78,'NREL ATB'!$B$36:$AH$36,0))</f>
        <v/>
      </c>
      <c r="G78" s="16">
        <f>INDEX('NREL ATB'!$B$37:$AH$66,MATCH('Wind By State'!G$68,'NREL ATB'!$A$37:$A$66,0),MATCH('Wind By State'!$A78,'NREL ATB'!$B$36:$AH$36,0))</f>
        <v/>
      </c>
      <c r="H78" s="16">
        <f>INDEX('NREL ATB'!$B$37:$AH$66,MATCH('Wind By State'!H$68,'NREL ATB'!$A$37:$A$66,0),MATCH('Wind By State'!$A78,'NREL ATB'!$B$36:$AH$36,0))</f>
        <v/>
      </c>
      <c r="I78" s="16">
        <f>INDEX('NREL ATB'!$B$37:$AH$66,MATCH('Wind By State'!I$68,'NREL ATB'!$A$37:$A$66,0),MATCH('Wind By State'!$A78,'NREL ATB'!$B$36:$AH$36,0))</f>
        <v/>
      </c>
      <c r="J78" s="16">
        <f>INDEX('NREL ATB'!$B$37:$AH$66,MATCH('Wind By State'!J$68,'NREL ATB'!$A$37:$A$66,0),MATCH('Wind By State'!$A78,'NREL ATB'!$B$36:$AH$36,0))</f>
        <v/>
      </c>
      <c r="K78" s="16">
        <f>INDEX('NREL ATB'!$B$37:$AH$66,MATCH('Wind By State'!K$68,'NREL ATB'!$A$37:$A$66,0),MATCH('Wind By State'!$A78,'NREL ATB'!$B$36:$AH$36,0))</f>
        <v/>
      </c>
      <c r="L78">
        <f>SUMPRODUCT($B78:$K78,$B$8:$K$8)/SUM($B$8:$K$8)</f>
        <v/>
      </c>
    </row>
    <row r="79">
      <c r="A79" s="13" t="n">
        <v>2028</v>
      </c>
      <c r="B79" s="16">
        <f>INDEX('NREL ATB'!$B$37:$AH$66,MATCH('Wind By State'!B$68,'NREL ATB'!$A$37:$A$66,0),MATCH('Wind By State'!$A79,'NREL ATB'!$B$36:$AH$36,0))</f>
        <v/>
      </c>
      <c r="C79" s="16">
        <f>INDEX('NREL ATB'!$B$37:$AH$66,MATCH('Wind By State'!C$68,'NREL ATB'!$A$37:$A$66,0),MATCH('Wind By State'!$A79,'NREL ATB'!$B$36:$AH$36,0))</f>
        <v/>
      </c>
      <c r="D79" s="16">
        <f>INDEX('NREL ATB'!$B$37:$AH$66,MATCH('Wind By State'!D$68,'NREL ATB'!$A$37:$A$66,0),MATCH('Wind By State'!$A79,'NREL ATB'!$B$36:$AH$36,0))</f>
        <v/>
      </c>
      <c r="E79" s="16">
        <f>INDEX('NREL ATB'!$B$37:$AH$66,MATCH('Wind By State'!E$68,'NREL ATB'!$A$37:$A$66,0),MATCH('Wind By State'!$A79,'NREL ATB'!$B$36:$AH$36,0))</f>
        <v/>
      </c>
      <c r="F79" s="16">
        <f>INDEX('NREL ATB'!$B$37:$AH$66,MATCH('Wind By State'!F$68,'NREL ATB'!$A$37:$A$66,0),MATCH('Wind By State'!$A79,'NREL ATB'!$B$36:$AH$36,0))</f>
        <v/>
      </c>
      <c r="G79" s="16">
        <f>INDEX('NREL ATB'!$B$37:$AH$66,MATCH('Wind By State'!G$68,'NREL ATB'!$A$37:$A$66,0),MATCH('Wind By State'!$A79,'NREL ATB'!$B$36:$AH$36,0))</f>
        <v/>
      </c>
      <c r="H79" s="16">
        <f>INDEX('NREL ATB'!$B$37:$AH$66,MATCH('Wind By State'!H$68,'NREL ATB'!$A$37:$A$66,0),MATCH('Wind By State'!$A79,'NREL ATB'!$B$36:$AH$36,0))</f>
        <v/>
      </c>
      <c r="I79" s="16">
        <f>INDEX('NREL ATB'!$B$37:$AH$66,MATCH('Wind By State'!I$68,'NREL ATB'!$A$37:$A$66,0),MATCH('Wind By State'!$A79,'NREL ATB'!$B$36:$AH$36,0))</f>
        <v/>
      </c>
      <c r="J79" s="16">
        <f>INDEX('NREL ATB'!$B$37:$AH$66,MATCH('Wind By State'!J$68,'NREL ATB'!$A$37:$A$66,0),MATCH('Wind By State'!$A79,'NREL ATB'!$B$36:$AH$36,0))</f>
        <v/>
      </c>
      <c r="K79" s="16">
        <f>INDEX('NREL ATB'!$B$37:$AH$66,MATCH('Wind By State'!K$68,'NREL ATB'!$A$37:$A$66,0),MATCH('Wind By State'!$A79,'NREL ATB'!$B$36:$AH$36,0))</f>
        <v/>
      </c>
      <c r="L79">
        <f>SUMPRODUCT($B79:$K79,$B$8:$K$8)/SUM($B$8:$K$8)</f>
        <v/>
      </c>
    </row>
    <row r="80">
      <c r="A80" s="13" t="n">
        <v>2029</v>
      </c>
      <c r="B80" s="16">
        <f>INDEX('NREL ATB'!$B$37:$AH$66,MATCH('Wind By State'!B$68,'NREL ATB'!$A$37:$A$66,0),MATCH('Wind By State'!$A80,'NREL ATB'!$B$36:$AH$36,0))</f>
        <v/>
      </c>
      <c r="C80" s="16">
        <f>INDEX('NREL ATB'!$B$37:$AH$66,MATCH('Wind By State'!C$68,'NREL ATB'!$A$37:$A$66,0),MATCH('Wind By State'!$A80,'NREL ATB'!$B$36:$AH$36,0))</f>
        <v/>
      </c>
      <c r="D80" s="16">
        <f>INDEX('NREL ATB'!$B$37:$AH$66,MATCH('Wind By State'!D$68,'NREL ATB'!$A$37:$A$66,0),MATCH('Wind By State'!$A80,'NREL ATB'!$B$36:$AH$36,0))</f>
        <v/>
      </c>
      <c r="E80" s="16">
        <f>INDEX('NREL ATB'!$B$37:$AH$66,MATCH('Wind By State'!E$68,'NREL ATB'!$A$37:$A$66,0),MATCH('Wind By State'!$A80,'NREL ATB'!$B$36:$AH$36,0))</f>
        <v/>
      </c>
      <c r="F80" s="16">
        <f>INDEX('NREL ATB'!$B$37:$AH$66,MATCH('Wind By State'!F$68,'NREL ATB'!$A$37:$A$66,0),MATCH('Wind By State'!$A80,'NREL ATB'!$B$36:$AH$36,0))</f>
        <v/>
      </c>
      <c r="G80" s="16">
        <f>INDEX('NREL ATB'!$B$37:$AH$66,MATCH('Wind By State'!G$68,'NREL ATB'!$A$37:$A$66,0),MATCH('Wind By State'!$A80,'NREL ATB'!$B$36:$AH$36,0))</f>
        <v/>
      </c>
      <c r="H80" s="16">
        <f>INDEX('NREL ATB'!$B$37:$AH$66,MATCH('Wind By State'!H$68,'NREL ATB'!$A$37:$A$66,0),MATCH('Wind By State'!$A80,'NREL ATB'!$B$36:$AH$36,0))</f>
        <v/>
      </c>
      <c r="I80" s="16">
        <f>INDEX('NREL ATB'!$B$37:$AH$66,MATCH('Wind By State'!I$68,'NREL ATB'!$A$37:$A$66,0),MATCH('Wind By State'!$A80,'NREL ATB'!$B$36:$AH$36,0))</f>
        <v/>
      </c>
      <c r="J80" s="16">
        <f>INDEX('NREL ATB'!$B$37:$AH$66,MATCH('Wind By State'!J$68,'NREL ATB'!$A$37:$A$66,0),MATCH('Wind By State'!$A80,'NREL ATB'!$B$36:$AH$36,0))</f>
        <v/>
      </c>
      <c r="K80" s="16">
        <f>INDEX('NREL ATB'!$B$37:$AH$66,MATCH('Wind By State'!K$68,'NREL ATB'!$A$37:$A$66,0),MATCH('Wind By State'!$A80,'NREL ATB'!$B$36:$AH$36,0))</f>
        <v/>
      </c>
      <c r="L80">
        <f>SUMPRODUCT($B80:$K80,$B$8:$K$8)/SUM($B$8:$K$8)</f>
        <v/>
      </c>
    </row>
    <row r="81">
      <c r="A81" s="13" t="n">
        <v>2030</v>
      </c>
      <c r="B81" s="16">
        <f>INDEX('NREL ATB'!$B$37:$AH$66,MATCH('Wind By State'!B$68,'NREL ATB'!$A$37:$A$66,0),MATCH('Wind By State'!$A81,'NREL ATB'!$B$36:$AH$36,0))</f>
        <v/>
      </c>
      <c r="C81" s="16">
        <f>INDEX('NREL ATB'!$B$37:$AH$66,MATCH('Wind By State'!C$68,'NREL ATB'!$A$37:$A$66,0),MATCH('Wind By State'!$A81,'NREL ATB'!$B$36:$AH$36,0))</f>
        <v/>
      </c>
      <c r="D81" s="16">
        <f>INDEX('NREL ATB'!$B$37:$AH$66,MATCH('Wind By State'!D$68,'NREL ATB'!$A$37:$A$66,0),MATCH('Wind By State'!$A81,'NREL ATB'!$B$36:$AH$36,0))</f>
        <v/>
      </c>
      <c r="E81" s="16">
        <f>INDEX('NREL ATB'!$B$37:$AH$66,MATCH('Wind By State'!E$68,'NREL ATB'!$A$37:$A$66,0),MATCH('Wind By State'!$A81,'NREL ATB'!$B$36:$AH$36,0))</f>
        <v/>
      </c>
      <c r="F81" s="16">
        <f>INDEX('NREL ATB'!$B$37:$AH$66,MATCH('Wind By State'!F$68,'NREL ATB'!$A$37:$A$66,0),MATCH('Wind By State'!$A81,'NREL ATB'!$B$36:$AH$36,0))</f>
        <v/>
      </c>
      <c r="G81" s="16">
        <f>INDEX('NREL ATB'!$B$37:$AH$66,MATCH('Wind By State'!G$68,'NREL ATB'!$A$37:$A$66,0),MATCH('Wind By State'!$A81,'NREL ATB'!$B$36:$AH$36,0))</f>
        <v/>
      </c>
      <c r="H81" s="16">
        <f>INDEX('NREL ATB'!$B$37:$AH$66,MATCH('Wind By State'!H$68,'NREL ATB'!$A$37:$A$66,0),MATCH('Wind By State'!$A81,'NREL ATB'!$B$36:$AH$36,0))</f>
        <v/>
      </c>
      <c r="I81" s="16">
        <f>INDEX('NREL ATB'!$B$37:$AH$66,MATCH('Wind By State'!I$68,'NREL ATB'!$A$37:$A$66,0),MATCH('Wind By State'!$A81,'NREL ATB'!$B$36:$AH$36,0))</f>
        <v/>
      </c>
      <c r="J81" s="16">
        <f>INDEX('NREL ATB'!$B$37:$AH$66,MATCH('Wind By State'!J$68,'NREL ATB'!$A$37:$A$66,0),MATCH('Wind By State'!$A81,'NREL ATB'!$B$36:$AH$36,0))</f>
        <v/>
      </c>
      <c r="K81" s="16">
        <f>INDEX('NREL ATB'!$B$37:$AH$66,MATCH('Wind By State'!K$68,'NREL ATB'!$A$37:$A$66,0),MATCH('Wind By State'!$A81,'NREL ATB'!$B$36:$AH$36,0))</f>
        <v/>
      </c>
      <c r="L81">
        <f>SUMPRODUCT($B81:$K81,$B$8:$K$8)/SUM($B$8:$K$8)</f>
        <v/>
      </c>
    </row>
    <row r="82">
      <c r="A82" s="13" t="n">
        <v>2031</v>
      </c>
      <c r="B82" s="16">
        <f>INDEX('NREL ATB'!$B$37:$AH$66,MATCH('Wind By State'!B$68,'NREL ATB'!$A$37:$A$66,0),MATCH('Wind By State'!$A82,'NREL ATB'!$B$36:$AH$36,0))</f>
        <v/>
      </c>
      <c r="C82" s="16">
        <f>INDEX('NREL ATB'!$B$37:$AH$66,MATCH('Wind By State'!C$68,'NREL ATB'!$A$37:$A$66,0),MATCH('Wind By State'!$A82,'NREL ATB'!$B$36:$AH$36,0))</f>
        <v/>
      </c>
      <c r="D82" s="16">
        <f>INDEX('NREL ATB'!$B$37:$AH$66,MATCH('Wind By State'!D$68,'NREL ATB'!$A$37:$A$66,0),MATCH('Wind By State'!$A82,'NREL ATB'!$B$36:$AH$36,0))</f>
        <v/>
      </c>
      <c r="E82" s="16">
        <f>INDEX('NREL ATB'!$B$37:$AH$66,MATCH('Wind By State'!E$68,'NREL ATB'!$A$37:$A$66,0),MATCH('Wind By State'!$A82,'NREL ATB'!$B$36:$AH$36,0))</f>
        <v/>
      </c>
      <c r="F82" s="16">
        <f>INDEX('NREL ATB'!$B$37:$AH$66,MATCH('Wind By State'!F$68,'NREL ATB'!$A$37:$A$66,0),MATCH('Wind By State'!$A82,'NREL ATB'!$B$36:$AH$36,0))</f>
        <v/>
      </c>
      <c r="G82" s="16">
        <f>INDEX('NREL ATB'!$B$37:$AH$66,MATCH('Wind By State'!G$68,'NREL ATB'!$A$37:$A$66,0),MATCH('Wind By State'!$A82,'NREL ATB'!$B$36:$AH$36,0))</f>
        <v/>
      </c>
      <c r="H82" s="16">
        <f>INDEX('NREL ATB'!$B$37:$AH$66,MATCH('Wind By State'!H$68,'NREL ATB'!$A$37:$A$66,0),MATCH('Wind By State'!$A82,'NREL ATB'!$B$36:$AH$36,0))</f>
        <v/>
      </c>
      <c r="I82" s="16">
        <f>INDEX('NREL ATB'!$B$37:$AH$66,MATCH('Wind By State'!I$68,'NREL ATB'!$A$37:$A$66,0),MATCH('Wind By State'!$A82,'NREL ATB'!$B$36:$AH$36,0))</f>
        <v/>
      </c>
      <c r="J82" s="16">
        <f>INDEX('NREL ATB'!$B$37:$AH$66,MATCH('Wind By State'!J$68,'NREL ATB'!$A$37:$A$66,0),MATCH('Wind By State'!$A82,'NREL ATB'!$B$36:$AH$36,0))</f>
        <v/>
      </c>
      <c r="K82" s="16">
        <f>INDEX('NREL ATB'!$B$37:$AH$66,MATCH('Wind By State'!K$68,'NREL ATB'!$A$37:$A$66,0),MATCH('Wind By State'!$A82,'NREL ATB'!$B$36:$AH$36,0))</f>
        <v/>
      </c>
      <c r="L82">
        <f>SUMPRODUCT($B82:$K82,$B$8:$K$8)/SUM($B$8:$K$8)</f>
        <v/>
      </c>
    </row>
    <row r="83">
      <c r="A83" s="13" t="n">
        <v>2032</v>
      </c>
      <c r="B83" s="16">
        <f>INDEX('NREL ATB'!$B$37:$AH$66,MATCH('Wind By State'!B$68,'NREL ATB'!$A$37:$A$66,0),MATCH('Wind By State'!$A83,'NREL ATB'!$B$36:$AH$36,0))</f>
        <v/>
      </c>
      <c r="C83" s="16">
        <f>INDEX('NREL ATB'!$B$37:$AH$66,MATCH('Wind By State'!C$68,'NREL ATB'!$A$37:$A$66,0),MATCH('Wind By State'!$A83,'NREL ATB'!$B$36:$AH$36,0))</f>
        <v/>
      </c>
      <c r="D83" s="16">
        <f>INDEX('NREL ATB'!$B$37:$AH$66,MATCH('Wind By State'!D$68,'NREL ATB'!$A$37:$A$66,0),MATCH('Wind By State'!$A83,'NREL ATB'!$B$36:$AH$36,0))</f>
        <v/>
      </c>
      <c r="E83" s="16">
        <f>INDEX('NREL ATB'!$B$37:$AH$66,MATCH('Wind By State'!E$68,'NREL ATB'!$A$37:$A$66,0),MATCH('Wind By State'!$A83,'NREL ATB'!$B$36:$AH$36,0))</f>
        <v/>
      </c>
      <c r="F83" s="16">
        <f>INDEX('NREL ATB'!$B$37:$AH$66,MATCH('Wind By State'!F$68,'NREL ATB'!$A$37:$A$66,0),MATCH('Wind By State'!$A83,'NREL ATB'!$B$36:$AH$36,0))</f>
        <v/>
      </c>
      <c r="G83" s="16">
        <f>INDEX('NREL ATB'!$B$37:$AH$66,MATCH('Wind By State'!G$68,'NREL ATB'!$A$37:$A$66,0),MATCH('Wind By State'!$A83,'NREL ATB'!$B$36:$AH$36,0))</f>
        <v/>
      </c>
      <c r="H83" s="16">
        <f>INDEX('NREL ATB'!$B$37:$AH$66,MATCH('Wind By State'!H$68,'NREL ATB'!$A$37:$A$66,0),MATCH('Wind By State'!$A83,'NREL ATB'!$B$36:$AH$36,0))</f>
        <v/>
      </c>
      <c r="I83" s="16">
        <f>INDEX('NREL ATB'!$B$37:$AH$66,MATCH('Wind By State'!I$68,'NREL ATB'!$A$37:$A$66,0),MATCH('Wind By State'!$A83,'NREL ATB'!$B$36:$AH$36,0))</f>
        <v/>
      </c>
      <c r="J83" s="16">
        <f>INDEX('NREL ATB'!$B$37:$AH$66,MATCH('Wind By State'!J$68,'NREL ATB'!$A$37:$A$66,0),MATCH('Wind By State'!$A83,'NREL ATB'!$B$36:$AH$36,0))</f>
        <v/>
      </c>
      <c r="K83" s="16">
        <f>INDEX('NREL ATB'!$B$37:$AH$66,MATCH('Wind By State'!K$68,'NREL ATB'!$A$37:$A$66,0),MATCH('Wind By State'!$A83,'NREL ATB'!$B$36:$AH$36,0))</f>
        <v/>
      </c>
      <c r="L83">
        <f>SUMPRODUCT($B83:$K83,$B$8:$K$8)/SUM($B$8:$K$8)</f>
        <v/>
      </c>
    </row>
    <row r="84">
      <c r="A84" s="13" t="n">
        <v>2033</v>
      </c>
      <c r="B84" s="16">
        <f>INDEX('NREL ATB'!$B$37:$AH$66,MATCH('Wind By State'!B$68,'NREL ATB'!$A$37:$A$66,0),MATCH('Wind By State'!$A84,'NREL ATB'!$B$36:$AH$36,0))</f>
        <v/>
      </c>
      <c r="C84" s="16">
        <f>INDEX('NREL ATB'!$B$37:$AH$66,MATCH('Wind By State'!C$68,'NREL ATB'!$A$37:$A$66,0),MATCH('Wind By State'!$A84,'NREL ATB'!$B$36:$AH$36,0))</f>
        <v/>
      </c>
      <c r="D84" s="16">
        <f>INDEX('NREL ATB'!$B$37:$AH$66,MATCH('Wind By State'!D$68,'NREL ATB'!$A$37:$A$66,0),MATCH('Wind By State'!$A84,'NREL ATB'!$B$36:$AH$36,0))</f>
        <v/>
      </c>
      <c r="E84" s="16">
        <f>INDEX('NREL ATB'!$B$37:$AH$66,MATCH('Wind By State'!E$68,'NREL ATB'!$A$37:$A$66,0),MATCH('Wind By State'!$A84,'NREL ATB'!$B$36:$AH$36,0))</f>
        <v/>
      </c>
      <c r="F84" s="16">
        <f>INDEX('NREL ATB'!$B$37:$AH$66,MATCH('Wind By State'!F$68,'NREL ATB'!$A$37:$A$66,0),MATCH('Wind By State'!$A84,'NREL ATB'!$B$36:$AH$36,0))</f>
        <v/>
      </c>
      <c r="G84" s="16">
        <f>INDEX('NREL ATB'!$B$37:$AH$66,MATCH('Wind By State'!G$68,'NREL ATB'!$A$37:$A$66,0),MATCH('Wind By State'!$A84,'NREL ATB'!$B$36:$AH$36,0))</f>
        <v/>
      </c>
      <c r="H84" s="16">
        <f>INDEX('NREL ATB'!$B$37:$AH$66,MATCH('Wind By State'!H$68,'NREL ATB'!$A$37:$A$66,0),MATCH('Wind By State'!$A84,'NREL ATB'!$B$36:$AH$36,0))</f>
        <v/>
      </c>
      <c r="I84" s="16">
        <f>INDEX('NREL ATB'!$B$37:$AH$66,MATCH('Wind By State'!I$68,'NREL ATB'!$A$37:$A$66,0),MATCH('Wind By State'!$A84,'NREL ATB'!$B$36:$AH$36,0))</f>
        <v/>
      </c>
      <c r="J84" s="16">
        <f>INDEX('NREL ATB'!$B$37:$AH$66,MATCH('Wind By State'!J$68,'NREL ATB'!$A$37:$A$66,0),MATCH('Wind By State'!$A84,'NREL ATB'!$B$36:$AH$36,0))</f>
        <v/>
      </c>
      <c r="K84" s="16">
        <f>INDEX('NREL ATB'!$B$37:$AH$66,MATCH('Wind By State'!K$68,'NREL ATB'!$A$37:$A$66,0),MATCH('Wind By State'!$A84,'NREL ATB'!$B$36:$AH$36,0))</f>
        <v/>
      </c>
      <c r="L84">
        <f>SUMPRODUCT($B84:$K84,$B$8:$K$8)/SUM($B$8:$K$8)</f>
        <v/>
      </c>
    </row>
    <row r="85">
      <c r="A85" s="13" t="n">
        <v>2034</v>
      </c>
      <c r="B85" s="16">
        <f>INDEX('NREL ATB'!$B$37:$AH$66,MATCH('Wind By State'!B$68,'NREL ATB'!$A$37:$A$66,0),MATCH('Wind By State'!$A85,'NREL ATB'!$B$36:$AH$36,0))</f>
        <v/>
      </c>
      <c r="C85" s="16">
        <f>INDEX('NREL ATB'!$B$37:$AH$66,MATCH('Wind By State'!C$68,'NREL ATB'!$A$37:$A$66,0),MATCH('Wind By State'!$A85,'NREL ATB'!$B$36:$AH$36,0))</f>
        <v/>
      </c>
      <c r="D85" s="16">
        <f>INDEX('NREL ATB'!$B$37:$AH$66,MATCH('Wind By State'!D$68,'NREL ATB'!$A$37:$A$66,0),MATCH('Wind By State'!$A85,'NREL ATB'!$B$36:$AH$36,0))</f>
        <v/>
      </c>
      <c r="E85" s="16">
        <f>INDEX('NREL ATB'!$B$37:$AH$66,MATCH('Wind By State'!E$68,'NREL ATB'!$A$37:$A$66,0),MATCH('Wind By State'!$A85,'NREL ATB'!$B$36:$AH$36,0))</f>
        <v/>
      </c>
      <c r="F85" s="16">
        <f>INDEX('NREL ATB'!$B$37:$AH$66,MATCH('Wind By State'!F$68,'NREL ATB'!$A$37:$A$66,0),MATCH('Wind By State'!$A85,'NREL ATB'!$B$36:$AH$36,0))</f>
        <v/>
      </c>
      <c r="G85" s="16">
        <f>INDEX('NREL ATB'!$B$37:$AH$66,MATCH('Wind By State'!G$68,'NREL ATB'!$A$37:$A$66,0),MATCH('Wind By State'!$A85,'NREL ATB'!$B$36:$AH$36,0))</f>
        <v/>
      </c>
      <c r="H85" s="16">
        <f>INDEX('NREL ATB'!$B$37:$AH$66,MATCH('Wind By State'!H$68,'NREL ATB'!$A$37:$A$66,0),MATCH('Wind By State'!$A85,'NREL ATB'!$B$36:$AH$36,0))</f>
        <v/>
      </c>
      <c r="I85" s="16">
        <f>INDEX('NREL ATB'!$B$37:$AH$66,MATCH('Wind By State'!I$68,'NREL ATB'!$A$37:$A$66,0),MATCH('Wind By State'!$A85,'NREL ATB'!$B$36:$AH$36,0))</f>
        <v/>
      </c>
      <c r="J85" s="16">
        <f>INDEX('NREL ATB'!$B$37:$AH$66,MATCH('Wind By State'!J$68,'NREL ATB'!$A$37:$A$66,0),MATCH('Wind By State'!$A85,'NREL ATB'!$B$36:$AH$36,0))</f>
        <v/>
      </c>
      <c r="K85" s="16">
        <f>INDEX('NREL ATB'!$B$37:$AH$66,MATCH('Wind By State'!K$68,'NREL ATB'!$A$37:$A$66,0),MATCH('Wind By State'!$A85,'NREL ATB'!$B$36:$AH$36,0))</f>
        <v/>
      </c>
      <c r="L85">
        <f>SUMPRODUCT($B85:$K85,$B$8:$K$8)/SUM($B$8:$K$8)</f>
        <v/>
      </c>
    </row>
    <row r="86">
      <c r="A86" s="13" t="n">
        <v>2035</v>
      </c>
      <c r="B86" s="16">
        <f>INDEX('NREL ATB'!$B$37:$AH$66,MATCH('Wind By State'!B$68,'NREL ATB'!$A$37:$A$66,0),MATCH('Wind By State'!$A86,'NREL ATB'!$B$36:$AH$36,0))</f>
        <v/>
      </c>
      <c r="C86" s="16">
        <f>INDEX('NREL ATB'!$B$37:$AH$66,MATCH('Wind By State'!C$68,'NREL ATB'!$A$37:$A$66,0),MATCH('Wind By State'!$A86,'NREL ATB'!$B$36:$AH$36,0))</f>
        <v/>
      </c>
      <c r="D86" s="16">
        <f>INDEX('NREL ATB'!$B$37:$AH$66,MATCH('Wind By State'!D$68,'NREL ATB'!$A$37:$A$66,0),MATCH('Wind By State'!$A86,'NREL ATB'!$B$36:$AH$36,0))</f>
        <v/>
      </c>
      <c r="E86" s="16">
        <f>INDEX('NREL ATB'!$B$37:$AH$66,MATCH('Wind By State'!E$68,'NREL ATB'!$A$37:$A$66,0),MATCH('Wind By State'!$A86,'NREL ATB'!$B$36:$AH$36,0))</f>
        <v/>
      </c>
      <c r="F86" s="16">
        <f>INDEX('NREL ATB'!$B$37:$AH$66,MATCH('Wind By State'!F$68,'NREL ATB'!$A$37:$A$66,0),MATCH('Wind By State'!$A86,'NREL ATB'!$B$36:$AH$36,0))</f>
        <v/>
      </c>
      <c r="G86" s="16">
        <f>INDEX('NREL ATB'!$B$37:$AH$66,MATCH('Wind By State'!G$68,'NREL ATB'!$A$37:$A$66,0),MATCH('Wind By State'!$A86,'NREL ATB'!$B$36:$AH$36,0))</f>
        <v/>
      </c>
      <c r="H86" s="16">
        <f>INDEX('NREL ATB'!$B$37:$AH$66,MATCH('Wind By State'!H$68,'NREL ATB'!$A$37:$A$66,0),MATCH('Wind By State'!$A86,'NREL ATB'!$B$36:$AH$36,0))</f>
        <v/>
      </c>
      <c r="I86" s="16">
        <f>INDEX('NREL ATB'!$B$37:$AH$66,MATCH('Wind By State'!I$68,'NREL ATB'!$A$37:$A$66,0),MATCH('Wind By State'!$A86,'NREL ATB'!$B$36:$AH$36,0))</f>
        <v/>
      </c>
      <c r="J86" s="16">
        <f>INDEX('NREL ATB'!$B$37:$AH$66,MATCH('Wind By State'!J$68,'NREL ATB'!$A$37:$A$66,0),MATCH('Wind By State'!$A86,'NREL ATB'!$B$36:$AH$36,0))</f>
        <v/>
      </c>
      <c r="K86" s="16">
        <f>INDEX('NREL ATB'!$B$37:$AH$66,MATCH('Wind By State'!K$68,'NREL ATB'!$A$37:$A$66,0),MATCH('Wind By State'!$A86,'NREL ATB'!$B$36:$AH$36,0))</f>
        <v/>
      </c>
      <c r="L86">
        <f>SUMPRODUCT($B86:$K86,$B$8:$K$8)/SUM($B$8:$K$8)</f>
        <v/>
      </c>
    </row>
    <row r="87">
      <c r="A87" s="13" t="n">
        <v>2036</v>
      </c>
      <c r="B87" s="16">
        <f>INDEX('NREL ATB'!$B$37:$AH$66,MATCH('Wind By State'!B$68,'NREL ATB'!$A$37:$A$66,0),MATCH('Wind By State'!$A87,'NREL ATB'!$B$36:$AH$36,0))</f>
        <v/>
      </c>
      <c r="C87" s="16">
        <f>INDEX('NREL ATB'!$B$37:$AH$66,MATCH('Wind By State'!C$68,'NREL ATB'!$A$37:$A$66,0),MATCH('Wind By State'!$A87,'NREL ATB'!$B$36:$AH$36,0))</f>
        <v/>
      </c>
      <c r="D87" s="16">
        <f>INDEX('NREL ATB'!$B$37:$AH$66,MATCH('Wind By State'!D$68,'NREL ATB'!$A$37:$A$66,0),MATCH('Wind By State'!$A87,'NREL ATB'!$B$36:$AH$36,0))</f>
        <v/>
      </c>
      <c r="E87" s="16">
        <f>INDEX('NREL ATB'!$B$37:$AH$66,MATCH('Wind By State'!E$68,'NREL ATB'!$A$37:$A$66,0),MATCH('Wind By State'!$A87,'NREL ATB'!$B$36:$AH$36,0))</f>
        <v/>
      </c>
      <c r="F87" s="16">
        <f>INDEX('NREL ATB'!$B$37:$AH$66,MATCH('Wind By State'!F$68,'NREL ATB'!$A$37:$A$66,0),MATCH('Wind By State'!$A87,'NREL ATB'!$B$36:$AH$36,0))</f>
        <v/>
      </c>
      <c r="G87" s="16">
        <f>INDEX('NREL ATB'!$B$37:$AH$66,MATCH('Wind By State'!G$68,'NREL ATB'!$A$37:$A$66,0),MATCH('Wind By State'!$A87,'NREL ATB'!$B$36:$AH$36,0))</f>
        <v/>
      </c>
      <c r="H87" s="16">
        <f>INDEX('NREL ATB'!$B$37:$AH$66,MATCH('Wind By State'!H$68,'NREL ATB'!$A$37:$A$66,0),MATCH('Wind By State'!$A87,'NREL ATB'!$B$36:$AH$36,0))</f>
        <v/>
      </c>
      <c r="I87" s="16">
        <f>INDEX('NREL ATB'!$B$37:$AH$66,MATCH('Wind By State'!I$68,'NREL ATB'!$A$37:$A$66,0),MATCH('Wind By State'!$A87,'NREL ATB'!$B$36:$AH$36,0))</f>
        <v/>
      </c>
      <c r="J87" s="16">
        <f>INDEX('NREL ATB'!$B$37:$AH$66,MATCH('Wind By State'!J$68,'NREL ATB'!$A$37:$A$66,0),MATCH('Wind By State'!$A87,'NREL ATB'!$B$36:$AH$36,0))</f>
        <v/>
      </c>
      <c r="K87" s="16">
        <f>INDEX('NREL ATB'!$B$37:$AH$66,MATCH('Wind By State'!K$68,'NREL ATB'!$A$37:$A$66,0),MATCH('Wind By State'!$A87,'NREL ATB'!$B$36:$AH$36,0))</f>
        <v/>
      </c>
      <c r="L87">
        <f>SUMPRODUCT($B87:$K87,$B$8:$K$8)/SUM($B$8:$K$8)</f>
        <v/>
      </c>
    </row>
    <row r="88">
      <c r="A88" s="13" t="n">
        <v>2037</v>
      </c>
      <c r="B88" s="16">
        <f>INDEX('NREL ATB'!$B$37:$AH$66,MATCH('Wind By State'!B$68,'NREL ATB'!$A$37:$A$66,0),MATCH('Wind By State'!$A88,'NREL ATB'!$B$36:$AH$36,0))</f>
        <v/>
      </c>
      <c r="C88" s="16">
        <f>INDEX('NREL ATB'!$B$37:$AH$66,MATCH('Wind By State'!C$68,'NREL ATB'!$A$37:$A$66,0),MATCH('Wind By State'!$A88,'NREL ATB'!$B$36:$AH$36,0))</f>
        <v/>
      </c>
      <c r="D88" s="16">
        <f>INDEX('NREL ATB'!$B$37:$AH$66,MATCH('Wind By State'!D$68,'NREL ATB'!$A$37:$A$66,0),MATCH('Wind By State'!$A88,'NREL ATB'!$B$36:$AH$36,0))</f>
        <v/>
      </c>
      <c r="E88" s="16">
        <f>INDEX('NREL ATB'!$B$37:$AH$66,MATCH('Wind By State'!E$68,'NREL ATB'!$A$37:$A$66,0),MATCH('Wind By State'!$A88,'NREL ATB'!$B$36:$AH$36,0))</f>
        <v/>
      </c>
      <c r="F88" s="16">
        <f>INDEX('NREL ATB'!$B$37:$AH$66,MATCH('Wind By State'!F$68,'NREL ATB'!$A$37:$A$66,0),MATCH('Wind By State'!$A88,'NREL ATB'!$B$36:$AH$36,0))</f>
        <v/>
      </c>
      <c r="G88" s="16">
        <f>INDEX('NREL ATB'!$B$37:$AH$66,MATCH('Wind By State'!G$68,'NREL ATB'!$A$37:$A$66,0),MATCH('Wind By State'!$A88,'NREL ATB'!$B$36:$AH$36,0))</f>
        <v/>
      </c>
      <c r="H88" s="16">
        <f>INDEX('NREL ATB'!$B$37:$AH$66,MATCH('Wind By State'!H$68,'NREL ATB'!$A$37:$A$66,0),MATCH('Wind By State'!$A88,'NREL ATB'!$B$36:$AH$36,0))</f>
        <v/>
      </c>
      <c r="I88" s="16">
        <f>INDEX('NREL ATB'!$B$37:$AH$66,MATCH('Wind By State'!I$68,'NREL ATB'!$A$37:$A$66,0),MATCH('Wind By State'!$A88,'NREL ATB'!$B$36:$AH$36,0))</f>
        <v/>
      </c>
      <c r="J88" s="16">
        <f>INDEX('NREL ATB'!$B$37:$AH$66,MATCH('Wind By State'!J$68,'NREL ATB'!$A$37:$A$66,0),MATCH('Wind By State'!$A88,'NREL ATB'!$B$36:$AH$36,0))</f>
        <v/>
      </c>
      <c r="K88" s="16">
        <f>INDEX('NREL ATB'!$B$37:$AH$66,MATCH('Wind By State'!K$68,'NREL ATB'!$A$37:$A$66,0),MATCH('Wind By State'!$A88,'NREL ATB'!$B$36:$AH$36,0))</f>
        <v/>
      </c>
      <c r="L88">
        <f>SUMPRODUCT($B88:$K88,$B$8:$K$8)/SUM($B$8:$K$8)</f>
        <v/>
      </c>
    </row>
    <row r="89">
      <c r="A89" s="13" t="n">
        <v>2038</v>
      </c>
      <c r="B89" s="16">
        <f>INDEX('NREL ATB'!$B$37:$AH$66,MATCH('Wind By State'!B$68,'NREL ATB'!$A$37:$A$66,0),MATCH('Wind By State'!$A89,'NREL ATB'!$B$36:$AH$36,0))</f>
        <v/>
      </c>
      <c r="C89" s="16">
        <f>INDEX('NREL ATB'!$B$37:$AH$66,MATCH('Wind By State'!C$68,'NREL ATB'!$A$37:$A$66,0),MATCH('Wind By State'!$A89,'NREL ATB'!$B$36:$AH$36,0))</f>
        <v/>
      </c>
      <c r="D89" s="16">
        <f>INDEX('NREL ATB'!$B$37:$AH$66,MATCH('Wind By State'!D$68,'NREL ATB'!$A$37:$A$66,0),MATCH('Wind By State'!$A89,'NREL ATB'!$B$36:$AH$36,0))</f>
        <v/>
      </c>
      <c r="E89" s="16">
        <f>INDEX('NREL ATB'!$B$37:$AH$66,MATCH('Wind By State'!E$68,'NREL ATB'!$A$37:$A$66,0),MATCH('Wind By State'!$A89,'NREL ATB'!$B$36:$AH$36,0))</f>
        <v/>
      </c>
      <c r="F89" s="16">
        <f>INDEX('NREL ATB'!$B$37:$AH$66,MATCH('Wind By State'!F$68,'NREL ATB'!$A$37:$A$66,0),MATCH('Wind By State'!$A89,'NREL ATB'!$B$36:$AH$36,0))</f>
        <v/>
      </c>
      <c r="G89" s="16">
        <f>INDEX('NREL ATB'!$B$37:$AH$66,MATCH('Wind By State'!G$68,'NREL ATB'!$A$37:$A$66,0),MATCH('Wind By State'!$A89,'NREL ATB'!$B$36:$AH$36,0))</f>
        <v/>
      </c>
      <c r="H89" s="16">
        <f>INDEX('NREL ATB'!$B$37:$AH$66,MATCH('Wind By State'!H$68,'NREL ATB'!$A$37:$A$66,0),MATCH('Wind By State'!$A89,'NREL ATB'!$B$36:$AH$36,0))</f>
        <v/>
      </c>
      <c r="I89" s="16">
        <f>INDEX('NREL ATB'!$B$37:$AH$66,MATCH('Wind By State'!I$68,'NREL ATB'!$A$37:$A$66,0),MATCH('Wind By State'!$A89,'NREL ATB'!$B$36:$AH$36,0))</f>
        <v/>
      </c>
      <c r="J89" s="16">
        <f>INDEX('NREL ATB'!$B$37:$AH$66,MATCH('Wind By State'!J$68,'NREL ATB'!$A$37:$A$66,0),MATCH('Wind By State'!$A89,'NREL ATB'!$B$36:$AH$36,0))</f>
        <v/>
      </c>
      <c r="K89" s="16">
        <f>INDEX('NREL ATB'!$B$37:$AH$66,MATCH('Wind By State'!K$68,'NREL ATB'!$A$37:$A$66,0),MATCH('Wind By State'!$A89,'NREL ATB'!$B$36:$AH$36,0))</f>
        <v/>
      </c>
      <c r="L89">
        <f>SUMPRODUCT($B89:$K89,$B$8:$K$8)/SUM($B$8:$K$8)</f>
        <v/>
      </c>
    </row>
    <row r="90">
      <c r="A90" s="13" t="n">
        <v>2039</v>
      </c>
      <c r="B90" s="16">
        <f>INDEX('NREL ATB'!$B$37:$AH$66,MATCH('Wind By State'!B$68,'NREL ATB'!$A$37:$A$66,0),MATCH('Wind By State'!$A90,'NREL ATB'!$B$36:$AH$36,0))</f>
        <v/>
      </c>
      <c r="C90" s="16">
        <f>INDEX('NREL ATB'!$B$37:$AH$66,MATCH('Wind By State'!C$68,'NREL ATB'!$A$37:$A$66,0),MATCH('Wind By State'!$A90,'NREL ATB'!$B$36:$AH$36,0))</f>
        <v/>
      </c>
      <c r="D90" s="16">
        <f>INDEX('NREL ATB'!$B$37:$AH$66,MATCH('Wind By State'!D$68,'NREL ATB'!$A$37:$A$66,0),MATCH('Wind By State'!$A90,'NREL ATB'!$B$36:$AH$36,0))</f>
        <v/>
      </c>
      <c r="E90" s="16">
        <f>INDEX('NREL ATB'!$B$37:$AH$66,MATCH('Wind By State'!E$68,'NREL ATB'!$A$37:$A$66,0),MATCH('Wind By State'!$A90,'NREL ATB'!$B$36:$AH$36,0))</f>
        <v/>
      </c>
      <c r="F90" s="16">
        <f>INDEX('NREL ATB'!$B$37:$AH$66,MATCH('Wind By State'!F$68,'NREL ATB'!$A$37:$A$66,0),MATCH('Wind By State'!$A90,'NREL ATB'!$B$36:$AH$36,0))</f>
        <v/>
      </c>
      <c r="G90" s="16">
        <f>INDEX('NREL ATB'!$B$37:$AH$66,MATCH('Wind By State'!G$68,'NREL ATB'!$A$37:$A$66,0),MATCH('Wind By State'!$A90,'NREL ATB'!$B$36:$AH$36,0))</f>
        <v/>
      </c>
      <c r="H90" s="16">
        <f>INDEX('NREL ATB'!$B$37:$AH$66,MATCH('Wind By State'!H$68,'NREL ATB'!$A$37:$A$66,0),MATCH('Wind By State'!$A90,'NREL ATB'!$B$36:$AH$36,0))</f>
        <v/>
      </c>
      <c r="I90" s="16">
        <f>INDEX('NREL ATB'!$B$37:$AH$66,MATCH('Wind By State'!I$68,'NREL ATB'!$A$37:$A$66,0),MATCH('Wind By State'!$A90,'NREL ATB'!$B$36:$AH$36,0))</f>
        <v/>
      </c>
      <c r="J90" s="16">
        <f>INDEX('NREL ATB'!$B$37:$AH$66,MATCH('Wind By State'!J$68,'NREL ATB'!$A$37:$A$66,0),MATCH('Wind By State'!$A90,'NREL ATB'!$B$36:$AH$36,0))</f>
        <v/>
      </c>
      <c r="K90" s="16">
        <f>INDEX('NREL ATB'!$B$37:$AH$66,MATCH('Wind By State'!K$68,'NREL ATB'!$A$37:$A$66,0),MATCH('Wind By State'!$A90,'NREL ATB'!$B$36:$AH$36,0))</f>
        <v/>
      </c>
      <c r="L90">
        <f>SUMPRODUCT($B90:$K90,$B$8:$K$8)/SUM($B$8:$K$8)</f>
        <v/>
      </c>
    </row>
    <row r="91">
      <c r="A91" s="13" t="n">
        <v>2040</v>
      </c>
      <c r="B91" s="16">
        <f>INDEX('NREL ATB'!$B$37:$AH$66,MATCH('Wind By State'!B$68,'NREL ATB'!$A$37:$A$66,0),MATCH('Wind By State'!$A91,'NREL ATB'!$B$36:$AH$36,0))</f>
        <v/>
      </c>
      <c r="C91" s="16">
        <f>INDEX('NREL ATB'!$B$37:$AH$66,MATCH('Wind By State'!C$68,'NREL ATB'!$A$37:$A$66,0),MATCH('Wind By State'!$A91,'NREL ATB'!$B$36:$AH$36,0))</f>
        <v/>
      </c>
      <c r="D91" s="16">
        <f>INDEX('NREL ATB'!$B$37:$AH$66,MATCH('Wind By State'!D$68,'NREL ATB'!$A$37:$A$66,0),MATCH('Wind By State'!$A91,'NREL ATB'!$B$36:$AH$36,0))</f>
        <v/>
      </c>
      <c r="E91" s="16">
        <f>INDEX('NREL ATB'!$B$37:$AH$66,MATCH('Wind By State'!E$68,'NREL ATB'!$A$37:$A$66,0),MATCH('Wind By State'!$A91,'NREL ATB'!$B$36:$AH$36,0))</f>
        <v/>
      </c>
      <c r="F91" s="16">
        <f>INDEX('NREL ATB'!$B$37:$AH$66,MATCH('Wind By State'!F$68,'NREL ATB'!$A$37:$A$66,0),MATCH('Wind By State'!$A91,'NREL ATB'!$B$36:$AH$36,0))</f>
        <v/>
      </c>
      <c r="G91" s="16">
        <f>INDEX('NREL ATB'!$B$37:$AH$66,MATCH('Wind By State'!G$68,'NREL ATB'!$A$37:$A$66,0),MATCH('Wind By State'!$A91,'NREL ATB'!$B$36:$AH$36,0))</f>
        <v/>
      </c>
      <c r="H91" s="16">
        <f>INDEX('NREL ATB'!$B$37:$AH$66,MATCH('Wind By State'!H$68,'NREL ATB'!$A$37:$A$66,0),MATCH('Wind By State'!$A91,'NREL ATB'!$B$36:$AH$36,0))</f>
        <v/>
      </c>
      <c r="I91" s="16">
        <f>INDEX('NREL ATB'!$B$37:$AH$66,MATCH('Wind By State'!I$68,'NREL ATB'!$A$37:$A$66,0),MATCH('Wind By State'!$A91,'NREL ATB'!$B$36:$AH$36,0))</f>
        <v/>
      </c>
      <c r="J91" s="16">
        <f>INDEX('NREL ATB'!$B$37:$AH$66,MATCH('Wind By State'!J$68,'NREL ATB'!$A$37:$A$66,0),MATCH('Wind By State'!$A91,'NREL ATB'!$B$36:$AH$36,0))</f>
        <v/>
      </c>
      <c r="K91" s="16">
        <f>INDEX('NREL ATB'!$B$37:$AH$66,MATCH('Wind By State'!K$68,'NREL ATB'!$A$37:$A$66,0),MATCH('Wind By State'!$A91,'NREL ATB'!$B$36:$AH$36,0))</f>
        <v/>
      </c>
      <c r="L91">
        <f>SUMPRODUCT($B91:$K91,$B$8:$K$8)/SUM($B$8:$K$8)</f>
        <v/>
      </c>
    </row>
    <row r="92">
      <c r="A92" s="13" t="n">
        <v>2041</v>
      </c>
      <c r="B92" s="16">
        <f>INDEX('NREL ATB'!$B$37:$AH$66,MATCH('Wind By State'!B$68,'NREL ATB'!$A$37:$A$66,0),MATCH('Wind By State'!$A92,'NREL ATB'!$B$36:$AH$36,0))</f>
        <v/>
      </c>
      <c r="C92" s="16">
        <f>INDEX('NREL ATB'!$B$37:$AH$66,MATCH('Wind By State'!C$68,'NREL ATB'!$A$37:$A$66,0),MATCH('Wind By State'!$A92,'NREL ATB'!$B$36:$AH$36,0))</f>
        <v/>
      </c>
      <c r="D92" s="16">
        <f>INDEX('NREL ATB'!$B$37:$AH$66,MATCH('Wind By State'!D$68,'NREL ATB'!$A$37:$A$66,0),MATCH('Wind By State'!$A92,'NREL ATB'!$B$36:$AH$36,0))</f>
        <v/>
      </c>
      <c r="E92" s="16">
        <f>INDEX('NREL ATB'!$B$37:$AH$66,MATCH('Wind By State'!E$68,'NREL ATB'!$A$37:$A$66,0),MATCH('Wind By State'!$A92,'NREL ATB'!$B$36:$AH$36,0))</f>
        <v/>
      </c>
      <c r="F92" s="16">
        <f>INDEX('NREL ATB'!$B$37:$AH$66,MATCH('Wind By State'!F$68,'NREL ATB'!$A$37:$A$66,0),MATCH('Wind By State'!$A92,'NREL ATB'!$B$36:$AH$36,0))</f>
        <v/>
      </c>
      <c r="G92" s="16">
        <f>INDEX('NREL ATB'!$B$37:$AH$66,MATCH('Wind By State'!G$68,'NREL ATB'!$A$37:$A$66,0),MATCH('Wind By State'!$A92,'NREL ATB'!$B$36:$AH$36,0))</f>
        <v/>
      </c>
      <c r="H92" s="16">
        <f>INDEX('NREL ATB'!$B$37:$AH$66,MATCH('Wind By State'!H$68,'NREL ATB'!$A$37:$A$66,0),MATCH('Wind By State'!$A92,'NREL ATB'!$B$36:$AH$36,0))</f>
        <v/>
      </c>
      <c r="I92" s="16">
        <f>INDEX('NREL ATB'!$B$37:$AH$66,MATCH('Wind By State'!I$68,'NREL ATB'!$A$37:$A$66,0),MATCH('Wind By State'!$A92,'NREL ATB'!$B$36:$AH$36,0))</f>
        <v/>
      </c>
      <c r="J92" s="16">
        <f>INDEX('NREL ATB'!$B$37:$AH$66,MATCH('Wind By State'!J$68,'NREL ATB'!$A$37:$A$66,0),MATCH('Wind By State'!$A92,'NREL ATB'!$B$36:$AH$36,0))</f>
        <v/>
      </c>
      <c r="K92" s="16">
        <f>INDEX('NREL ATB'!$B$37:$AH$66,MATCH('Wind By State'!K$68,'NREL ATB'!$A$37:$A$66,0),MATCH('Wind By State'!$A92,'NREL ATB'!$B$36:$AH$36,0))</f>
        <v/>
      </c>
      <c r="L92">
        <f>SUMPRODUCT($B92:$K92,$B$8:$K$8)/SUM($B$8:$K$8)</f>
        <v/>
      </c>
    </row>
    <row r="93">
      <c r="A93" s="13" t="n">
        <v>2042</v>
      </c>
      <c r="B93" s="16">
        <f>INDEX('NREL ATB'!$B$37:$AH$66,MATCH('Wind By State'!B$68,'NREL ATB'!$A$37:$A$66,0),MATCH('Wind By State'!$A93,'NREL ATB'!$B$36:$AH$36,0))</f>
        <v/>
      </c>
      <c r="C93" s="16">
        <f>INDEX('NREL ATB'!$B$37:$AH$66,MATCH('Wind By State'!C$68,'NREL ATB'!$A$37:$A$66,0),MATCH('Wind By State'!$A93,'NREL ATB'!$B$36:$AH$36,0))</f>
        <v/>
      </c>
      <c r="D93" s="16">
        <f>INDEX('NREL ATB'!$B$37:$AH$66,MATCH('Wind By State'!D$68,'NREL ATB'!$A$37:$A$66,0),MATCH('Wind By State'!$A93,'NREL ATB'!$B$36:$AH$36,0))</f>
        <v/>
      </c>
      <c r="E93" s="16">
        <f>INDEX('NREL ATB'!$B$37:$AH$66,MATCH('Wind By State'!E$68,'NREL ATB'!$A$37:$A$66,0),MATCH('Wind By State'!$A93,'NREL ATB'!$B$36:$AH$36,0))</f>
        <v/>
      </c>
      <c r="F93" s="16">
        <f>INDEX('NREL ATB'!$B$37:$AH$66,MATCH('Wind By State'!F$68,'NREL ATB'!$A$37:$A$66,0),MATCH('Wind By State'!$A93,'NREL ATB'!$B$36:$AH$36,0))</f>
        <v/>
      </c>
      <c r="G93" s="16">
        <f>INDEX('NREL ATB'!$B$37:$AH$66,MATCH('Wind By State'!G$68,'NREL ATB'!$A$37:$A$66,0),MATCH('Wind By State'!$A93,'NREL ATB'!$B$36:$AH$36,0))</f>
        <v/>
      </c>
      <c r="H93" s="16">
        <f>INDEX('NREL ATB'!$B$37:$AH$66,MATCH('Wind By State'!H$68,'NREL ATB'!$A$37:$A$66,0),MATCH('Wind By State'!$A93,'NREL ATB'!$B$36:$AH$36,0))</f>
        <v/>
      </c>
      <c r="I93" s="16">
        <f>INDEX('NREL ATB'!$B$37:$AH$66,MATCH('Wind By State'!I$68,'NREL ATB'!$A$37:$A$66,0),MATCH('Wind By State'!$A93,'NREL ATB'!$B$36:$AH$36,0))</f>
        <v/>
      </c>
      <c r="J93" s="16">
        <f>INDEX('NREL ATB'!$B$37:$AH$66,MATCH('Wind By State'!J$68,'NREL ATB'!$A$37:$A$66,0),MATCH('Wind By State'!$A93,'NREL ATB'!$B$36:$AH$36,0))</f>
        <v/>
      </c>
      <c r="K93" s="16">
        <f>INDEX('NREL ATB'!$B$37:$AH$66,MATCH('Wind By State'!K$68,'NREL ATB'!$A$37:$A$66,0),MATCH('Wind By State'!$A93,'NREL ATB'!$B$36:$AH$36,0))</f>
        <v/>
      </c>
      <c r="L93">
        <f>SUMPRODUCT($B93:$K93,$B$8:$K$8)/SUM($B$8:$K$8)</f>
        <v/>
      </c>
    </row>
    <row r="94">
      <c r="A94" s="13" t="n">
        <v>2043</v>
      </c>
      <c r="B94" s="16">
        <f>INDEX('NREL ATB'!$B$37:$AH$66,MATCH('Wind By State'!B$68,'NREL ATB'!$A$37:$A$66,0),MATCH('Wind By State'!$A94,'NREL ATB'!$B$36:$AH$36,0))</f>
        <v/>
      </c>
      <c r="C94" s="16">
        <f>INDEX('NREL ATB'!$B$37:$AH$66,MATCH('Wind By State'!C$68,'NREL ATB'!$A$37:$A$66,0),MATCH('Wind By State'!$A94,'NREL ATB'!$B$36:$AH$36,0))</f>
        <v/>
      </c>
      <c r="D94" s="16">
        <f>INDEX('NREL ATB'!$B$37:$AH$66,MATCH('Wind By State'!D$68,'NREL ATB'!$A$37:$A$66,0),MATCH('Wind By State'!$A94,'NREL ATB'!$B$36:$AH$36,0))</f>
        <v/>
      </c>
      <c r="E94" s="16">
        <f>INDEX('NREL ATB'!$B$37:$AH$66,MATCH('Wind By State'!E$68,'NREL ATB'!$A$37:$A$66,0),MATCH('Wind By State'!$A94,'NREL ATB'!$B$36:$AH$36,0))</f>
        <v/>
      </c>
      <c r="F94" s="16">
        <f>INDEX('NREL ATB'!$B$37:$AH$66,MATCH('Wind By State'!F$68,'NREL ATB'!$A$37:$A$66,0),MATCH('Wind By State'!$A94,'NREL ATB'!$B$36:$AH$36,0))</f>
        <v/>
      </c>
      <c r="G94" s="16">
        <f>INDEX('NREL ATB'!$B$37:$AH$66,MATCH('Wind By State'!G$68,'NREL ATB'!$A$37:$A$66,0),MATCH('Wind By State'!$A94,'NREL ATB'!$B$36:$AH$36,0))</f>
        <v/>
      </c>
      <c r="H94" s="16">
        <f>INDEX('NREL ATB'!$B$37:$AH$66,MATCH('Wind By State'!H$68,'NREL ATB'!$A$37:$A$66,0),MATCH('Wind By State'!$A94,'NREL ATB'!$B$36:$AH$36,0))</f>
        <v/>
      </c>
      <c r="I94" s="16">
        <f>INDEX('NREL ATB'!$B$37:$AH$66,MATCH('Wind By State'!I$68,'NREL ATB'!$A$37:$A$66,0),MATCH('Wind By State'!$A94,'NREL ATB'!$B$36:$AH$36,0))</f>
        <v/>
      </c>
      <c r="J94" s="16">
        <f>INDEX('NREL ATB'!$B$37:$AH$66,MATCH('Wind By State'!J$68,'NREL ATB'!$A$37:$A$66,0),MATCH('Wind By State'!$A94,'NREL ATB'!$B$36:$AH$36,0))</f>
        <v/>
      </c>
      <c r="K94" s="16">
        <f>INDEX('NREL ATB'!$B$37:$AH$66,MATCH('Wind By State'!K$68,'NREL ATB'!$A$37:$A$66,0),MATCH('Wind By State'!$A94,'NREL ATB'!$B$36:$AH$36,0))</f>
        <v/>
      </c>
      <c r="L94">
        <f>SUMPRODUCT($B94:$K94,$B$8:$K$8)/SUM($B$8:$K$8)</f>
        <v/>
      </c>
    </row>
    <row r="95">
      <c r="A95" s="13" t="n">
        <v>2044</v>
      </c>
      <c r="B95" s="16">
        <f>INDEX('NREL ATB'!$B$37:$AH$66,MATCH('Wind By State'!B$68,'NREL ATB'!$A$37:$A$66,0),MATCH('Wind By State'!$A95,'NREL ATB'!$B$36:$AH$36,0))</f>
        <v/>
      </c>
      <c r="C95" s="16">
        <f>INDEX('NREL ATB'!$B$37:$AH$66,MATCH('Wind By State'!C$68,'NREL ATB'!$A$37:$A$66,0),MATCH('Wind By State'!$A95,'NREL ATB'!$B$36:$AH$36,0))</f>
        <v/>
      </c>
      <c r="D95" s="16">
        <f>INDEX('NREL ATB'!$B$37:$AH$66,MATCH('Wind By State'!D$68,'NREL ATB'!$A$37:$A$66,0),MATCH('Wind By State'!$A95,'NREL ATB'!$B$36:$AH$36,0))</f>
        <v/>
      </c>
      <c r="E95" s="16">
        <f>INDEX('NREL ATB'!$B$37:$AH$66,MATCH('Wind By State'!E$68,'NREL ATB'!$A$37:$A$66,0),MATCH('Wind By State'!$A95,'NREL ATB'!$B$36:$AH$36,0))</f>
        <v/>
      </c>
      <c r="F95" s="16">
        <f>INDEX('NREL ATB'!$B$37:$AH$66,MATCH('Wind By State'!F$68,'NREL ATB'!$A$37:$A$66,0),MATCH('Wind By State'!$A95,'NREL ATB'!$B$36:$AH$36,0))</f>
        <v/>
      </c>
      <c r="G95" s="16">
        <f>INDEX('NREL ATB'!$B$37:$AH$66,MATCH('Wind By State'!G$68,'NREL ATB'!$A$37:$A$66,0),MATCH('Wind By State'!$A95,'NREL ATB'!$B$36:$AH$36,0))</f>
        <v/>
      </c>
      <c r="H95" s="16">
        <f>INDEX('NREL ATB'!$B$37:$AH$66,MATCH('Wind By State'!H$68,'NREL ATB'!$A$37:$A$66,0),MATCH('Wind By State'!$A95,'NREL ATB'!$B$36:$AH$36,0))</f>
        <v/>
      </c>
      <c r="I95" s="16">
        <f>INDEX('NREL ATB'!$B$37:$AH$66,MATCH('Wind By State'!I$68,'NREL ATB'!$A$37:$A$66,0),MATCH('Wind By State'!$A95,'NREL ATB'!$B$36:$AH$36,0))</f>
        <v/>
      </c>
      <c r="J95" s="16">
        <f>INDEX('NREL ATB'!$B$37:$AH$66,MATCH('Wind By State'!J$68,'NREL ATB'!$A$37:$A$66,0),MATCH('Wind By State'!$A95,'NREL ATB'!$B$36:$AH$36,0))</f>
        <v/>
      </c>
      <c r="K95" s="16">
        <f>INDEX('NREL ATB'!$B$37:$AH$66,MATCH('Wind By State'!K$68,'NREL ATB'!$A$37:$A$66,0),MATCH('Wind By State'!$A95,'NREL ATB'!$B$36:$AH$36,0))</f>
        <v/>
      </c>
      <c r="L95">
        <f>SUMPRODUCT($B95:$K95,$B$8:$K$8)/SUM($B$8:$K$8)</f>
        <v/>
      </c>
    </row>
    <row r="96">
      <c r="A96" s="13" t="n">
        <v>2045</v>
      </c>
      <c r="B96" s="16">
        <f>INDEX('NREL ATB'!$B$37:$AH$66,MATCH('Wind By State'!B$68,'NREL ATB'!$A$37:$A$66,0),MATCH('Wind By State'!$A96,'NREL ATB'!$B$36:$AH$36,0))</f>
        <v/>
      </c>
      <c r="C96" s="16">
        <f>INDEX('NREL ATB'!$B$37:$AH$66,MATCH('Wind By State'!C$68,'NREL ATB'!$A$37:$A$66,0),MATCH('Wind By State'!$A96,'NREL ATB'!$B$36:$AH$36,0))</f>
        <v/>
      </c>
      <c r="D96" s="16">
        <f>INDEX('NREL ATB'!$B$37:$AH$66,MATCH('Wind By State'!D$68,'NREL ATB'!$A$37:$A$66,0),MATCH('Wind By State'!$A96,'NREL ATB'!$B$36:$AH$36,0))</f>
        <v/>
      </c>
      <c r="E96" s="16">
        <f>INDEX('NREL ATB'!$B$37:$AH$66,MATCH('Wind By State'!E$68,'NREL ATB'!$A$37:$A$66,0),MATCH('Wind By State'!$A96,'NREL ATB'!$B$36:$AH$36,0))</f>
        <v/>
      </c>
      <c r="F96" s="16">
        <f>INDEX('NREL ATB'!$B$37:$AH$66,MATCH('Wind By State'!F$68,'NREL ATB'!$A$37:$A$66,0),MATCH('Wind By State'!$A96,'NREL ATB'!$B$36:$AH$36,0))</f>
        <v/>
      </c>
      <c r="G96" s="16">
        <f>INDEX('NREL ATB'!$B$37:$AH$66,MATCH('Wind By State'!G$68,'NREL ATB'!$A$37:$A$66,0),MATCH('Wind By State'!$A96,'NREL ATB'!$B$36:$AH$36,0))</f>
        <v/>
      </c>
      <c r="H96" s="16">
        <f>INDEX('NREL ATB'!$B$37:$AH$66,MATCH('Wind By State'!H$68,'NREL ATB'!$A$37:$A$66,0),MATCH('Wind By State'!$A96,'NREL ATB'!$B$36:$AH$36,0))</f>
        <v/>
      </c>
      <c r="I96" s="16">
        <f>INDEX('NREL ATB'!$B$37:$AH$66,MATCH('Wind By State'!I$68,'NREL ATB'!$A$37:$A$66,0),MATCH('Wind By State'!$A96,'NREL ATB'!$B$36:$AH$36,0))</f>
        <v/>
      </c>
      <c r="J96" s="16">
        <f>INDEX('NREL ATB'!$B$37:$AH$66,MATCH('Wind By State'!J$68,'NREL ATB'!$A$37:$A$66,0),MATCH('Wind By State'!$A96,'NREL ATB'!$B$36:$AH$36,0))</f>
        <v/>
      </c>
      <c r="K96" s="16">
        <f>INDEX('NREL ATB'!$B$37:$AH$66,MATCH('Wind By State'!K$68,'NREL ATB'!$A$37:$A$66,0),MATCH('Wind By State'!$A96,'NREL ATB'!$B$36:$AH$36,0))</f>
        <v/>
      </c>
      <c r="L96">
        <f>SUMPRODUCT($B96:$K96,$B$8:$K$8)/SUM($B$8:$K$8)</f>
        <v/>
      </c>
    </row>
    <row r="97">
      <c r="A97" s="13" t="n">
        <v>2046</v>
      </c>
      <c r="B97" s="16">
        <f>INDEX('NREL ATB'!$B$37:$AH$66,MATCH('Wind By State'!B$68,'NREL ATB'!$A$37:$A$66,0),MATCH('Wind By State'!$A97,'NREL ATB'!$B$36:$AH$36,0))</f>
        <v/>
      </c>
      <c r="C97" s="16">
        <f>INDEX('NREL ATB'!$B$37:$AH$66,MATCH('Wind By State'!C$68,'NREL ATB'!$A$37:$A$66,0),MATCH('Wind By State'!$A97,'NREL ATB'!$B$36:$AH$36,0))</f>
        <v/>
      </c>
      <c r="D97" s="16">
        <f>INDEX('NREL ATB'!$B$37:$AH$66,MATCH('Wind By State'!D$68,'NREL ATB'!$A$37:$A$66,0),MATCH('Wind By State'!$A97,'NREL ATB'!$B$36:$AH$36,0))</f>
        <v/>
      </c>
      <c r="E97" s="16">
        <f>INDEX('NREL ATB'!$B$37:$AH$66,MATCH('Wind By State'!E$68,'NREL ATB'!$A$37:$A$66,0),MATCH('Wind By State'!$A97,'NREL ATB'!$B$36:$AH$36,0))</f>
        <v/>
      </c>
      <c r="F97" s="16">
        <f>INDEX('NREL ATB'!$B$37:$AH$66,MATCH('Wind By State'!F$68,'NREL ATB'!$A$37:$A$66,0),MATCH('Wind By State'!$A97,'NREL ATB'!$B$36:$AH$36,0))</f>
        <v/>
      </c>
      <c r="G97" s="16">
        <f>INDEX('NREL ATB'!$B$37:$AH$66,MATCH('Wind By State'!G$68,'NREL ATB'!$A$37:$A$66,0),MATCH('Wind By State'!$A97,'NREL ATB'!$B$36:$AH$36,0))</f>
        <v/>
      </c>
      <c r="H97" s="16">
        <f>INDEX('NREL ATB'!$B$37:$AH$66,MATCH('Wind By State'!H$68,'NREL ATB'!$A$37:$A$66,0),MATCH('Wind By State'!$A97,'NREL ATB'!$B$36:$AH$36,0))</f>
        <v/>
      </c>
      <c r="I97" s="16">
        <f>INDEX('NREL ATB'!$B$37:$AH$66,MATCH('Wind By State'!I$68,'NREL ATB'!$A$37:$A$66,0),MATCH('Wind By State'!$A97,'NREL ATB'!$B$36:$AH$36,0))</f>
        <v/>
      </c>
      <c r="J97" s="16">
        <f>INDEX('NREL ATB'!$B$37:$AH$66,MATCH('Wind By State'!J$68,'NREL ATB'!$A$37:$A$66,0),MATCH('Wind By State'!$A97,'NREL ATB'!$B$36:$AH$36,0))</f>
        <v/>
      </c>
      <c r="K97" s="16">
        <f>INDEX('NREL ATB'!$B$37:$AH$66,MATCH('Wind By State'!K$68,'NREL ATB'!$A$37:$A$66,0),MATCH('Wind By State'!$A97,'NREL ATB'!$B$36:$AH$36,0))</f>
        <v/>
      </c>
      <c r="L97">
        <f>SUMPRODUCT($B97:$K97,$B$8:$K$8)/SUM($B$8:$K$8)</f>
        <v/>
      </c>
    </row>
    <row r="98">
      <c r="A98" s="13" t="n">
        <v>2047</v>
      </c>
      <c r="B98" s="16">
        <f>INDEX('NREL ATB'!$B$37:$AH$66,MATCH('Wind By State'!B$68,'NREL ATB'!$A$37:$A$66,0),MATCH('Wind By State'!$A98,'NREL ATB'!$B$36:$AH$36,0))</f>
        <v/>
      </c>
      <c r="C98" s="16">
        <f>INDEX('NREL ATB'!$B$37:$AH$66,MATCH('Wind By State'!C$68,'NREL ATB'!$A$37:$A$66,0),MATCH('Wind By State'!$A98,'NREL ATB'!$B$36:$AH$36,0))</f>
        <v/>
      </c>
      <c r="D98" s="16">
        <f>INDEX('NREL ATB'!$B$37:$AH$66,MATCH('Wind By State'!D$68,'NREL ATB'!$A$37:$A$66,0),MATCH('Wind By State'!$A98,'NREL ATB'!$B$36:$AH$36,0))</f>
        <v/>
      </c>
      <c r="E98" s="16">
        <f>INDEX('NREL ATB'!$B$37:$AH$66,MATCH('Wind By State'!E$68,'NREL ATB'!$A$37:$A$66,0),MATCH('Wind By State'!$A98,'NREL ATB'!$B$36:$AH$36,0))</f>
        <v/>
      </c>
      <c r="F98" s="16">
        <f>INDEX('NREL ATB'!$B$37:$AH$66,MATCH('Wind By State'!F$68,'NREL ATB'!$A$37:$A$66,0),MATCH('Wind By State'!$A98,'NREL ATB'!$B$36:$AH$36,0))</f>
        <v/>
      </c>
      <c r="G98" s="16">
        <f>INDEX('NREL ATB'!$B$37:$AH$66,MATCH('Wind By State'!G$68,'NREL ATB'!$A$37:$A$66,0),MATCH('Wind By State'!$A98,'NREL ATB'!$B$36:$AH$36,0))</f>
        <v/>
      </c>
      <c r="H98" s="16">
        <f>INDEX('NREL ATB'!$B$37:$AH$66,MATCH('Wind By State'!H$68,'NREL ATB'!$A$37:$A$66,0),MATCH('Wind By State'!$A98,'NREL ATB'!$B$36:$AH$36,0))</f>
        <v/>
      </c>
      <c r="I98" s="16">
        <f>INDEX('NREL ATB'!$B$37:$AH$66,MATCH('Wind By State'!I$68,'NREL ATB'!$A$37:$A$66,0),MATCH('Wind By State'!$A98,'NREL ATB'!$B$36:$AH$36,0))</f>
        <v/>
      </c>
      <c r="J98" s="16">
        <f>INDEX('NREL ATB'!$B$37:$AH$66,MATCH('Wind By State'!J$68,'NREL ATB'!$A$37:$A$66,0),MATCH('Wind By State'!$A98,'NREL ATB'!$B$36:$AH$36,0))</f>
        <v/>
      </c>
      <c r="K98" s="16">
        <f>INDEX('NREL ATB'!$B$37:$AH$66,MATCH('Wind By State'!K$68,'NREL ATB'!$A$37:$A$66,0),MATCH('Wind By State'!$A98,'NREL ATB'!$B$36:$AH$36,0))</f>
        <v/>
      </c>
      <c r="L98">
        <f>SUMPRODUCT($B98:$K98,$B$8:$K$8)/SUM($B$8:$K$8)</f>
        <v/>
      </c>
    </row>
    <row r="99">
      <c r="A99" s="13" t="n">
        <v>2048</v>
      </c>
      <c r="B99" s="16">
        <f>INDEX('NREL ATB'!$B$37:$AH$66,MATCH('Wind By State'!B$68,'NREL ATB'!$A$37:$A$66,0),MATCH('Wind By State'!$A99,'NREL ATB'!$B$36:$AH$36,0))</f>
        <v/>
      </c>
      <c r="C99" s="16">
        <f>INDEX('NREL ATB'!$B$37:$AH$66,MATCH('Wind By State'!C$68,'NREL ATB'!$A$37:$A$66,0),MATCH('Wind By State'!$A99,'NREL ATB'!$B$36:$AH$36,0))</f>
        <v/>
      </c>
      <c r="D99" s="16">
        <f>INDEX('NREL ATB'!$B$37:$AH$66,MATCH('Wind By State'!D$68,'NREL ATB'!$A$37:$A$66,0),MATCH('Wind By State'!$A99,'NREL ATB'!$B$36:$AH$36,0))</f>
        <v/>
      </c>
      <c r="E99" s="16">
        <f>INDEX('NREL ATB'!$B$37:$AH$66,MATCH('Wind By State'!E$68,'NREL ATB'!$A$37:$A$66,0),MATCH('Wind By State'!$A99,'NREL ATB'!$B$36:$AH$36,0))</f>
        <v/>
      </c>
      <c r="F99" s="16">
        <f>INDEX('NREL ATB'!$B$37:$AH$66,MATCH('Wind By State'!F$68,'NREL ATB'!$A$37:$A$66,0),MATCH('Wind By State'!$A99,'NREL ATB'!$B$36:$AH$36,0))</f>
        <v/>
      </c>
      <c r="G99" s="16">
        <f>INDEX('NREL ATB'!$B$37:$AH$66,MATCH('Wind By State'!G$68,'NREL ATB'!$A$37:$A$66,0),MATCH('Wind By State'!$A99,'NREL ATB'!$B$36:$AH$36,0))</f>
        <v/>
      </c>
      <c r="H99" s="16">
        <f>INDEX('NREL ATB'!$B$37:$AH$66,MATCH('Wind By State'!H$68,'NREL ATB'!$A$37:$A$66,0),MATCH('Wind By State'!$A99,'NREL ATB'!$B$36:$AH$36,0))</f>
        <v/>
      </c>
      <c r="I99" s="16">
        <f>INDEX('NREL ATB'!$B$37:$AH$66,MATCH('Wind By State'!I$68,'NREL ATB'!$A$37:$A$66,0),MATCH('Wind By State'!$A99,'NREL ATB'!$B$36:$AH$36,0))</f>
        <v/>
      </c>
      <c r="J99" s="16">
        <f>INDEX('NREL ATB'!$B$37:$AH$66,MATCH('Wind By State'!J$68,'NREL ATB'!$A$37:$A$66,0),MATCH('Wind By State'!$A99,'NREL ATB'!$B$36:$AH$36,0))</f>
        <v/>
      </c>
      <c r="K99" s="16">
        <f>INDEX('NREL ATB'!$B$37:$AH$66,MATCH('Wind By State'!K$68,'NREL ATB'!$A$37:$A$66,0),MATCH('Wind By State'!$A99,'NREL ATB'!$B$36:$AH$36,0))</f>
        <v/>
      </c>
      <c r="L99">
        <f>SUMPRODUCT($B99:$K99,$B$8:$K$8)/SUM($B$8:$K$8)</f>
        <v/>
      </c>
    </row>
    <row r="100">
      <c r="A100" s="13" t="n">
        <v>2049</v>
      </c>
      <c r="B100" s="16">
        <f>INDEX('NREL ATB'!$B$37:$AH$66,MATCH('Wind By State'!B$68,'NREL ATB'!$A$37:$A$66,0),MATCH('Wind By State'!$A100,'NREL ATB'!$B$36:$AH$36,0))</f>
        <v/>
      </c>
      <c r="C100" s="16">
        <f>INDEX('NREL ATB'!$B$37:$AH$66,MATCH('Wind By State'!C$68,'NREL ATB'!$A$37:$A$66,0),MATCH('Wind By State'!$A100,'NREL ATB'!$B$36:$AH$36,0))</f>
        <v/>
      </c>
      <c r="D100" s="16">
        <f>INDEX('NREL ATB'!$B$37:$AH$66,MATCH('Wind By State'!D$68,'NREL ATB'!$A$37:$A$66,0),MATCH('Wind By State'!$A100,'NREL ATB'!$B$36:$AH$36,0))</f>
        <v/>
      </c>
      <c r="E100" s="16">
        <f>INDEX('NREL ATB'!$B$37:$AH$66,MATCH('Wind By State'!E$68,'NREL ATB'!$A$37:$A$66,0),MATCH('Wind By State'!$A100,'NREL ATB'!$B$36:$AH$36,0))</f>
        <v/>
      </c>
      <c r="F100" s="16">
        <f>INDEX('NREL ATB'!$B$37:$AH$66,MATCH('Wind By State'!F$68,'NREL ATB'!$A$37:$A$66,0),MATCH('Wind By State'!$A100,'NREL ATB'!$B$36:$AH$36,0))</f>
        <v/>
      </c>
      <c r="G100" s="16">
        <f>INDEX('NREL ATB'!$B$37:$AH$66,MATCH('Wind By State'!G$68,'NREL ATB'!$A$37:$A$66,0),MATCH('Wind By State'!$A100,'NREL ATB'!$B$36:$AH$36,0))</f>
        <v/>
      </c>
      <c r="H100" s="16">
        <f>INDEX('NREL ATB'!$B$37:$AH$66,MATCH('Wind By State'!H$68,'NREL ATB'!$A$37:$A$66,0),MATCH('Wind By State'!$A100,'NREL ATB'!$B$36:$AH$36,0))</f>
        <v/>
      </c>
      <c r="I100" s="16">
        <f>INDEX('NREL ATB'!$B$37:$AH$66,MATCH('Wind By State'!I$68,'NREL ATB'!$A$37:$A$66,0),MATCH('Wind By State'!$A100,'NREL ATB'!$B$36:$AH$36,0))</f>
        <v/>
      </c>
      <c r="J100" s="16">
        <f>INDEX('NREL ATB'!$B$37:$AH$66,MATCH('Wind By State'!J$68,'NREL ATB'!$A$37:$A$66,0),MATCH('Wind By State'!$A100,'NREL ATB'!$B$36:$AH$36,0))</f>
        <v/>
      </c>
      <c r="K100" s="16">
        <f>INDEX('NREL ATB'!$B$37:$AH$66,MATCH('Wind By State'!K$68,'NREL ATB'!$A$37:$A$66,0),MATCH('Wind By State'!$A100,'NREL ATB'!$B$36:$AH$36,0))</f>
        <v/>
      </c>
      <c r="L100">
        <f>SUMPRODUCT($B100:$K100,$B$8:$K$8)/SUM($B$8:$K$8)</f>
        <v/>
      </c>
    </row>
    <row r="101">
      <c r="A101" s="13" t="n">
        <v>2050</v>
      </c>
      <c r="B101" s="16">
        <f>INDEX('NREL ATB'!$B$37:$AH$66,MATCH('Wind By State'!B$68,'NREL ATB'!$A$37:$A$66,0),MATCH('Wind By State'!$A101,'NREL ATB'!$B$36:$AH$36,0))</f>
        <v/>
      </c>
      <c r="C101" s="16">
        <f>INDEX('NREL ATB'!$B$37:$AH$66,MATCH('Wind By State'!C$68,'NREL ATB'!$A$37:$A$66,0),MATCH('Wind By State'!$A101,'NREL ATB'!$B$36:$AH$36,0))</f>
        <v/>
      </c>
      <c r="D101" s="16">
        <f>INDEX('NREL ATB'!$B$37:$AH$66,MATCH('Wind By State'!D$68,'NREL ATB'!$A$37:$A$66,0),MATCH('Wind By State'!$A101,'NREL ATB'!$B$36:$AH$36,0))</f>
        <v/>
      </c>
      <c r="E101" s="16">
        <f>INDEX('NREL ATB'!$B$37:$AH$66,MATCH('Wind By State'!E$68,'NREL ATB'!$A$37:$A$66,0),MATCH('Wind By State'!$A101,'NREL ATB'!$B$36:$AH$36,0))</f>
        <v/>
      </c>
      <c r="F101" s="16">
        <f>INDEX('NREL ATB'!$B$37:$AH$66,MATCH('Wind By State'!F$68,'NREL ATB'!$A$37:$A$66,0),MATCH('Wind By State'!$A101,'NREL ATB'!$B$36:$AH$36,0))</f>
        <v/>
      </c>
      <c r="G101" s="16">
        <f>INDEX('NREL ATB'!$B$37:$AH$66,MATCH('Wind By State'!G$68,'NREL ATB'!$A$37:$A$66,0),MATCH('Wind By State'!$A101,'NREL ATB'!$B$36:$AH$36,0))</f>
        <v/>
      </c>
      <c r="H101" s="16">
        <f>INDEX('NREL ATB'!$B$37:$AH$66,MATCH('Wind By State'!H$68,'NREL ATB'!$A$37:$A$66,0),MATCH('Wind By State'!$A101,'NREL ATB'!$B$36:$AH$36,0))</f>
        <v/>
      </c>
      <c r="I101" s="16">
        <f>INDEX('NREL ATB'!$B$37:$AH$66,MATCH('Wind By State'!I$68,'NREL ATB'!$A$37:$A$66,0),MATCH('Wind By State'!$A101,'NREL ATB'!$B$36:$AH$36,0))</f>
        <v/>
      </c>
      <c r="J101" s="16">
        <f>INDEX('NREL ATB'!$B$37:$AH$66,MATCH('Wind By State'!J$68,'NREL ATB'!$A$37:$A$66,0),MATCH('Wind By State'!$A101,'NREL ATB'!$B$36:$AH$36,0))</f>
        <v/>
      </c>
      <c r="K101" s="16">
        <f>INDEX('NREL ATB'!$B$37:$AH$66,MATCH('Wind By State'!K$68,'NREL ATB'!$A$37:$A$66,0),MATCH('Wind By State'!$A101,'NREL ATB'!$B$36:$AH$36,0))</f>
        <v/>
      </c>
      <c r="L101">
        <f>SUMPRODUCT($B101:$K101,$B$8:$K$8)/SUM($B$8:$K$8)</f>
        <v/>
      </c>
    </row>
    <row r="115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</row>
  </sheetData>
  <hyperlinks>
    <hyperlink xmlns:r="http://schemas.openxmlformats.org/officeDocument/2006/relationships" ref="B6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H17" sqref="H17"/>
    </sheetView>
  </sheetViews>
  <sheetFormatPr baseColWidth="10" defaultColWidth="11" defaultRowHeight="14"/>
  <cols>
    <col width="25.33203125" customWidth="1" style="82" min="1" max="1"/>
    <col width="16" customWidth="1" style="82" min="2" max="2"/>
    <col width="21.33203125" customWidth="1" style="82" min="3" max="3"/>
  </cols>
  <sheetData>
    <row r="1">
      <c r="B1" s="58" t="n"/>
      <c r="C1" s="13" t="n">
        <v>2018</v>
      </c>
      <c r="D1" s="13" t="n">
        <v>2019</v>
      </c>
      <c r="E1" s="13" t="n">
        <v>2020</v>
      </c>
      <c r="F1" s="13" t="n">
        <v>2021</v>
      </c>
      <c r="G1" s="13" t="n">
        <v>2022</v>
      </c>
      <c r="H1" s="13" t="n">
        <v>2023</v>
      </c>
      <c r="I1" s="13" t="n">
        <v>2024</v>
      </c>
      <c r="J1" s="13" t="n">
        <v>2025</v>
      </c>
      <c r="K1" s="13" t="n">
        <v>2026</v>
      </c>
      <c r="L1" s="13" t="n">
        <v>2027</v>
      </c>
      <c r="M1" s="13" t="n">
        <v>2028</v>
      </c>
      <c r="N1" s="13" t="n">
        <v>2029</v>
      </c>
      <c r="O1" s="13" t="n">
        <v>2030</v>
      </c>
      <c r="P1" s="13" t="n">
        <v>2031</v>
      </c>
      <c r="Q1" s="13" t="n">
        <v>2032</v>
      </c>
      <c r="R1" s="13" t="n">
        <v>2033</v>
      </c>
      <c r="S1" s="13" t="n">
        <v>2034</v>
      </c>
      <c r="T1" s="13" t="n">
        <v>2035</v>
      </c>
      <c r="U1" s="13" t="n">
        <v>2036</v>
      </c>
      <c r="V1" s="13" t="n">
        <v>2037</v>
      </c>
      <c r="W1" s="13" t="n">
        <v>2038</v>
      </c>
      <c r="X1" s="13" t="n">
        <v>2039</v>
      </c>
      <c r="Y1" s="13" t="n">
        <v>2040</v>
      </c>
      <c r="Z1" s="13" t="n">
        <v>2041</v>
      </c>
      <c r="AA1" s="13" t="n">
        <v>2042</v>
      </c>
      <c r="AB1" s="13" t="n">
        <v>2043</v>
      </c>
      <c r="AC1" s="13" t="n">
        <v>2044</v>
      </c>
      <c r="AD1" s="13" t="n">
        <v>2045</v>
      </c>
      <c r="AE1" s="13" t="n">
        <v>2046</v>
      </c>
      <c r="AF1" s="13" t="n">
        <v>2047</v>
      </c>
      <c r="AG1" s="13" t="n">
        <v>2048</v>
      </c>
      <c r="AH1" s="13" t="n">
        <v>2049</v>
      </c>
      <c r="AI1" s="13" t="n">
        <v>2050</v>
      </c>
    </row>
    <row r="2">
      <c r="A2" s="67" t="inlineStr">
        <is>
          <t>State</t>
        </is>
      </c>
      <c r="B2">
        <f>About!B1</f>
        <v/>
      </c>
    </row>
    <row r="3">
      <c r="A3" s="67" t="inlineStr">
        <is>
          <t>Closest Rep City (Latitude)</t>
        </is>
      </c>
      <c r="B3">
        <f>LOOKUP(B2,A8:C58,C8:C58)</f>
        <v/>
      </c>
      <c r="C3">
        <f>SUMIFS(B75:B79,$A75:$A79,$B3)</f>
        <v/>
      </c>
      <c r="D3">
        <f>SUMIFS(C75:C79,$A75:$A79,$B3)</f>
        <v/>
      </c>
      <c r="E3">
        <f>SUMIFS(D75:D79,$A75:$A79,$B3)</f>
        <v/>
      </c>
      <c r="F3">
        <f>SUMIFS(E75:E79,$A75:$A79,$B3)</f>
        <v/>
      </c>
      <c r="G3">
        <f>SUMIFS(F75:F79,$A75:$A79,$B3)</f>
        <v/>
      </c>
      <c r="H3">
        <f>SUMIFS(G75:G79,$A75:$A79,$B3)</f>
        <v/>
      </c>
      <c r="I3">
        <f>SUMIFS(H75:H79,$A75:$A79,$B3)</f>
        <v/>
      </c>
      <c r="J3">
        <f>SUMIFS(I75:I79,$A75:$A79,$B3)</f>
        <v/>
      </c>
      <c r="K3">
        <f>SUMIFS(J75:J79,$A75:$A79,$B3)</f>
        <v/>
      </c>
      <c r="L3">
        <f>SUMIFS(K75:K79,$A75:$A79,$B3)</f>
        <v/>
      </c>
      <c r="M3">
        <f>SUMIFS(L75:L79,$A75:$A79,$B3)</f>
        <v/>
      </c>
      <c r="N3">
        <f>SUMIFS(M75:M79,$A75:$A79,$B3)</f>
        <v/>
      </c>
      <c r="O3">
        <f>SUMIFS(N75:N79,$A75:$A79,$B3)</f>
        <v/>
      </c>
      <c r="P3">
        <f>SUMIFS(O75:O79,$A75:$A79,$B3)</f>
        <v/>
      </c>
      <c r="Q3">
        <f>SUMIFS(P75:P79,$A75:$A79,$B3)</f>
        <v/>
      </c>
      <c r="R3">
        <f>SUMIFS(Q75:Q79,$A75:$A79,$B3)</f>
        <v/>
      </c>
      <c r="S3">
        <f>SUMIFS(R75:R79,$A75:$A79,$B3)</f>
        <v/>
      </c>
      <c r="T3">
        <f>SUMIFS(S75:S79,$A75:$A79,$B3)</f>
        <v/>
      </c>
      <c r="U3">
        <f>SUMIFS(T75:T79,$A75:$A79,$B3)</f>
        <v/>
      </c>
      <c r="V3">
        <f>SUMIFS(U75:U79,$A75:$A79,$B3)</f>
        <v/>
      </c>
      <c r="W3">
        <f>SUMIFS(V75:V79,$A75:$A79,$B3)</f>
        <v/>
      </c>
      <c r="X3">
        <f>SUMIFS(W75:W79,$A75:$A79,$B3)</f>
        <v/>
      </c>
      <c r="Y3">
        <f>SUMIFS(X75:X79,$A75:$A79,$B3)</f>
        <v/>
      </c>
      <c r="Z3">
        <f>SUMIFS(Y75:Y79,$A75:$A79,$B3)</f>
        <v/>
      </c>
      <c r="AA3">
        <f>SUMIFS(Z75:Z79,$A75:$A79,$B3)</f>
        <v/>
      </c>
      <c r="AB3">
        <f>SUMIFS(AA75:AA79,$A75:$A79,$B3)</f>
        <v/>
      </c>
      <c r="AC3">
        <f>SUMIFS(AB75:AB79,$A75:$A79,$B3)</f>
        <v/>
      </c>
      <c r="AD3">
        <f>SUMIFS(AC75:AC79,$A75:$A79,$B3)</f>
        <v/>
      </c>
      <c r="AE3">
        <f>SUMIFS(AD75:AD79,$A75:$A79,$B3)</f>
        <v/>
      </c>
      <c r="AF3">
        <f>SUMIFS(AE75:AE79,$A75:$A79,$B3)</f>
        <v/>
      </c>
      <c r="AG3">
        <f>SUMIFS(AF75:AF79,$A75:$A79,$B3)</f>
        <v/>
      </c>
      <c r="AH3">
        <f>SUMIFS(AG75:AG79,$A75:$A79,$B3)</f>
        <v/>
      </c>
      <c r="AI3">
        <f>SUMIFS(AH75:AH79,$A75:$A79,$B3)</f>
        <v/>
      </c>
    </row>
    <row r="4">
      <c r="F4" s="58" t="n"/>
    </row>
    <row r="7">
      <c r="A7" s="58" t="inlineStr">
        <is>
          <t>State or federal district</t>
        </is>
      </c>
      <c r="B7" s="58" t="inlineStr">
        <is>
          <t>Location (N)</t>
        </is>
      </c>
      <c r="E7" s="58" t="n"/>
    </row>
    <row r="8">
      <c r="A8" t="inlineStr">
        <is>
          <t>Alabama</t>
        </is>
      </c>
      <c r="B8" t="n">
        <v>32.7794</v>
      </c>
      <c r="C8">
        <f t="array" ref="C8">INDEX(A$61:A$65,MATCH(MIN(ABS(cities-B8)),ABS(cities-B8),0))</f>
        <v/>
      </c>
    </row>
    <row r="9">
      <c r="A9" t="inlineStr">
        <is>
          <t>Alaska</t>
        </is>
      </c>
      <c r="B9" t="n">
        <v>64.0685</v>
      </c>
      <c r="C9">
        <f t="array" ref="C9">INDEX(A$61:A$65,MATCH(MIN(ABS(cities-B9)),ABS(cities-B9),0))</f>
        <v/>
      </c>
    </row>
    <row r="10">
      <c r="A10" t="inlineStr">
        <is>
          <t>Arizona</t>
        </is>
      </c>
      <c r="B10" t="n">
        <v>34.2744</v>
      </c>
      <c r="C10">
        <f t="array" ref="C10">INDEX(A$61:A$65,MATCH(MIN(ABS(cities-B10)),ABS(cities-B10),0))</f>
        <v/>
      </c>
    </row>
    <row r="11">
      <c r="A11" t="inlineStr">
        <is>
          <t>Arkansas</t>
        </is>
      </c>
      <c r="B11" s="72" t="n">
        <v>34.8938</v>
      </c>
      <c r="C11">
        <f t="array" ref="C11">INDEX(A$61:A$65,MATCH(MIN(ABS(cities-B11)),ABS(cities-B11),0))</f>
        <v/>
      </c>
    </row>
    <row r="12">
      <c r="A12" t="inlineStr">
        <is>
          <t>California</t>
        </is>
      </c>
      <c r="B12" t="n">
        <v>37.1841</v>
      </c>
      <c r="C12">
        <f t="array" ref="C12">INDEX(A$61:A$65,MATCH(MIN(ABS(cities-B12)),ABS(cities-B12),0))</f>
        <v/>
      </c>
    </row>
    <row r="13">
      <c r="A13" t="inlineStr">
        <is>
          <t>Colorado</t>
        </is>
      </c>
      <c r="B13" t="n">
        <v>38.9972</v>
      </c>
      <c r="C13">
        <f t="array" ref="C13">INDEX(A$61:A$65,MATCH(MIN(ABS(cities-B13)),ABS(cities-B13),0))</f>
        <v/>
      </c>
    </row>
    <row r="14">
      <c r="A14" t="inlineStr">
        <is>
          <t>Connecticut</t>
        </is>
      </c>
      <c r="B14" t="n">
        <v>41.6219</v>
      </c>
      <c r="C14">
        <f t="array" ref="C14">INDEX(A$61:A$65,MATCH(MIN(ABS(cities-B14)),ABS(cities-B14),0))</f>
        <v/>
      </c>
    </row>
    <row r="15">
      <c r="A15" t="inlineStr">
        <is>
          <t>Delaware</t>
        </is>
      </c>
      <c r="B15" t="n">
        <v>38.9896</v>
      </c>
      <c r="C15">
        <f t="array" ref="C15">INDEX(A$61:A$65,MATCH(MIN(ABS(cities-B15)),ABS(cities-B15),0))</f>
        <v/>
      </c>
    </row>
    <row r="16">
      <c r="A16" t="inlineStr">
        <is>
          <t>District of Columbia</t>
        </is>
      </c>
      <c r="B16" t="n">
        <v>38.9101</v>
      </c>
      <c r="C16">
        <f t="array" ref="C16">INDEX(A$61:A$65,MATCH(MIN(ABS(cities-B16)),ABS(cities-B16),0))</f>
        <v/>
      </c>
    </row>
    <row r="17">
      <c r="A17" t="inlineStr">
        <is>
          <t>Florida</t>
        </is>
      </c>
      <c r="B17" t="n">
        <v>28.6305</v>
      </c>
      <c r="C17">
        <f t="array" ref="C17">INDEX(A$61:A$65,MATCH(MIN(ABS(cities-B17)),ABS(cities-B17),0))</f>
        <v/>
      </c>
    </row>
    <row r="18">
      <c r="A18" t="inlineStr">
        <is>
          <t>Georgia</t>
        </is>
      </c>
      <c r="B18" t="n">
        <v>32.6415</v>
      </c>
      <c r="C18">
        <f t="array" ref="C18">INDEX(A$61:A$65,MATCH(MIN(ABS(cities-B18)),ABS(cities-B18),0))</f>
        <v/>
      </c>
    </row>
    <row r="19">
      <c r="A19" t="inlineStr">
        <is>
          <t>Hawaii</t>
        </is>
      </c>
      <c r="B19" t="n">
        <v>20.2927</v>
      </c>
      <c r="C19">
        <f t="array" ref="C19">INDEX(A$61:A$65,MATCH(MIN(ABS(cities-B19)),ABS(cities-B19),0))</f>
        <v/>
      </c>
    </row>
    <row r="20">
      <c r="A20" t="inlineStr">
        <is>
          <t>Idaho</t>
        </is>
      </c>
      <c r="B20" t="n">
        <v>44.3509</v>
      </c>
      <c r="C20">
        <f t="array" ref="C20">INDEX(A$61:A$65,MATCH(MIN(ABS(cities-B20)),ABS(cities-B20),0))</f>
        <v/>
      </c>
    </row>
    <row r="21">
      <c r="A21" t="inlineStr">
        <is>
          <t>Illinois</t>
        </is>
      </c>
      <c r="B21" t="n">
        <v>40.0417</v>
      </c>
      <c r="C21">
        <f t="array" ref="C21">INDEX(A$61:A$65,MATCH(MIN(ABS(cities-B21)),ABS(cities-B21),0))</f>
        <v/>
      </c>
    </row>
    <row r="22">
      <c r="A22" t="inlineStr">
        <is>
          <t>Indiana</t>
        </is>
      </c>
      <c r="B22" t="n">
        <v>39.8942</v>
      </c>
      <c r="C22">
        <f t="array" ref="C22">INDEX(A$61:A$65,MATCH(MIN(ABS(cities-B22)),ABS(cities-B22),0))</f>
        <v/>
      </c>
    </row>
    <row r="23">
      <c r="A23" t="inlineStr">
        <is>
          <t>Iowa</t>
        </is>
      </c>
      <c r="B23" t="n">
        <v>42.0751</v>
      </c>
      <c r="C23">
        <f t="array" ref="C23">INDEX(A$61:A$65,MATCH(MIN(ABS(cities-B23)),ABS(cities-B23),0))</f>
        <v/>
      </c>
    </row>
    <row r="24">
      <c r="A24" t="inlineStr">
        <is>
          <t>Kansas</t>
        </is>
      </c>
      <c r="B24" t="n">
        <v>38.4937</v>
      </c>
      <c r="C24">
        <f t="array" ref="C24">INDEX(A$61:A$65,MATCH(MIN(ABS(cities-B24)),ABS(cities-B24),0))</f>
        <v/>
      </c>
    </row>
    <row r="25">
      <c r="A25" t="inlineStr">
        <is>
          <t>Kentucky</t>
        </is>
      </c>
      <c r="B25" t="n">
        <v>37.5347</v>
      </c>
      <c r="C25">
        <f t="array" ref="C25">INDEX(A$61:A$65,MATCH(MIN(ABS(cities-B25)),ABS(cities-B25),0))</f>
        <v/>
      </c>
    </row>
    <row r="26">
      <c r="A26" t="inlineStr">
        <is>
          <t>Louisiana</t>
        </is>
      </c>
      <c r="B26" t="n">
        <v>31.0689</v>
      </c>
      <c r="C26">
        <f t="array" ref="C26">INDEX(A$61:A$65,MATCH(MIN(ABS(cities-B26)),ABS(cities-B26),0))</f>
        <v/>
      </c>
    </row>
    <row r="27">
      <c r="A27" t="inlineStr">
        <is>
          <t>Maine</t>
        </is>
      </c>
      <c r="B27" t="n">
        <v>45.3695</v>
      </c>
      <c r="C27">
        <f t="array" ref="C27">INDEX(A$61:A$65,MATCH(MIN(ABS(cities-B27)),ABS(cities-B27),0))</f>
        <v/>
      </c>
    </row>
    <row r="28">
      <c r="A28" t="inlineStr">
        <is>
          <t>Maryland</t>
        </is>
      </c>
      <c r="B28" t="n">
        <v>39.055</v>
      </c>
      <c r="C28">
        <f t="array" ref="C28">INDEX(A$61:A$65,MATCH(MIN(ABS(cities-B28)),ABS(cities-B28),0))</f>
        <v/>
      </c>
    </row>
    <row r="29">
      <c r="A29" t="inlineStr">
        <is>
          <t>Massachusetts</t>
        </is>
      </c>
      <c r="B29" t="n">
        <v>42.2596</v>
      </c>
      <c r="C29">
        <f t="array" ref="C29">INDEX(A$61:A$65,MATCH(MIN(ABS(cities-B29)),ABS(cities-B29),0))</f>
        <v/>
      </c>
    </row>
    <row r="30">
      <c r="A30" t="inlineStr">
        <is>
          <t>Michigan</t>
        </is>
      </c>
      <c r="B30" t="n">
        <v>44.3467</v>
      </c>
      <c r="C30">
        <f t="array" ref="C30">INDEX(A$61:A$65,MATCH(MIN(ABS(cities-B30)),ABS(cities-B30),0))</f>
        <v/>
      </c>
    </row>
    <row r="31">
      <c r="A31" t="inlineStr">
        <is>
          <t>Minnesota</t>
        </is>
      </c>
      <c r="B31" t="n">
        <v>46.2807</v>
      </c>
      <c r="C31">
        <f t="array" ref="C31">INDEX(A$61:A$65,MATCH(MIN(ABS(cities-B31)),ABS(cities-B31),0))</f>
        <v/>
      </c>
    </row>
    <row r="32">
      <c r="A32" t="inlineStr">
        <is>
          <t>Mississippi</t>
        </is>
      </c>
      <c r="B32" t="n">
        <v>32.7364</v>
      </c>
      <c r="C32">
        <f t="array" ref="C32">INDEX(A$61:A$65,MATCH(MIN(ABS(cities-B32)),ABS(cities-B32),0))</f>
        <v/>
      </c>
    </row>
    <row r="33">
      <c r="A33" t="inlineStr">
        <is>
          <t>Missouri</t>
        </is>
      </c>
      <c r="B33" t="n">
        <v>38.3566</v>
      </c>
      <c r="C33">
        <f t="array" ref="C33">INDEX(A$61:A$65,MATCH(MIN(ABS(cities-B33)),ABS(cities-B33),0))</f>
        <v/>
      </c>
    </row>
    <row r="34">
      <c r="A34" t="inlineStr">
        <is>
          <t>Montana</t>
        </is>
      </c>
      <c r="B34" t="n">
        <v>47.0527</v>
      </c>
      <c r="C34">
        <f t="array" ref="C34">INDEX(A$61:A$65,MATCH(MIN(ABS(cities-B34)),ABS(cities-B34),0))</f>
        <v/>
      </c>
    </row>
    <row r="35">
      <c r="A35" t="inlineStr">
        <is>
          <t>Nebraska</t>
        </is>
      </c>
      <c r="B35" t="n">
        <v>41.5378</v>
      </c>
      <c r="C35">
        <f t="array" ref="C35">INDEX(A$61:A$65,MATCH(MIN(ABS(cities-B35)),ABS(cities-B35),0))</f>
        <v/>
      </c>
    </row>
    <row r="36">
      <c r="A36" t="inlineStr">
        <is>
          <t>Nevada</t>
        </is>
      </c>
      <c r="B36" t="n">
        <v>39.3289</v>
      </c>
      <c r="C36">
        <f t="array" ref="C36">INDEX(A$61:A$65,MATCH(MIN(ABS(cities-B36)),ABS(cities-B36),0))</f>
        <v/>
      </c>
    </row>
    <row r="37">
      <c r="A37" t="inlineStr">
        <is>
          <t>New Hampshire</t>
        </is>
      </c>
      <c r="B37" t="n">
        <v>43.6805</v>
      </c>
      <c r="C37">
        <f t="array" ref="C37">INDEX(A$61:A$65,MATCH(MIN(ABS(cities-B37)),ABS(cities-B37),0))</f>
        <v/>
      </c>
    </row>
    <row r="38">
      <c r="A38" t="inlineStr">
        <is>
          <t>New Jersey</t>
        </is>
      </c>
      <c r="B38" t="n">
        <v>40.1907</v>
      </c>
      <c r="C38">
        <f t="array" ref="C38">INDEX(A$61:A$65,MATCH(MIN(ABS(cities-B38)),ABS(cities-B38),0))</f>
        <v/>
      </c>
    </row>
    <row r="39">
      <c r="A39" t="inlineStr">
        <is>
          <t>New Mexico</t>
        </is>
      </c>
      <c r="B39" t="n">
        <v>34.4071</v>
      </c>
      <c r="C39">
        <f t="array" ref="C39">INDEX(A$61:A$65,MATCH(MIN(ABS(cities-B39)),ABS(cities-B39),0))</f>
        <v/>
      </c>
    </row>
    <row r="40">
      <c r="A40" t="inlineStr">
        <is>
          <t>New York</t>
        </is>
      </c>
      <c r="B40" t="n">
        <v>42.9538</v>
      </c>
      <c r="C40">
        <f t="array" ref="C40">INDEX(A$61:A$65,MATCH(MIN(ABS(cities-B40)),ABS(cities-B40),0))</f>
        <v/>
      </c>
    </row>
    <row r="41">
      <c r="A41" t="inlineStr">
        <is>
          <t>North Carolina</t>
        </is>
      </c>
      <c r="B41" t="n">
        <v>35.5557</v>
      </c>
      <c r="C41">
        <f t="array" ref="C41">INDEX(A$61:A$65,MATCH(MIN(ABS(cities-B41)),ABS(cities-B41),0))</f>
        <v/>
      </c>
    </row>
    <row r="42">
      <c r="A42" t="inlineStr">
        <is>
          <t>North Dakota</t>
        </is>
      </c>
      <c r="B42" t="n">
        <v>47.4501</v>
      </c>
      <c r="C42">
        <f t="array" ref="C42">INDEX(A$61:A$65,MATCH(MIN(ABS(cities-B42)),ABS(cities-B42),0))</f>
        <v/>
      </c>
    </row>
    <row r="43">
      <c r="A43" t="inlineStr">
        <is>
          <t>Ohio</t>
        </is>
      </c>
      <c r="B43" t="n">
        <v>40.2862</v>
      </c>
      <c r="C43">
        <f t="array" ref="C43">INDEX(A$61:A$65,MATCH(MIN(ABS(cities-B43)),ABS(cities-B43),0))</f>
        <v/>
      </c>
    </row>
    <row r="44">
      <c r="A44" t="inlineStr">
        <is>
          <t>Oklahoma</t>
        </is>
      </c>
      <c r="B44" t="n">
        <v>35.5889</v>
      </c>
      <c r="C44">
        <f t="array" ref="C44">INDEX(A$61:A$65,MATCH(MIN(ABS(cities-B44)),ABS(cities-B44),0))</f>
        <v/>
      </c>
    </row>
    <row r="45">
      <c r="A45" t="inlineStr">
        <is>
          <t>Oregon</t>
        </is>
      </c>
      <c r="B45" t="n">
        <v>43.9336</v>
      </c>
      <c r="C45">
        <f t="array" ref="C45">INDEX(A$61:A$65,MATCH(MIN(ABS(cities-B45)),ABS(cities-B45),0))</f>
        <v/>
      </c>
    </row>
    <row r="46">
      <c r="A46" t="inlineStr">
        <is>
          <t>Pennsylvania</t>
        </is>
      </c>
      <c r="B46" t="n">
        <v>40.8781</v>
      </c>
      <c r="C46">
        <f t="array" ref="C46">INDEX(A$61:A$65,MATCH(MIN(ABS(cities-B46)),ABS(cities-B46),0))</f>
        <v/>
      </c>
    </row>
    <row r="47">
      <c r="A47" t="inlineStr">
        <is>
          <t>Rhode Island</t>
        </is>
      </c>
      <c r="B47" t="n">
        <v>41.6762</v>
      </c>
      <c r="C47">
        <f t="array" ref="C47">INDEX(A$61:A$65,MATCH(MIN(ABS(cities-B47)),ABS(cities-B47),0))</f>
        <v/>
      </c>
    </row>
    <row r="48">
      <c r="A48" t="inlineStr">
        <is>
          <t>South Carolina</t>
        </is>
      </c>
      <c r="B48" t="n">
        <v>33.9169</v>
      </c>
      <c r="C48">
        <f t="array" ref="C48">INDEX(A$61:A$65,MATCH(MIN(ABS(cities-B48)),ABS(cities-B48),0))</f>
        <v/>
      </c>
    </row>
    <row r="49">
      <c r="A49" t="inlineStr">
        <is>
          <t>South Dakota</t>
        </is>
      </c>
      <c r="B49" t="n">
        <v>44.4443</v>
      </c>
      <c r="C49">
        <f t="array" ref="C49">INDEX(A$61:A$65,MATCH(MIN(ABS(cities-B49)),ABS(cities-B49),0))</f>
        <v/>
      </c>
    </row>
    <row r="50">
      <c r="A50" t="inlineStr">
        <is>
          <t>Tennessee</t>
        </is>
      </c>
      <c r="B50" t="n">
        <v>35.858</v>
      </c>
      <c r="C50">
        <f t="array" ref="C50">INDEX(A$61:A$65,MATCH(MIN(ABS(cities-B50)),ABS(cities-B50),0))</f>
        <v/>
      </c>
    </row>
    <row r="51">
      <c r="A51" t="inlineStr">
        <is>
          <t>Texas</t>
        </is>
      </c>
      <c r="B51" t="n">
        <v>31.4757</v>
      </c>
      <c r="C51">
        <f t="array" ref="C51">INDEX(A$61:A$65,MATCH(MIN(ABS(cities-B51)),ABS(cities-B51),0))</f>
        <v/>
      </c>
    </row>
    <row r="52">
      <c r="A52" t="inlineStr">
        <is>
          <t>Utah</t>
        </is>
      </c>
      <c r="B52" t="n">
        <v>39.3055</v>
      </c>
      <c r="C52">
        <f t="array" ref="C52">INDEX(A$61:A$65,MATCH(MIN(ABS(cities-B52)),ABS(cities-B52),0))</f>
        <v/>
      </c>
    </row>
    <row r="53">
      <c r="A53" t="inlineStr">
        <is>
          <t>Vermont</t>
        </is>
      </c>
      <c r="B53" t="n">
        <v>44.0687</v>
      </c>
      <c r="C53">
        <f t="array" ref="C53">INDEX(A$61:A$65,MATCH(MIN(ABS(cities-B53)),ABS(cities-B53),0))</f>
        <v/>
      </c>
    </row>
    <row r="54">
      <c r="A54" t="inlineStr">
        <is>
          <t>Virginia</t>
        </is>
      </c>
      <c r="B54" t="n">
        <v>37.5215</v>
      </c>
      <c r="C54">
        <f t="array" ref="C54">INDEX(A$61:A$65,MATCH(MIN(ABS(cities-B54)),ABS(cities-B54),0))</f>
        <v/>
      </c>
    </row>
    <row r="55">
      <c r="A55" t="inlineStr">
        <is>
          <t>Washington</t>
        </is>
      </c>
      <c r="B55" t="n">
        <v>47.3826</v>
      </c>
      <c r="C55">
        <f t="array" ref="C55">INDEX(A$61:A$65,MATCH(MIN(ABS(cities-B55)),ABS(cities-B55),0))</f>
        <v/>
      </c>
    </row>
    <row r="56">
      <c r="A56" t="inlineStr">
        <is>
          <t>West Virginia</t>
        </is>
      </c>
      <c r="B56" s="72" t="n">
        <v>38.6409</v>
      </c>
      <c r="C56">
        <f t="array" ref="C56">INDEX(A$61:A$65,MATCH(MIN(ABS(cities-B56)),ABS(cities-B56),0))</f>
        <v/>
      </c>
    </row>
    <row r="57">
      <c r="A57" t="inlineStr">
        <is>
          <t>Wisconsin</t>
        </is>
      </c>
      <c r="B57" t="n">
        <v>44.6243</v>
      </c>
      <c r="C57">
        <f t="array" ref="C57">INDEX(A$61:A$65,MATCH(MIN(ABS(cities-B57)),ABS(cities-B57),0))</f>
        <v/>
      </c>
    </row>
    <row r="58">
      <c r="A58" t="inlineStr">
        <is>
          <t>Wyoming</t>
        </is>
      </c>
      <c r="B58" t="n">
        <v>42.9957</v>
      </c>
      <c r="C58">
        <f t="array" ref="C58">INDEX(A$61:A$65,MATCH(MIN(ABS(cities-B58)),ABS(cities-B58),0))</f>
        <v/>
      </c>
    </row>
    <row r="60">
      <c r="B60" s="58" t="inlineStr">
        <is>
          <t>Latitude (N)</t>
        </is>
      </c>
    </row>
    <row r="61">
      <c r="A61" s="58" t="inlineStr">
        <is>
          <t>Seattle</t>
        </is>
      </c>
      <c r="B61" t="n">
        <v>47.6062</v>
      </c>
    </row>
    <row r="62">
      <c r="A62" s="58" t="inlineStr">
        <is>
          <t>Chicago</t>
        </is>
      </c>
      <c r="B62" t="n">
        <v>41.8781</v>
      </c>
    </row>
    <row r="63">
      <c r="A63" s="58" t="inlineStr">
        <is>
          <t>Kansas City</t>
        </is>
      </c>
      <c r="B63" t="n">
        <v>39.0997</v>
      </c>
    </row>
    <row r="64">
      <c r="A64" s="71" t="inlineStr">
        <is>
          <t>Los Angeles</t>
        </is>
      </c>
      <c r="B64" t="n">
        <v>34.0522</v>
      </c>
    </row>
    <row r="65">
      <c r="A65" s="71" t="inlineStr">
        <is>
          <t>Daggett</t>
        </is>
      </c>
      <c r="B65" t="n">
        <v>34.864</v>
      </c>
    </row>
    <row r="74">
      <c r="A74" s="12" t="n"/>
      <c r="B74" s="13" t="n">
        <v>2018</v>
      </c>
      <c r="C74" s="13" t="n">
        <v>2019</v>
      </c>
      <c r="D74" s="13" t="n">
        <v>2020</v>
      </c>
      <c r="E74" s="13" t="n">
        <v>2021</v>
      </c>
      <c r="F74" s="13" t="n">
        <v>2022</v>
      </c>
      <c r="G74" s="13" t="n">
        <v>2023</v>
      </c>
      <c r="H74" s="13" t="n">
        <v>2024</v>
      </c>
      <c r="I74" s="13" t="n">
        <v>2025</v>
      </c>
      <c r="J74" s="13" t="n">
        <v>2026</v>
      </c>
      <c r="K74" s="13" t="n">
        <v>2027</v>
      </c>
      <c r="L74" s="13" t="n">
        <v>2028</v>
      </c>
      <c r="M74" s="13" t="n">
        <v>2029</v>
      </c>
      <c r="N74" s="13" t="n">
        <v>2030</v>
      </c>
      <c r="O74" s="13" t="n">
        <v>2031</v>
      </c>
      <c r="P74" s="13" t="n">
        <v>2032</v>
      </c>
      <c r="Q74" s="13" t="n">
        <v>2033</v>
      </c>
      <c r="R74" s="13" t="n">
        <v>2034</v>
      </c>
      <c r="S74" s="13" t="n">
        <v>2035</v>
      </c>
      <c r="T74" s="13" t="n">
        <v>2036</v>
      </c>
      <c r="U74" s="13" t="n">
        <v>2037</v>
      </c>
      <c r="V74" s="13" t="n">
        <v>2038</v>
      </c>
      <c r="W74" s="13" t="n">
        <v>2039</v>
      </c>
      <c r="X74" s="13" t="n">
        <v>2040</v>
      </c>
      <c r="Y74" s="13" t="n">
        <v>2041</v>
      </c>
      <c r="Z74" s="13" t="n">
        <v>2042</v>
      </c>
      <c r="AA74" s="13" t="n">
        <v>2043</v>
      </c>
      <c r="AB74" s="13" t="n">
        <v>2044</v>
      </c>
      <c r="AC74" s="13" t="n">
        <v>2045</v>
      </c>
      <c r="AD74" s="13" t="n">
        <v>2046</v>
      </c>
      <c r="AE74" s="13" t="n">
        <v>2047</v>
      </c>
      <c r="AF74" s="13" t="n">
        <v>2048</v>
      </c>
      <c r="AG74" s="13" t="n">
        <v>2049</v>
      </c>
      <c r="AH74" s="13" t="n">
        <v>2050</v>
      </c>
    </row>
    <row r="75">
      <c r="A75" s="58" t="inlineStr">
        <is>
          <t>Seattle</t>
        </is>
      </c>
      <c r="B75" s="16" t="n">
        <v>0.2180283058947745</v>
      </c>
      <c r="C75" s="16" t="n">
        <v>0.2195715318424089</v>
      </c>
      <c r="D75" s="16" t="n">
        <v>0.2211147577900434</v>
      </c>
      <c r="E75" s="16" t="n">
        <v>0.2226579837376779</v>
      </c>
      <c r="F75" s="16" t="n">
        <v>0.2242012096853124</v>
      </c>
      <c r="G75" s="16" t="n">
        <v>0.2257444356329469</v>
      </c>
      <c r="H75" s="16" t="n">
        <v>0.2272876615805813</v>
      </c>
      <c r="I75" s="16" t="n">
        <v>0.2288308875282158</v>
      </c>
      <c r="J75" s="16" t="n">
        <v>0.2303741134758503</v>
      </c>
      <c r="K75" s="16" t="n">
        <v>0.2319173394234848</v>
      </c>
      <c r="L75" s="16" t="n">
        <v>0.2334605653711193</v>
      </c>
      <c r="M75" s="16" t="n">
        <v>0.2350037913187537</v>
      </c>
      <c r="N75" s="16" t="n">
        <v>0.2365470172663882</v>
      </c>
      <c r="O75" s="16" t="n">
        <v>0.2376548131135235</v>
      </c>
      <c r="P75" s="16" t="n">
        <v>0.2387626089606588</v>
      </c>
      <c r="Q75" s="16" t="n">
        <v>0.2398704048077941</v>
      </c>
      <c r="R75" s="16" t="n">
        <v>0.2409782006549294</v>
      </c>
      <c r="S75" s="16" t="n">
        <v>0.2420859965020647</v>
      </c>
      <c r="T75" s="16" t="n">
        <v>0.2431937923492</v>
      </c>
      <c r="U75" s="16" t="n">
        <v>0.2443015881963353</v>
      </c>
      <c r="V75" s="16" t="n">
        <v>0.2454093840434706</v>
      </c>
      <c r="W75" s="16" t="n">
        <v>0.2465171798906059</v>
      </c>
      <c r="X75" s="16" t="n">
        <v>0.2476249757377412</v>
      </c>
      <c r="Y75" s="16" t="n">
        <v>0.2487327715848765</v>
      </c>
      <c r="Z75" s="16" t="n">
        <v>0.2498405674320118</v>
      </c>
      <c r="AA75" s="16" t="n">
        <v>0.2509483632791471</v>
      </c>
      <c r="AB75" s="16" t="n">
        <v>0.2520561591262824</v>
      </c>
      <c r="AC75" s="16" t="n">
        <v>0.2531639549734178</v>
      </c>
      <c r="AD75" s="16" t="n">
        <v>0.2542717508205531</v>
      </c>
      <c r="AE75" s="16" t="n">
        <v>0.2553795466676884</v>
      </c>
      <c r="AF75" s="16" t="n">
        <v>0.2564873425148237</v>
      </c>
      <c r="AG75" s="16" t="n">
        <v>0.2575951383619591</v>
      </c>
      <c r="AH75" s="16" t="n">
        <v>0.2587029342090945</v>
      </c>
    </row>
    <row r="76">
      <c r="A76" s="58" t="inlineStr">
        <is>
          <t>Chicago</t>
        </is>
      </c>
      <c r="B76" s="16" t="n">
        <v>0.2516553283865109</v>
      </c>
      <c r="C76" s="16" t="n">
        <v>0.253374117649325</v>
      </c>
      <c r="D76" s="16" t="n">
        <v>0.2550929069121391</v>
      </c>
      <c r="E76" s="16" t="n">
        <v>0.2568116961749532</v>
      </c>
      <c r="F76" s="16" t="n">
        <v>0.2585304854377673</v>
      </c>
      <c r="G76" s="16" t="n">
        <v>0.2602492747005814</v>
      </c>
      <c r="H76" s="16" t="n">
        <v>0.2619680639633955</v>
      </c>
      <c r="I76" s="16" t="n">
        <v>0.2636868532262096</v>
      </c>
      <c r="J76" s="16" t="n">
        <v>0.2654056424890237</v>
      </c>
      <c r="K76" s="16" t="n">
        <v>0.2671244317518378</v>
      </c>
      <c r="L76" s="16" t="n">
        <v>0.2688432210146519</v>
      </c>
      <c r="M76" s="16" t="n">
        <v>0.270562010277466</v>
      </c>
      <c r="N76" s="16" t="n">
        <v>0.2722807995402801</v>
      </c>
      <c r="O76" s="16" t="n">
        <v>0.2735113207362871</v>
      </c>
      <c r="P76" s="16" t="n">
        <v>0.2747418419322941</v>
      </c>
      <c r="Q76" s="16" t="n">
        <v>0.2759723631283011</v>
      </c>
      <c r="R76" s="16" t="n">
        <v>0.2772028843243082</v>
      </c>
      <c r="S76" s="16" t="n">
        <v>0.2784334055203152</v>
      </c>
      <c r="T76" s="16" t="n">
        <v>0.2796639267163222</v>
      </c>
      <c r="U76" s="16" t="n">
        <v>0.2808944479123293</v>
      </c>
      <c r="V76" s="16" t="n">
        <v>0.2821249691083363</v>
      </c>
      <c r="W76" s="16" t="n">
        <v>0.2833554903043433</v>
      </c>
      <c r="X76" s="16" t="n">
        <v>0.2845860115003503</v>
      </c>
      <c r="Y76" s="16" t="n">
        <v>0.2858165326963574</v>
      </c>
      <c r="Z76" s="16" t="n">
        <v>0.2870470538923644</v>
      </c>
      <c r="AA76" s="16" t="n">
        <v>0.2882775750883714</v>
      </c>
      <c r="AB76" s="16" t="n">
        <v>0.2895080962843785</v>
      </c>
      <c r="AC76" s="16" t="n">
        <v>0.2907386174803855</v>
      </c>
      <c r="AD76" s="16" t="n">
        <v>0.2919691386763925</v>
      </c>
      <c r="AE76" s="16" t="n">
        <v>0.2931996598723995</v>
      </c>
      <c r="AF76" s="16" t="n">
        <v>0.2944301810684066</v>
      </c>
      <c r="AG76" s="16" t="n">
        <v>0.2956607022644136</v>
      </c>
      <c r="AH76" s="16" t="n">
        <v>0.2968912234604205</v>
      </c>
    </row>
    <row r="77">
      <c r="A77" s="58" t="inlineStr">
        <is>
          <t>Kansas City</t>
        </is>
      </c>
      <c r="B77" s="16" t="n">
        <v>0.2722383539810847</v>
      </c>
      <c r="C77" s="16" t="n">
        <v>0.2739506102302762</v>
      </c>
      <c r="D77" s="16" t="n">
        <v>0.2756628664794676</v>
      </c>
      <c r="E77" s="16" t="n">
        <v>0.2773751227286591</v>
      </c>
      <c r="F77" s="16" t="n">
        <v>0.2790873789778506</v>
      </c>
      <c r="G77" s="16" t="n">
        <v>0.280799635227042</v>
      </c>
      <c r="H77" s="16" t="n">
        <v>0.2825118914762335</v>
      </c>
      <c r="I77" s="16" t="n">
        <v>0.284224147725425</v>
      </c>
      <c r="J77" s="16" t="n">
        <v>0.2859364039746164</v>
      </c>
      <c r="K77" s="16" t="n">
        <v>0.2876486602238079</v>
      </c>
      <c r="L77" s="16" t="n">
        <v>0.2893609164729994</v>
      </c>
      <c r="M77" s="16" t="n">
        <v>0.2910731727221909</v>
      </c>
      <c r="N77" s="16" t="n">
        <v>0.2927854289713823</v>
      </c>
      <c r="O77" s="16" t="n">
        <v>0.2939987951461507</v>
      </c>
      <c r="P77" s="16" t="n">
        <v>0.295212161320919</v>
      </c>
      <c r="Q77" s="16" t="n">
        <v>0.2964255274956874</v>
      </c>
      <c r="R77" s="16" t="n">
        <v>0.2976388936704558</v>
      </c>
      <c r="S77" s="16" t="n">
        <v>0.2988522598452241</v>
      </c>
      <c r="T77" s="16" t="n">
        <v>0.3000656260199925</v>
      </c>
      <c r="U77" s="16" t="n">
        <v>0.3012789921947608</v>
      </c>
      <c r="V77" s="16" t="n">
        <v>0.3024923583695292</v>
      </c>
      <c r="W77" s="16" t="n">
        <v>0.3037057245442976</v>
      </c>
      <c r="X77" s="16" t="n">
        <v>0.3049190907190659</v>
      </c>
      <c r="Y77" s="16" t="n">
        <v>0.3061324568938343</v>
      </c>
      <c r="Z77" s="16" t="n">
        <v>0.3073458230686026</v>
      </c>
      <c r="AA77" s="16" t="n">
        <v>0.308559189243371</v>
      </c>
      <c r="AB77" s="16" t="n">
        <v>0.3097725554181394</v>
      </c>
      <c r="AC77" s="16" t="n">
        <v>0.3109859215929077</v>
      </c>
      <c r="AD77" s="16" t="n">
        <v>0.3121992877676761</v>
      </c>
      <c r="AE77" s="16" t="n">
        <v>0.3134126539424444</v>
      </c>
      <c r="AF77" s="16" t="n">
        <v>0.3146260201172128</v>
      </c>
      <c r="AG77" s="16" t="n">
        <v>0.3158393862919812</v>
      </c>
      <c r="AH77" s="16" t="n">
        <v>0.3170527524667499</v>
      </c>
    </row>
    <row r="78">
      <c r="A78" s="71" t="inlineStr">
        <is>
          <t>Los Angeles</t>
        </is>
      </c>
      <c r="B78" s="16" t="n">
        <v>0.318868969933655</v>
      </c>
      <c r="C78" s="16" t="n">
        <v>0.3205174207866848</v>
      </c>
      <c r="D78" s="16" t="n">
        <v>0.3221658716397146</v>
      </c>
      <c r="E78" s="16" t="n">
        <v>0.3238143224927443</v>
      </c>
      <c r="F78" s="16" t="n">
        <v>0.3254627733457741</v>
      </c>
      <c r="G78" s="16" t="n">
        <v>0.3271112241988039</v>
      </c>
      <c r="H78" s="16" t="n">
        <v>0.3287596750518337</v>
      </c>
      <c r="I78" s="16" t="n">
        <v>0.3304081259048635</v>
      </c>
      <c r="J78" s="16" t="n">
        <v>0.3320565767578932</v>
      </c>
      <c r="K78" s="16" t="n">
        <v>0.333705027610923</v>
      </c>
      <c r="L78" s="16" t="n">
        <v>0.3353534784639528</v>
      </c>
      <c r="M78" s="16" t="n">
        <v>0.3370019293169826</v>
      </c>
      <c r="N78" s="16" t="n">
        <v>0.3386503801700121</v>
      </c>
      <c r="O78" s="16" t="n">
        <v>0.3397884095046168</v>
      </c>
      <c r="P78" s="16" t="n">
        <v>0.3409264388392215</v>
      </c>
      <c r="Q78" s="16" t="n">
        <v>0.3420644681738262</v>
      </c>
      <c r="R78" s="16" t="n">
        <v>0.343202497508431</v>
      </c>
      <c r="S78" s="16" t="n">
        <v>0.3443405268430357</v>
      </c>
      <c r="T78" s="16" t="n">
        <v>0.3454785561776404</v>
      </c>
      <c r="U78" s="16" t="n">
        <v>0.3466165855122451</v>
      </c>
      <c r="V78" s="16" t="n">
        <v>0.3477546148468498</v>
      </c>
      <c r="W78" s="16" t="n">
        <v>0.3488926441814545</v>
      </c>
      <c r="X78" s="16" t="n">
        <v>0.3500306735160593</v>
      </c>
      <c r="Y78" s="16" t="n">
        <v>0.351168702850664</v>
      </c>
      <c r="Z78" s="16" t="n">
        <v>0.3523067321852687</v>
      </c>
      <c r="AA78" s="16" t="n">
        <v>0.3534447615198734</v>
      </c>
      <c r="AB78" s="16" t="n">
        <v>0.3545827908544781</v>
      </c>
      <c r="AC78" s="16" t="n">
        <v>0.3557208201890829</v>
      </c>
      <c r="AD78" s="16" t="n">
        <v>0.3568588495236876</v>
      </c>
      <c r="AE78" s="16" t="n">
        <v>0.3579968788582923</v>
      </c>
      <c r="AF78" s="16" t="n">
        <v>0.359134908192897</v>
      </c>
      <c r="AG78" s="16" t="n">
        <v>0.3602729375275017</v>
      </c>
      <c r="AH78" s="16" t="n">
        <v>0.3614109668621069</v>
      </c>
    </row>
    <row r="79">
      <c r="A79" s="71" t="inlineStr">
        <is>
          <t>Daggett</t>
        </is>
      </c>
      <c r="B79" s="16" t="n">
        <v>0.3514619169768601</v>
      </c>
      <c r="C79" s="16" t="n">
        <v>0.3531936723141954</v>
      </c>
      <c r="D79" s="16" t="n">
        <v>0.3549254276515306</v>
      </c>
      <c r="E79" s="16" t="n">
        <v>0.3566571829888658</v>
      </c>
      <c r="F79" s="16" t="n">
        <v>0.358388938326201</v>
      </c>
      <c r="G79" s="16" t="n">
        <v>0.3601206936635362</v>
      </c>
      <c r="H79" s="16" t="n">
        <v>0.3618524490008714</v>
      </c>
      <c r="I79" s="16" t="n">
        <v>0.3635842043382067</v>
      </c>
      <c r="J79" s="16" t="n">
        <v>0.3653159596755419</v>
      </c>
      <c r="K79" s="16" t="n">
        <v>0.3670477150128771</v>
      </c>
      <c r="L79" s="16" t="n">
        <v>0.3687794703502123</v>
      </c>
      <c r="M79" s="16" t="n">
        <v>0.3705112256875475</v>
      </c>
      <c r="N79" s="16" t="n">
        <v>0.3722429810248825</v>
      </c>
      <c r="O79" s="16" t="n">
        <v>0.3733760177252539</v>
      </c>
      <c r="P79" s="16" t="n">
        <v>0.3745090544256253</v>
      </c>
      <c r="Q79" s="16" t="n">
        <v>0.3756420911259967</v>
      </c>
      <c r="R79" s="16" t="n">
        <v>0.3767751278263681</v>
      </c>
      <c r="S79" s="16" t="n">
        <v>0.3779081645267395</v>
      </c>
      <c r="T79" s="16" t="n">
        <v>0.3790412012271109</v>
      </c>
      <c r="U79" s="16" t="n">
        <v>0.3801742379274823</v>
      </c>
      <c r="V79" s="16" t="n">
        <v>0.3813072746278537</v>
      </c>
      <c r="W79" s="16" t="n">
        <v>0.3824403113282251</v>
      </c>
      <c r="X79" s="16" t="n">
        <v>0.3835733480285965</v>
      </c>
      <c r="Y79" s="16" t="n">
        <v>0.3847063847289679</v>
      </c>
      <c r="Z79" s="16" t="n">
        <v>0.3858394214293393</v>
      </c>
      <c r="AA79" s="16" t="n">
        <v>0.3869724581297107</v>
      </c>
      <c r="AB79" s="16" t="n">
        <v>0.3881054948300821</v>
      </c>
      <c r="AC79" s="16" t="n">
        <v>0.3892385315304535</v>
      </c>
      <c r="AD79" s="16" t="n">
        <v>0.3903715682308249</v>
      </c>
      <c r="AE79" s="16" t="n">
        <v>0.3915046049311963</v>
      </c>
      <c r="AF79" s="16" t="n">
        <v>0.3926376416315677</v>
      </c>
      <c r="AG79" s="16" t="n">
        <v>0.3937706783319391</v>
      </c>
      <c r="AH79" s="16" t="n">
        <v>0.3949037150323106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G26" sqref="G26"/>
    </sheetView>
  </sheetViews>
  <sheetFormatPr baseColWidth="10" defaultColWidth="12.6640625" defaultRowHeight="15" customHeight="1"/>
  <cols>
    <col width="14.1640625" customWidth="1" style="82" min="1" max="1"/>
    <col width="11.33203125" customWidth="1" style="82" min="2" max="2"/>
    <col width="10" customWidth="1" style="82" min="3" max="3"/>
    <col width="11.33203125" customWidth="1" style="82" min="4" max="4"/>
    <col width="10" customWidth="1" style="82" min="5" max="5"/>
    <col width="11.33203125" customWidth="1" style="82" min="6" max="6"/>
    <col width="10" customWidth="1" style="82" min="7" max="7"/>
    <col width="11.33203125" customWidth="1" style="82" min="8" max="8"/>
    <col width="10" customWidth="1" style="82" min="9" max="9"/>
    <col width="11.33203125" customWidth="1" style="82" min="10" max="10"/>
    <col width="10" customWidth="1" style="82" min="11" max="11"/>
    <col width="11.33203125" customWidth="1" style="82" min="12" max="12"/>
    <col width="10" customWidth="1" style="82" min="13" max="13"/>
    <col width="11.33203125" customWidth="1" style="82" min="14" max="14"/>
    <col width="10" customWidth="1" style="82" min="15" max="15"/>
    <col width="11.33203125" customWidth="1" style="82" min="16" max="16"/>
    <col width="10" customWidth="1" style="82" min="17" max="17"/>
    <col width="11.33203125" customWidth="1" style="82" min="18" max="18"/>
    <col width="10" customWidth="1" style="82" min="19" max="19"/>
    <col width="7.6640625" customWidth="1" style="82" min="20" max="26"/>
  </cols>
  <sheetData>
    <row r="1" ht="15.75" customHeight="1" s="82">
      <c r="A1" s="81" t="inlineStr">
        <is>
          <t>Table 4.08.B. Capacity Factors for Utility Scale Generators Primarily Using Non-Fossil Fuels</t>
        </is>
      </c>
      <c r="T1" s="50" t="n"/>
      <c r="U1" s="50" t="n"/>
      <c r="V1" s="50" t="n"/>
      <c r="W1" s="50" t="n"/>
      <c r="X1" s="50" t="n"/>
      <c r="Y1" s="50" t="n"/>
      <c r="Z1" s="50" t="n"/>
    </row>
    <row r="2" ht="14.5" customHeight="1" s="82">
      <c r="A2" s="79" t="n"/>
      <c r="B2" s="79" t="inlineStr">
        <is>
          <t>Geothermal</t>
        </is>
      </c>
      <c r="C2" s="80" t="n"/>
      <c r="D2" s="79" t="inlineStr">
        <is>
          <t>Hydroelectric</t>
        </is>
      </c>
      <c r="E2" s="80" t="n"/>
      <c r="F2" s="79" t="inlineStr">
        <is>
          <t>Nuclear</t>
        </is>
      </c>
      <c r="G2" s="80" t="n"/>
      <c r="H2" s="79" t="inlineStr">
        <is>
          <t>Other Biomass</t>
        </is>
      </c>
      <c r="I2" s="80" t="n"/>
      <c r="J2" s="79" t="inlineStr">
        <is>
          <t>Other Gas</t>
        </is>
      </c>
      <c r="K2" s="80" t="n"/>
      <c r="L2" s="79" t="inlineStr">
        <is>
          <t>Solar</t>
        </is>
      </c>
      <c r="M2" s="83" t="n"/>
      <c r="N2" s="83" t="n"/>
      <c r="O2" s="80" t="n"/>
      <c r="P2" s="79" t="inlineStr">
        <is>
          <t>Wind</t>
        </is>
      </c>
      <c r="Q2" s="80" t="n"/>
      <c r="R2" s="79" t="inlineStr">
        <is>
          <t>Wood</t>
        </is>
      </c>
      <c r="S2" s="80" t="n"/>
      <c r="T2" s="50" t="n"/>
      <c r="U2" s="50" t="n"/>
      <c r="V2" s="50" t="n"/>
      <c r="W2" s="50" t="n"/>
      <c r="X2" s="50" t="n"/>
      <c r="Y2" s="50" t="n"/>
      <c r="Z2" s="50" t="n"/>
    </row>
    <row r="3" ht="14.5" customHeight="1" s="82">
      <c r="A3" s="79" t="inlineStr">
        <is>
          <t>Year/Month</t>
        </is>
      </c>
      <c r="B3" s="79" t="n"/>
      <c r="C3" s="83" t="n"/>
      <c r="D3" s="83" t="n"/>
      <c r="E3" s="83" t="n"/>
      <c r="F3" s="83" t="n"/>
      <c r="G3" s="83" t="n"/>
      <c r="H3" s="83" t="n"/>
      <c r="I3" s="83" t="n"/>
      <c r="J3" s="83" t="n"/>
      <c r="K3" s="80" t="n"/>
      <c r="L3" s="79" t="inlineStr">
        <is>
          <t>Photovoltaic</t>
        </is>
      </c>
      <c r="M3" s="80" t="n"/>
      <c r="N3" s="79" t="inlineStr">
        <is>
          <t>Thermal</t>
        </is>
      </c>
      <c r="O3" s="80" t="n"/>
      <c r="P3" s="79" t="n"/>
      <c r="Q3" s="83" t="n"/>
      <c r="R3" s="83" t="n"/>
      <c r="S3" s="80" t="n"/>
      <c r="T3" s="50" t="n"/>
      <c r="U3" s="50" t="n"/>
      <c r="V3" s="50" t="n"/>
      <c r="W3" s="50" t="n"/>
      <c r="X3" s="50" t="n"/>
      <c r="Y3" s="50" t="n"/>
      <c r="Z3" s="50" t="n"/>
    </row>
    <row r="4" ht="28.5" customHeight="1" s="82">
      <c r="A4" s="79" t="n"/>
      <c r="B4" s="51" t="inlineStr">
        <is>
          <t>Time Adjusted Capacity</t>
        </is>
      </c>
      <c r="C4" s="52" t="inlineStr">
        <is>
          <t>Capacity Factor</t>
        </is>
      </c>
      <c r="D4" s="51" t="inlineStr">
        <is>
          <t>Time Adjusted Capacity</t>
        </is>
      </c>
      <c r="E4" s="52" t="inlineStr">
        <is>
          <t>Capacity Factor</t>
        </is>
      </c>
      <c r="F4" s="51" t="inlineStr">
        <is>
          <t>Time Adjusted Capacity</t>
        </is>
      </c>
      <c r="G4" s="52" t="inlineStr">
        <is>
          <t>Capacity Factor</t>
        </is>
      </c>
      <c r="H4" s="51" t="inlineStr">
        <is>
          <t>Time Adjusted Capacity</t>
        </is>
      </c>
      <c r="I4" s="52" t="inlineStr">
        <is>
          <t>Capacity Factor</t>
        </is>
      </c>
      <c r="J4" s="51" t="inlineStr">
        <is>
          <t>Time Adjusted Capacity</t>
        </is>
      </c>
      <c r="K4" s="52" t="inlineStr">
        <is>
          <t>Capacity Factor</t>
        </is>
      </c>
      <c r="L4" s="51" t="inlineStr">
        <is>
          <t>Time Adjusted Capacity</t>
        </is>
      </c>
      <c r="M4" s="52" t="inlineStr">
        <is>
          <t>Capacity Factor</t>
        </is>
      </c>
      <c r="N4" s="51" t="inlineStr">
        <is>
          <t>Time Adjusted Capacity</t>
        </is>
      </c>
      <c r="O4" s="52" t="inlineStr">
        <is>
          <t>Capacity Factor</t>
        </is>
      </c>
      <c r="P4" s="51" t="inlineStr">
        <is>
          <t>Time Adjusted Capacity</t>
        </is>
      </c>
      <c r="Q4" s="52" t="inlineStr">
        <is>
          <t>Capacity Factor</t>
        </is>
      </c>
      <c r="R4" s="51" t="inlineStr">
        <is>
          <t>Time Adjusted Capacity</t>
        </is>
      </c>
      <c r="S4" s="52" t="inlineStr">
        <is>
          <t>Capacity Factor</t>
        </is>
      </c>
      <c r="T4" s="50" t="n"/>
      <c r="U4" s="50" t="n"/>
      <c r="V4" s="50" t="n"/>
      <c r="W4" s="50" t="n"/>
      <c r="X4" s="50" t="n"/>
      <c r="Y4" s="50" t="n"/>
      <c r="Z4" s="50" t="n"/>
    </row>
    <row r="5" ht="14.5" customHeight="1" s="82">
      <c r="A5" s="84" t="inlineStr">
        <is>
          <t>Annual Data</t>
        </is>
      </c>
      <c r="T5" s="50" t="n"/>
      <c r="U5" s="50" t="n"/>
      <c r="V5" s="50" t="n"/>
      <c r="W5" s="50" t="n"/>
      <c r="X5" s="50" t="n"/>
      <c r="Y5" s="50" t="n"/>
      <c r="Z5" s="50" t="n"/>
    </row>
    <row r="6" ht="14.5" customHeight="1" s="82">
      <c r="A6" s="53" t="n">
        <v>2008</v>
      </c>
      <c r="B6" s="54" t="n">
        <v>2225.4</v>
      </c>
      <c r="C6" s="55" t="n">
        <v>0.743</v>
      </c>
      <c r="D6" s="54" t="n">
        <v>77925.2</v>
      </c>
      <c r="E6" s="55" t="n">
        <v>0.371</v>
      </c>
      <c r="F6" s="54" t="n">
        <v>100754.9</v>
      </c>
      <c r="G6" s="55" t="n">
        <v>0.911</v>
      </c>
      <c r="H6" s="54" t="n">
        <v>4112.4</v>
      </c>
      <c r="I6" s="55" t="n">
        <v>0.648</v>
      </c>
      <c r="J6" s="54" t="n">
        <v>1882</v>
      </c>
      <c r="K6" s="55" t="n">
        <v>0.468</v>
      </c>
      <c r="L6" s="54" t="n">
        <v>42.8</v>
      </c>
      <c r="M6" s="55" t="n">
        <v>0.192</v>
      </c>
      <c r="N6" s="54" t="n">
        <v>507.5</v>
      </c>
      <c r="O6" s="55" t="n">
        <v>0.195</v>
      </c>
      <c r="P6" s="54" t="n">
        <v>19275.3</v>
      </c>
      <c r="Q6" s="55" t="n">
        <v>0.317</v>
      </c>
      <c r="R6" s="54" t="n">
        <v>6970</v>
      </c>
      <c r="S6" s="55" t="n">
        <v>0.636</v>
      </c>
      <c r="T6" s="50" t="n"/>
      <c r="U6" s="50" t="n"/>
      <c r="V6" s="50" t="n"/>
      <c r="W6" s="50" t="n"/>
      <c r="X6" s="50" t="n"/>
      <c r="Y6" s="50" t="n"/>
      <c r="Z6" s="50" t="n"/>
    </row>
    <row r="7" ht="14.5" customHeight="1" s="82">
      <c r="A7" s="53" t="n">
        <v>2009</v>
      </c>
      <c r="B7" s="54" t="n">
        <v>2278</v>
      </c>
      <c r="C7" s="55" t="n">
        <v>0.73</v>
      </c>
      <c r="D7" s="54" t="n">
        <v>78500.39999999999</v>
      </c>
      <c r="E7" s="55" t="n">
        <v>0.396</v>
      </c>
      <c r="F7" s="54" t="n">
        <v>101003.7</v>
      </c>
      <c r="G7" s="55" t="n">
        <v>0.903</v>
      </c>
      <c r="H7" s="54" t="n">
        <v>4183.9</v>
      </c>
      <c r="I7" s="55" t="n">
        <v>0.65</v>
      </c>
      <c r="J7" s="54" t="n">
        <v>1752.2</v>
      </c>
      <c r="K7" s="55" t="n">
        <v>0.434</v>
      </c>
      <c r="L7" s="54" t="n">
        <v>81.90000000000001</v>
      </c>
      <c r="M7" s="55" t="n">
        <v>0.2</v>
      </c>
      <c r="N7" s="54" t="n">
        <v>468.2</v>
      </c>
      <c r="O7" s="55" t="n">
        <v>0.236</v>
      </c>
      <c r="P7" s="54" t="n">
        <v>28996.9</v>
      </c>
      <c r="Q7" s="55" t="n">
        <v>0.281</v>
      </c>
      <c r="R7" s="54" t="n">
        <v>6936.4</v>
      </c>
      <c r="S7" s="55" t="n">
        <v>0.617</v>
      </c>
      <c r="T7" s="50" t="n"/>
      <c r="U7" s="50" t="n"/>
      <c r="V7" s="50" t="n"/>
      <c r="W7" s="50" t="n"/>
      <c r="X7" s="50" t="n"/>
      <c r="Y7" s="50" t="n"/>
      <c r="Z7" s="50" t="n"/>
    </row>
    <row r="8" ht="14.5" customHeight="1" s="82">
      <c r="A8" s="53" t="n">
        <v>2010</v>
      </c>
      <c r="B8" s="54" t="n">
        <v>2392.1</v>
      </c>
      <c r="C8" s="55" t="n">
        <v>0.716</v>
      </c>
      <c r="D8" s="54" t="n">
        <v>78810.3</v>
      </c>
      <c r="E8" s="55" t="n">
        <v>0.375</v>
      </c>
      <c r="F8" s="54" t="n">
        <v>101167.4</v>
      </c>
      <c r="G8" s="55" t="n">
        <v>0.911</v>
      </c>
      <c r="H8" s="54" t="n">
        <v>4298.7</v>
      </c>
      <c r="I8" s="55" t="n">
        <v>0.642</v>
      </c>
      <c r="J8" s="54" t="n">
        <v>1929</v>
      </c>
      <c r="K8" s="55" t="n">
        <v>0.505</v>
      </c>
      <c r="L8" s="54" t="n">
        <v>206.8</v>
      </c>
      <c r="M8" s="55" t="n">
        <v>0.202</v>
      </c>
      <c r="N8" s="54" t="n">
        <v>473</v>
      </c>
      <c r="O8" s="55" t="n">
        <v>0.245</v>
      </c>
      <c r="P8" s="54" t="n">
        <v>35702.6</v>
      </c>
      <c r="Q8" s="55" t="n">
        <v>0.297</v>
      </c>
      <c r="R8" s="54" t="n">
        <v>6991.5</v>
      </c>
      <c r="S8" s="55" t="n">
        <v>0.615</v>
      </c>
      <c r="T8" s="50" t="n"/>
      <c r="U8" s="50" t="n"/>
      <c r="V8" s="50" t="n"/>
      <c r="W8" s="50" t="n"/>
      <c r="X8" s="50" t="n"/>
      <c r="Y8" s="50" t="n"/>
      <c r="Z8" s="50" t="n"/>
    </row>
    <row r="9" ht="14.5" customHeight="1" s="82">
      <c r="A9" s="53" t="n">
        <v>2011</v>
      </c>
      <c r="B9" s="54" t="n">
        <v>2407.9</v>
      </c>
      <c r="C9" s="55" t="n">
        <v>0.715</v>
      </c>
      <c r="D9" s="54" t="n">
        <v>78564.7</v>
      </c>
      <c r="E9" s="55" t="n">
        <v>0.458</v>
      </c>
      <c r="F9" s="54" t="n">
        <v>101265.1</v>
      </c>
      <c r="G9" s="55" t="n">
        <v>0.891</v>
      </c>
      <c r="H9" s="54" t="n">
        <v>4469.8</v>
      </c>
      <c r="I9" s="55" t="n">
        <v>0.642</v>
      </c>
      <c r="J9" s="54" t="n">
        <v>1902.7</v>
      </c>
      <c r="K9" s="55" t="n">
        <v>0.541</v>
      </c>
      <c r="L9" s="54" t="n">
        <v>537</v>
      </c>
      <c r="M9" s="55" t="n">
        <v>0.19</v>
      </c>
      <c r="N9" s="54" t="n">
        <v>485.3</v>
      </c>
      <c r="O9" s="55" t="n">
        <v>0.239</v>
      </c>
      <c r="P9" s="54" t="n">
        <v>42019.2</v>
      </c>
      <c r="Q9" s="55" t="n">
        <v>0.321</v>
      </c>
      <c r="R9" s="54" t="n">
        <v>7000.3</v>
      </c>
      <c r="S9" s="55" t="n">
        <v>0.596</v>
      </c>
      <c r="T9" s="50" t="n"/>
      <c r="U9" s="50" t="n"/>
      <c r="V9" s="50" t="n"/>
      <c r="W9" s="50" t="n"/>
      <c r="X9" s="50" t="n"/>
      <c r="Y9" s="50" t="n"/>
      <c r="Z9" s="50" t="n"/>
    </row>
    <row r="10" ht="14.5" customHeight="1" s="82">
      <c r="A10" s="53" t="n">
        <v>2012</v>
      </c>
      <c r="B10" s="54" t="n">
        <v>2531.8</v>
      </c>
      <c r="C10" s="55" t="n">
        <v>0.6830000000000001</v>
      </c>
      <c r="D10" s="54" t="n">
        <v>78296.60000000001</v>
      </c>
      <c r="E10" s="55" t="n">
        <v>0.396</v>
      </c>
      <c r="F10" s="54" t="n">
        <v>101166</v>
      </c>
      <c r="G10" s="55" t="n">
        <v>0.866</v>
      </c>
      <c r="H10" s="54" t="n">
        <v>4639.7</v>
      </c>
      <c r="I10" s="55" t="n">
        <v>0.633</v>
      </c>
      <c r="J10" s="54" t="n">
        <v>1802.8</v>
      </c>
      <c r="K10" s="55" t="n">
        <v>0.596</v>
      </c>
      <c r="L10" s="54" t="n">
        <v>1527.1</v>
      </c>
      <c r="M10" s="55" t="n">
        <v>0.204</v>
      </c>
      <c r="N10" s="54" t="n">
        <v>476</v>
      </c>
      <c r="O10" s="55" t="n">
        <v>0.236</v>
      </c>
      <c r="P10" s="54" t="n">
        <v>49458</v>
      </c>
      <c r="Q10" s="55" t="n">
        <v>0.318</v>
      </c>
      <c r="R10" s="54" t="n">
        <v>7089.1</v>
      </c>
      <c r="S10" s="55" t="n">
        <v>0.613</v>
      </c>
      <c r="T10" s="50" t="n"/>
      <c r="U10" s="50" t="n"/>
      <c r="V10" s="50" t="n"/>
      <c r="W10" s="50" t="n"/>
      <c r="X10" s="50" t="n"/>
      <c r="Y10" s="50" t="n"/>
      <c r="Z10" s="50" t="n"/>
    </row>
    <row r="11" ht="14.5" customHeight="1" s="82">
      <c r="A11" s="53" t="n">
        <v>2013</v>
      </c>
      <c r="B11" s="54" t="n">
        <v>2509.5</v>
      </c>
      <c r="C11" s="55" t="n">
        <v>0.718</v>
      </c>
      <c r="D11" s="54" t="n">
        <v>78873.5</v>
      </c>
      <c r="E11" s="55" t="n">
        <v>0.388</v>
      </c>
      <c r="F11" s="54" t="n">
        <v>99006.8</v>
      </c>
      <c r="G11" s="55" t="n">
        <v>0.908</v>
      </c>
      <c r="H11" s="54" t="n">
        <v>4949.7</v>
      </c>
      <c r="I11" s="55" t="n">
        <v>0.623</v>
      </c>
      <c r="J11" s="54" t="n">
        <v>2171.6</v>
      </c>
      <c r="K11" s="55" t="n">
        <v>0.5590000000000001</v>
      </c>
      <c r="L11" s="54" t="n">
        <v>3525.2</v>
      </c>
      <c r="M11" s="55" t="n">
        <v>0.245</v>
      </c>
      <c r="N11" s="54" t="n">
        <v>552.1</v>
      </c>
      <c r="O11" s="55" t="n">
        <v>0.174</v>
      </c>
      <c r="P11" s="54" t="n">
        <v>59175.6</v>
      </c>
      <c r="Q11" s="55" t="n">
        <v>0.324</v>
      </c>
      <c r="R11" s="54" t="n">
        <v>7887.9</v>
      </c>
      <c r="S11" s="55" t="n">
        <v>0.59</v>
      </c>
      <c r="T11" s="50" t="n"/>
      <c r="U11" s="50" t="n"/>
      <c r="V11" s="50" t="n"/>
      <c r="W11" s="50" t="n"/>
      <c r="X11" s="50" t="n"/>
      <c r="Y11" s="50" t="n"/>
      <c r="Z11" s="50" t="n"/>
    </row>
    <row r="12" ht="14.5" customHeight="1" s="82">
      <c r="A12" s="53" t="n">
        <v>2014</v>
      </c>
      <c r="B12" s="54" t="n">
        <v>2513.3</v>
      </c>
      <c r="C12" s="55" t="n">
        <v>0.72</v>
      </c>
      <c r="D12" s="54" t="n">
        <v>79582.8</v>
      </c>
      <c r="E12" s="55" t="n">
        <v>0.372</v>
      </c>
      <c r="F12" s="54" t="n">
        <v>98569.3</v>
      </c>
      <c r="G12" s="55" t="n">
        <v>0.917</v>
      </c>
      <c r="H12" s="54" t="n">
        <v>5114.6</v>
      </c>
      <c r="I12" s="55" t="n">
        <v>0.627</v>
      </c>
      <c r="J12" s="54" t="n">
        <v>1994</v>
      </c>
      <c r="K12" s="55" t="n">
        <v>0.54</v>
      </c>
      <c r="L12" s="54" t="n">
        <v>6555.6</v>
      </c>
      <c r="M12" s="55" t="n">
        <v>0.256</v>
      </c>
      <c r="N12" s="54" t="n">
        <v>1445.3</v>
      </c>
      <c r="O12" s="55" t="n">
        <v>0.183</v>
      </c>
      <c r="P12" s="54" t="n">
        <v>60587.8</v>
      </c>
      <c r="Q12" s="55" t="n">
        <v>0.34</v>
      </c>
      <c r="R12" s="54" t="n">
        <v>8319.700000000001</v>
      </c>
      <c r="S12" s="55" t="n">
        <v>0.6</v>
      </c>
      <c r="T12" s="50" t="n"/>
      <c r="U12" s="50" t="n"/>
      <c r="V12" s="50" t="n"/>
      <c r="W12" s="50" t="n"/>
      <c r="X12" s="50" t="n"/>
      <c r="Y12" s="50" t="n"/>
      <c r="Z12" s="50" t="n"/>
    </row>
    <row r="13" ht="14.5" customHeight="1" s="82">
      <c r="A13" s="53" t="n">
        <v>2015</v>
      </c>
      <c r="B13" s="54" t="n">
        <v>2523</v>
      </c>
      <c r="C13" s="55" t="n">
        <v>0.719</v>
      </c>
      <c r="D13" s="54" t="n">
        <v>79650.8</v>
      </c>
      <c r="E13" s="55" t="n">
        <v>0.357</v>
      </c>
      <c r="F13" s="54" t="n">
        <v>98614.60000000001</v>
      </c>
      <c r="G13" s="55" t="n">
        <v>0.923</v>
      </c>
      <c r="H13" s="54" t="n">
        <v>5104.5</v>
      </c>
      <c r="I13" s="55" t="n">
        <v>0.626</v>
      </c>
      <c r="J13" s="54" t="n">
        <v>2527.7</v>
      </c>
      <c r="K13" s="55" t="n">
        <v>0.608</v>
      </c>
      <c r="L13" s="54" t="n">
        <v>9521.6</v>
      </c>
      <c r="M13" s="55" t="n">
        <v>0.255</v>
      </c>
      <c r="N13" s="54" t="n">
        <v>1697.3</v>
      </c>
      <c r="O13" s="55" t="n">
        <v>0.217</v>
      </c>
      <c r="P13" s="54" t="n">
        <v>67106.2</v>
      </c>
      <c r="Q13" s="55" t="n">
        <v>0.322</v>
      </c>
      <c r="R13" s="54" t="n">
        <v>9024.5</v>
      </c>
      <c r="S13" s="55" t="n">
        <v>0.593</v>
      </c>
      <c r="T13" s="50" t="n"/>
      <c r="U13" s="50" t="n"/>
      <c r="V13" s="50" t="n"/>
      <c r="W13" s="50" t="n"/>
      <c r="X13" s="50" t="n"/>
      <c r="Y13" s="50" t="n"/>
      <c r="Z13" s="50" t="n"/>
    </row>
    <row r="14" ht="14.5" customHeight="1" s="82">
      <c r="A14" s="53" t="n">
        <v>2016</v>
      </c>
      <c r="B14" s="54" t="n">
        <v>2516.6</v>
      </c>
      <c r="C14" s="55" t="n">
        <v>0.716</v>
      </c>
      <c r="D14" s="54" t="n">
        <v>79806</v>
      </c>
      <c r="E14" s="55" t="n">
        <v>0.382</v>
      </c>
      <c r="F14" s="54" t="n">
        <v>99364.8</v>
      </c>
      <c r="G14" s="55" t="n">
        <v>0.923</v>
      </c>
      <c r="H14" s="54" t="n">
        <v>5099.5</v>
      </c>
      <c r="I14" s="55" t="n">
        <v>0.627</v>
      </c>
      <c r="J14" s="54" t="n">
        <v>2458.8</v>
      </c>
      <c r="K14" s="55" t="n">
        <v>0.648</v>
      </c>
      <c r="L14" s="54" t="n">
        <v>14161.4</v>
      </c>
      <c r="M14" s="55" t="n">
        <v>0.25</v>
      </c>
      <c r="N14" s="54" t="n">
        <v>1757.9</v>
      </c>
      <c r="O14" s="55" t="n">
        <v>0.221</v>
      </c>
      <c r="P14" s="54" t="n">
        <v>74162.7</v>
      </c>
      <c r="Q14" s="55" t="n">
        <v>0.345</v>
      </c>
      <c r="R14" s="54" t="n">
        <v>8979.799999999999</v>
      </c>
      <c r="S14" s="55" t="n">
        <v>0.583</v>
      </c>
      <c r="T14" s="50" t="n"/>
      <c r="U14" s="50" t="n"/>
      <c r="V14" s="50" t="n"/>
      <c r="W14" s="50" t="n"/>
      <c r="X14" s="50" t="n"/>
      <c r="Y14" s="50" t="n"/>
      <c r="Z14" s="50" t="n"/>
    </row>
    <row r="15" ht="14.5" customHeight="1" s="82">
      <c r="A15" s="53" t="n">
        <v>2017</v>
      </c>
      <c r="B15" s="54" t="n">
        <v>2460.4</v>
      </c>
      <c r="C15" s="55" t="n">
        <v>0.732</v>
      </c>
      <c r="D15" s="54" t="n">
        <v>79698.8</v>
      </c>
      <c r="E15" s="55" t="n">
        <v>0.43</v>
      </c>
      <c r="F15" s="54" t="n">
        <v>99619.5</v>
      </c>
      <c r="G15" s="55" t="n">
        <v>0.923</v>
      </c>
      <c r="H15" s="54" t="n">
        <v>5125.6</v>
      </c>
      <c r="I15" s="55" t="n">
        <v>0.618</v>
      </c>
      <c r="J15" s="54" t="n">
        <v>2375.8</v>
      </c>
      <c r="K15" s="55" t="n">
        <v>0.628</v>
      </c>
      <c r="L15" s="54" t="n">
        <v>21940.9</v>
      </c>
      <c r="M15" s="55" t="n">
        <v>0.256</v>
      </c>
      <c r="N15" s="54" t="n">
        <v>1757.9</v>
      </c>
      <c r="O15" s="55" t="n">
        <v>0.218</v>
      </c>
      <c r="P15" s="54" t="n">
        <v>83355.60000000001</v>
      </c>
      <c r="Q15" s="55" t="n">
        <v>0.346</v>
      </c>
      <c r="R15" s="54" t="n">
        <v>8807.5</v>
      </c>
      <c r="S15" s="55" t="n">
        <v>0.602</v>
      </c>
      <c r="T15" s="50" t="n"/>
      <c r="U15" s="50" t="n"/>
      <c r="V15" s="50" t="n"/>
      <c r="W15" s="50" t="n"/>
      <c r="X15" s="50" t="n"/>
      <c r="Y15" s="50" t="n"/>
      <c r="Z15" s="50" t="n"/>
    </row>
    <row r="16" ht="14.5" customHeight="1" s="82">
      <c r="A16" s="53" t="n">
        <v>2018</v>
      </c>
      <c r="B16" s="54" t="n">
        <v>2391.5</v>
      </c>
      <c r="C16" s="55" t="n">
        <v>0.76</v>
      </c>
      <c r="D16" s="54" t="n">
        <v>79771.89999999999</v>
      </c>
      <c r="E16" s="55" t="n">
        <v>0.419</v>
      </c>
      <c r="F16" s="54" t="n">
        <v>99605.2</v>
      </c>
      <c r="G16" s="55" t="n">
        <v>0.925</v>
      </c>
      <c r="H16" s="54" t="n">
        <v>5059</v>
      </c>
      <c r="I16" s="55" t="n">
        <v>0.618</v>
      </c>
      <c r="J16" s="54" t="n">
        <v>2543.9</v>
      </c>
      <c r="K16" s="55" t="n">
        <v>0.654</v>
      </c>
      <c r="L16" s="54" t="n">
        <v>27143.3</v>
      </c>
      <c r="M16" s="55" t="n">
        <v>0.251</v>
      </c>
      <c r="N16" s="54" t="n">
        <v>1757.9</v>
      </c>
      <c r="O16" s="55" t="n">
        <v>0.236</v>
      </c>
      <c r="P16" s="54" t="n">
        <v>89228.5</v>
      </c>
      <c r="Q16" s="55" t="n">
        <v>0.346</v>
      </c>
      <c r="R16" s="54" t="n">
        <v>8760.200000000001</v>
      </c>
      <c r="S16" s="55" t="n">
        <v>0.606</v>
      </c>
      <c r="T16" s="50" t="n"/>
      <c r="U16" s="50" t="n"/>
      <c r="V16" s="50" t="n"/>
      <c r="W16" s="50" t="n"/>
      <c r="X16" s="50" t="n"/>
      <c r="Y16" s="50" t="n"/>
      <c r="Z16" s="50" t="n"/>
    </row>
    <row r="17" ht="14.5" customHeight="1" s="82">
      <c r="A17" s="84" t="inlineStr">
        <is>
          <t>Year 2016</t>
        </is>
      </c>
      <c r="T17" s="50" t="n"/>
      <c r="U17" s="50" t="n"/>
      <c r="V17" s="50" t="n"/>
      <c r="W17" s="50" t="n"/>
      <c r="X17" s="50" t="n"/>
      <c r="Y17" s="50" t="n"/>
      <c r="Z17" s="50" t="n"/>
    </row>
    <row r="18" ht="14.5" customHeight="1" s="82">
      <c r="A18" s="53" t="inlineStr">
        <is>
          <t>January</t>
        </is>
      </c>
      <c r="B18" s="54" t="n">
        <v>2516.6</v>
      </c>
      <c r="C18" s="55" t="n">
        <v>0.711</v>
      </c>
      <c r="D18" s="54" t="n">
        <v>79588</v>
      </c>
      <c r="E18" s="55" t="n">
        <v>0.432</v>
      </c>
      <c r="F18" s="54" t="n">
        <v>98920.89999999999</v>
      </c>
      <c r="G18" s="55" t="n">
        <v>0.986</v>
      </c>
      <c r="H18" s="54" t="n">
        <v>5074.6</v>
      </c>
      <c r="I18" s="55" t="n">
        <v>0.616</v>
      </c>
      <c r="J18" s="54" t="n">
        <v>2460.1</v>
      </c>
      <c r="K18" s="55" t="n">
        <v>0.699</v>
      </c>
      <c r="L18" s="54" t="n">
        <v>12223.1</v>
      </c>
      <c r="M18" s="55" t="n">
        <v>0.151</v>
      </c>
      <c r="N18" s="54" t="n">
        <v>1757.9</v>
      </c>
      <c r="O18" s="55" t="n">
        <v>0.068</v>
      </c>
      <c r="P18" s="54" t="n">
        <v>72600.5</v>
      </c>
      <c r="Q18" s="55" t="n">
        <v>0.339</v>
      </c>
      <c r="R18" s="54" t="n">
        <v>8998.299999999999</v>
      </c>
      <c r="S18" s="55" t="n">
        <v>0.614</v>
      </c>
      <c r="T18" s="50" t="n"/>
      <c r="U18" s="50" t="n"/>
      <c r="V18" s="50" t="n"/>
      <c r="W18" s="50" t="n"/>
      <c r="X18" s="50" t="n"/>
      <c r="Y18" s="50" t="n"/>
      <c r="Z18" s="50" t="n"/>
    </row>
    <row r="19" ht="14.5" customHeight="1" s="82">
      <c r="A19" s="53" t="inlineStr">
        <is>
          <t>February</t>
        </is>
      </c>
      <c r="B19" s="54" t="n">
        <v>2516.6</v>
      </c>
      <c r="C19" s="55" t="n">
        <v>0.71</v>
      </c>
      <c r="D19" s="54" t="n">
        <v>79677.60000000001</v>
      </c>
      <c r="E19" s="55" t="n">
        <v>0.435</v>
      </c>
      <c r="F19" s="54" t="n">
        <v>98920.89999999999</v>
      </c>
      <c r="G19" s="55" t="n">
        <v>0.953</v>
      </c>
      <c r="H19" s="54" t="n">
        <v>5083.9</v>
      </c>
      <c r="I19" s="55" t="n">
        <v>0.612</v>
      </c>
      <c r="J19" s="54" t="n">
        <v>2460.1</v>
      </c>
      <c r="K19" s="55" t="n">
        <v>0.705</v>
      </c>
      <c r="L19" s="54" t="n">
        <v>12470.5</v>
      </c>
      <c r="M19" s="55" t="n">
        <v>0.228</v>
      </c>
      <c r="N19" s="54" t="n">
        <v>1757.9</v>
      </c>
      <c r="O19" s="55" t="n">
        <v>0.195</v>
      </c>
      <c r="P19" s="54" t="n">
        <v>73061.39999999999</v>
      </c>
      <c r="Q19" s="55" t="n">
        <v>0.396</v>
      </c>
      <c r="R19" s="54" t="n">
        <v>8996.9</v>
      </c>
      <c r="S19" s="55" t="n">
        <v>0.617</v>
      </c>
      <c r="T19" s="50" t="n"/>
      <c r="U19" s="50" t="n"/>
      <c r="V19" s="50" t="n"/>
      <c r="W19" s="50" t="n"/>
      <c r="X19" s="50" t="n"/>
      <c r="Y19" s="50" t="n"/>
      <c r="Z19" s="50" t="n"/>
    </row>
    <row r="20" ht="14.5" customHeight="1" s="82">
      <c r="A20" s="53" t="inlineStr">
        <is>
          <t>March</t>
        </is>
      </c>
      <c r="B20" s="54" t="n">
        <v>2516.6</v>
      </c>
      <c r="C20" s="55" t="n">
        <v>0.702</v>
      </c>
      <c r="D20" s="54" t="n">
        <v>79734.60000000001</v>
      </c>
      <c r="E20" s="55" t="n">
        <v>0.462</v>
      </c>
      <c r="F20" s="54" t="n">
        <v>98920.89999999999</v>
      </c>
      <c r="G20" s="55" t="n">
        <v>0.899</v>
      </c>
      <c r="H20" s="54" t="n">
        <v>5080</v>
      </c>
      <c r="I20" s="55" t="n">
        <v>0.609</v>
      </c>
      <c r="J20" s="54" t="n">
        <v>2460.1</v>
      </c>
      <c r="K20" s="55" t="n">
        <v>0.669</v>
      </c>
      <c r="L20" s="54" t="n">
        <v>12611.2</v>
      </c>
      <c r="M20" s="55" t="n">
        <v>0.247</v>
      </c>
      <c r="N20" s="54" t="n">
        <v>1757.9</v>
      </c>
      <c r="O20" s="55" t="n">
        <v>0.196</v>
      </c>
      <c r="P20" s="54" t="n">
        <v>73059.89999999999</v>
      </c>
      <c r="Q20" s="55" t="n">
        <v>0.401</v>
      </c>
      <c r="R20" s="54" t="n">
        <v>8989.1</v>
      </c>
      <c r="S20" s="55" t="n">
        <v>0.582</v>
      </c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82">
      <c r="A21" s="53" t="inlineStr">
        <is>
          <t>April</t>
        </is>
      </c>
      <c r="B21" s="54" t="n">
        <v>2516.6</v>
      </c>
      <c r="C21" s="55" t="n">
        <v>0.667</v>
      </c>
      <c r="D21" s="54" t="n">
        <v>79763.89999999999</v>
      </c>
      <c r="E21" s="55" t="n">
        <v>0.45</v>
      </c>
      <c r="F21" s="54" t="n">
        <v>98920.89999999999</v>
      </c>
      <c r="G21" s="55" t="n">
        <v>0.881</v>
      </c>
      <c r="H21" s="54" t="n">
        <v>5073.5</v>
      </c>
      <c r="I21" s="55" t="n">
        <v>0.629</v>
      </c>
      <c r="J21" s="54" t="n">
        <v>2460.1</v>
      </c>
      <c r="K21" s="55" t="n">
        <v>0.677</v>
      </c>
      <c r="L21" s="54" t="n">
        <v>12822</v>
      </c>
      <c r="M21" s="55" t="n">
        <v>0.271</v>
      </c>
      <c r="N21" s="54" t="n">
        <v>1757.9</v>
      </c>
      <c r="O21" s="55" t="n">
        <v>0.209</v>
      </c>
      <c r="P21" s="54" t="n">
        <v>73394.7</v>
      </c>
      <c r="Q21" s="55" t="n">
        <v>0.393</v>
      </c>
      <c r="R21" s="54" t="n">
        <v>8986.1</v>
      </c>
      <c r="S21" s="55" t="n">
        <v>0.524</v>
      </c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82">
      <c r="A22" s="53" t="inlineStr">
        <is>
          <t>May</t>
        </is>
      </c>
      <c r="B22" s="54" t="n">
        <v>2516.6</v>
      </c>
      <c r="C22" s="55" t="n">
        <v>0.717</v>
      </c>
      <c r="D22" s="54" t="n">
        <v>79801.3</v>
      </c>
      <c r="E22" s="55" t="n">
        <v>0.429</v>
      </c>
      <c r="F22" s="54" t="n">
        <v>98920.89999999999</v>
      </c>
      <c r="G22" s="55" t="n">
        <v>0.905</v>
      </c>
      <c r="H22" s="54" t="n">
        <v>5104.2</v>
      </c>
      <c r="I22" s="55" t="n">
        <v>0.651</v>
      </c>
      <c r="J22" s="54" t="n">
        <v>2460.1</v>
      </c>
      <c r="K22" s="55" t="n">
        <v>0.655</v>
      </c>
      <c r="L22" s="54" t="n">
        <v>13298</v>
      </c>
      <c r="M22" s="55" t="n">
        <v>0.3</v>
      </c>
      <c r="N22" s="54" t="n">
        <v>1757.9</v>
      </c>
      <c r="O22" s="55" t="n">
        <v>0.288</v>
      </c>
      <c r="P22" s="54" t="n">
        <v>73582.3</v>
      </c>
      <c r="Q22" s="55" t="n">
        <v>0.341</v>
      </c>
      <c r="R22" s="54" t="n">
        <v>8988.1</v>
      </c>
      <c r="S22" s="55" t="n">
        <v>0.54</v>
      </c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82">
      <c r="A23" s="53" t="inlineStr">
        <is>
          <t>June</t>
        </is>
      </c>
      <c r="B23" s="54" t="n">
        <v>2516.6</v>
      </c>
      <c r="C23" s="55" t="n">
        <v>0.6909999999999999</v>
      </c>
      <c r="D23" s="54" t="n">
        <v>79802.5</v>
      </c>
      <c r="E23" s="55" t="n">
        <v>0.404</v>
      </c>
      <c r="F23" s="54" t="n">
        <v>98920.89999999999</v>
      </c>
      <c r="G23" s="55" t="n">
        <v>0.9419999999999999</v>
      </c>
      <c r="H23" s="54" t="n">
        <v>5105.4</v>
      </c>
      <c r="I23" s="55" t="n">
        <v>0.638</v>
      </c>
      <c r="J23" s="54" t="n">
        <v>2460.1</v>
      </c>
      <c r="K23" s="55" t="n">
        <v>0.624</v>
      </c>
      <c r="L23" s="54" t="n">
        <v>13419.8</v>
      </c>
      <c r="M23" s="55" t="n">
        <v>0.302</v>
      </c>
      <c r="N23" s="54" t="n">
        <v>1757.9</v>
      </c>
      <c r="O23" s="55" t="n">
        <v>0.335</v>
      </c>
      <c r="P23" s="54" t="n">
        <v>73854.8</v>
      </c>
      <c r="Q23" s="55" t="n">
        <v>0.305</v>
      </c>
      <c r="R23" s="54" t="n">
        <v>8988.1</v>
      </c>
      <c r="S23" s="55" t="n">
        <v>0.584</v>
      </c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82">
      <c r="A24" s="53" t="inlineStr">
        <is>
          <t>July</t>
        </is>
      </c>
      <c r="B24" s="54" t="n">
        <v>2516.6</v>
      </c>
      <c r="C24" s="55" t="n">
        <v>0.7</v>
      </c>
      <c r="D24" s="54" t="n">
        <v>79839.10000000001</v>
      </c>
      <c r="E24" s="55" t="n">
        <v>0.36</v>
      </c>
      <c r="F24" s="54" t="n">
        <v>100042.9</v>
      </c>
      <c r="G24" s="55" t="n">
        <v>0.945</v>
      </c>
      <c r="H24" s="54" t="n">
        <v>5111.9</v>
      </c>
      <c r="I24" s="55" t="n">
        <v>0.634</v>
      </c>
      <c r="J24" s="54" t="n">
        <v>2460.1</v>
      </c>
      <c r="K24" s="55" t="n">
        <v>0.609</v>
      </c>
      <c r="L24" s="54" t="n">
        <v>13635.3</v>
      </c>
      <c r="M24" s="55" t="n">
        <v>0.315</v>
      </c>
      <c r="N24" s="54" t="n">
        <v>1757.9</v>
      </c>
      <c r="O24" s="55" t="n">
        <v>0.369</v>
      </c>
      <c r="P24" s="54" t="n">
        <v>74276.5</v>
      </c>
      <c r="Q24" s="55" t="n">
        <v>0.318</v>
      </c>
      <c r="R24" s="54" t="n">
        <v>8988.1</v>
      </c>
      <c r="S24" s="55" t="n">
        <v>0.602</v>
      </c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82">
      <c r="A25" s="53" t="inlineStr">
        <is>
          <t>August</t>
        </is>
      </c>
      <c r="B25" s="54" t="n">
        <v>2516.6</v>
      </c>
      <c r="C25" s="55" t="n">
        <v>0.707</v>
      </c>
      <c r="D25" s="54" t="n">
        <v>79866.5</v>
      </c>
      <c r="E25" s="55" t="n">
        <v>0.329</v>
      </c>
      <c r="F25" s="54" t="n">
        <v>100042.9</v>
      </c>
      <c r="G25" s="55" t="n">
        <v>0.961</v>
      </c>
      <c r="H25" s="54" t="n">
        <v>5111</v>
      </c>
      <c r="I25" s="55" t="n">
        <v>0.633</v>
      </c>
      <c r="J25" s="54" t="n">
        <v>2456.9</v>
      </c>
      <c r="K25" s="55" t="n">
        <v>0.623</v>
      </c>
      <c r="L25" s="54" t="n">
        <v>14360.4</v>
      </c>
      <c r="M25" s="55" t="n">
        <v>0.316</v>
      </c>
      <c r="N25" s="54" t="n">
        <v>1757.9</v>
      </c>
      <c r="O25" s="55" t="n">
        <v>0.292</v>
      </c>
      <c r="P25" s="54" t="n">
        <v>74700.10000000001</v>
      </c>
      <c r="Q25" s="55" t="n">
        <v>0.244</v>
      </c>
      <c r="R25" s="54" t="n">
        <v>8970.1</v>
      </c>
      <c r="S25" s="55" t="n">
        <v>0.614</v>
      </c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82">
      <c r="A26" s="53" t="inlineStr">
        <is>
          <t>September</t>
        </is>
      </c>
      <c r="B26" s="54" t="n">
        <v>2516.6</v>
      </c>
      <c r="C26" s="55" t="n">
        <v>0.732</v>
      </c>
      <c r="D26" s="54" t="n">
        <v>79866.3</v>
      </c>
      <c r="E26" s="55" t="n">
        <v>0.285</v>
      </c>
      <c r="F26" s="54" t="n">
        <v>100042.9</v>
      </c>
      <c r="G26" s="55" t="n">
        <v>0.909</v>
      </c>
      <c r="H26" s="54" t="n">
        <v>5112.2</v>
      </c>
      <c r="I26" s="55" t="n">
        <v>0.612</v>
      </c>
      <c r="J26" s="54" t="n">
        <v>2456.9</v>
      </c>
      <c r="K26" s="55" t="n">
        <v>0.622</v>
      </c>
      <c r="L26" s="54" t="n">
        <v>15298.1</v>
      </c>
      <c r="M26" s="55" t="n">
        <v>0.284</v>
      </c>
      <c r="N26" s="54" t="n">
        <v>1757.9</v>
      </c>
      <c r="O26" s="55" t="n">
        <v>0.302</v>
      </c>
      <c r="P26" s="54" t="n">
        <v>74721.5</v>
      </c>
      <c r="Q26" s="55" t="n">
        <v>0.304</v>
      </c>
      <c r="R26" s="54" t="n">
        <v>8970.1</v>
      </c>
      <c r="S26" s="55" t="n">
        <v>0.582</v>
      </c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82">
      <c r="A27" s="53" t="inlineStr">
        <is>
          <t>October</t>
        </is>
      </c>
      <c r="B27" s="54" t="n">
        <v>2516.6</v>
      </c>
      <c r="C27" s="55" t="n">
        <v>0.723</v>
      </c>
      <c r="D27" s="54" t="n">
        <v>79904.3</v>
      </c>
      <c r="E27" s="55" t="n">
        <v>0.292</v>
      </c>
      <c r="F27" s="54" t="n">
        <v>99564.8</v>
      </c>
      <c r="G27" s="55" t="n">
        <v>0.8169999999999999</v>
      </c>
      <c r="H27" s="54" t="n">
        <v>5122.7</v>
      </c>
      <c r="I27" s="55" t="n">
        <v>0.578</v>
      </c>
      <c r="J27" s="54" t="n">
        <v>2456.9</v>
      </c>
      <c r="K27" s="55" t="n">
        <v>0.593</v>
      </c>
      <c r="L27" s="54" t="n">
        <v>16064.3</v>
      </c>
      <c r="M27" s="55" t="n">
        <v>0.239</v>
      </c>
      <c r="N27" s="54" t="n">
        <v>1757.9</v>
      </c>
      <c r="O27" s="55" t="n">
        <v>0.19</v>
      </c>
      <c r="P27" s="54" t="n">
        <v>74844.5</v>
      </c>
      <c r="Q27" s="55" t="n">
        <v>0.363</v>
      </c>
      <c r="R27" s="54" t="n">
        <v>8970.1</v>
      </c>
      <c r="S27" s="55" t="n">
        <v>0.54</v>
      </c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82">
      <c r="A28" s="53" t="inlineStr">
        <is>
          <t>November</t>
        </is>
      </c>
      <c r="B28" s="54" t="n">
        <v>2516.6</v>
      </c>
      <c r="C28" s="55" t="n">
        <v>0.753</v>
      </c>
      <c r="D28" s="54" t="n">
        <v>79910.8</v>
      </c>
      <c r="E28" s="55" t="n">
        <v>0.327</v>
      </c>
      <c r="F28" s="54" t="n">
        <v>99564.8</v>
      </c>
      <c r="G28" s="55" t="n">
        <v>0.909</v>
      </c>
      <c r="H28" s="54" t="n">
        <v>5125.6</v>
      </c>
      <c r="I28" s="55" t="n">
        <v>0.65</v>
      </c>
      <c r="J28" s="54" t="n">
        <v>2456.9</v>
      </c>
      <c r="K28" s="55" t="n">
        <v>0.644</v>
      </c>
      <c r="L28" s="54" t="n">
        <v>16477.2</v>
      </c>
      <c r="M28" s="55" t="n">
        <v>0.203</v>
      </c>
      <c r="N28" s="54" t="n">
        <v>1757.9</v>
      </c>
      <c r="O28" s="55" t="n">
        <v>0.144</v>
      </c>
      <c r="P28" s="54" t="n">
        <v>75455.5</v>
      </c>
      <c r="Q28" s="55" t="n">
        <v>0.353</v>
      </c>
      <c r="R28" s="54" t="n">
        <v>8977.200000000001</v>
      </c>
      <c r="S28" s="55" t="n">
        <v>0.586</v>
      </c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82">
      <c r="A29" s="53" t="inlineStr">
        <is>
          <t>December</t>
        </is>
      </c>
      <c r="B29" s="54" t="n">
        <v>2516.6</v>
      </c>
      <c r="C29" s="55" t="n">
        <v>0.777</v>
      </c>
      <c r="D29" s="54" t="n">
        <v>79912.8</v>
      </c>
      <c r="E29" s="55" t="n">
        <v>0.379</v>
      </c>
      <c r="F29" s="54" t="n">
        <v>99564.8</v>
      </c>
      <c r="G29" s="55" t="n">
        <v>0.968</v>
      </c>
      <c r="H29" s="54" t="n">
        <v>5088.8</v>
      </c>
      <c r="I29" s="55" t="n">
        <v>0.657</v>
      </c>
      <c r="J29" s="54" t="n">
        <v>2456.9</v>
      </c>
      <c r="K29" s="55" t="n">
        <v>0.664</v>
      </c>
      <c r="L29" s="54" t="n">
        <v>17192</v>
      </c>
      <c r="M29" s="55" t="n">
        <v>0.162</v>
      </c>
      <c r="N29" s="54" t="n">
        <v>1757.9</v>
      </c>
      <c r="O29" s="55" t="n">
        <v>0.07000000000000001</v>
      </c>
      <c r="P29" s="54" t="n">
        <v>76354.3</v>
      </c>
      <c r="Q29" s="55" t="n">
        <v>0.388</v>
      </c>
      <c r="R29" s="54" t="n">
        <v>8936.1</v>
      </c>
      <c r="S29" s="55" t="n">
        <v>0.617</v>
      </c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82">
      <c r="A30" s="84" t="inlineStr">
        <is>
          <t>Year 2017</t>
        </is>
      </c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82">
      <c r="A31" s="53" t="inlineStr">
        <is>
          <t>January</t>
        </is>
      </c>
      <c r="B31" s="54" t="n">
        <v>2511.1</v>
      </c>
      <c r="C31" s="55" t="n">
        <v>0.749</v>
      </c>
      <c r="D31" s="54" t="n">
        <v>79657.2</v>
      </c>
      <c r="E31" s="55" t="n">
        <v>0.449</v>
      </c>
      <c r="F31" s="54" t="n">
        <v>99609.89999999999</v>
      </c>
      <c r="G31" s="55" t="n">
        <v>0.987</v>
      </c>
      <c r="H31" s="54" t="n">
        <v>5095.1</v>
      </c>
      <c r="I31" s="55" t="n">
        <v>0.642</v>
      </c>
      <c r="J31" s="54" t="n">
        <v>2375.8</v>
      </c>
      <c r="K31" s="55" t="n">
        <v>0.638</v>
      </c>
      <c r="L31" s="54" t="n">
        <v>20249.8</v>
      </c>
      <c r="M31" s="55" t="n">
        <v>0.146</v>
      </c>
      <c r="N31" s="54" t="n">
        <v>1757.9</v>
      </c>
      <c r="O31" s="55" t="n">
        <v>0.073</v>
      </c>
      <c r="P31" s="54" t="n">
        <v>81337.2</v>
      </c>
      <c r="Q31" s="55" t="n">
        <v>0.342</v>
      </c>
      <c r="R31" s="54" t="n">
        <v>8748.6</v>
      </c>
      <c r="S31" s="55" t="n">
        <v>0.614</v>
      </c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82">
      <c r="A32" s="53" t="inlineStr">
        <is>
          <t>February</t>
        </is>
      </c>
      <c r="B32" s="54" t="n">
        <v>2511.1</v>
      </c>
      <c r="C32" s="55" t="n">
        <v>0.73</v>
      </c>
      <c r="D32" s="54" t="n">
        <v>79657.2</v>
      </c>
      <c r="E32" s="55" t="n">
        <v>0.446</v>
      </c>
      <c r="F32" s="54" t="n">
        <v>99609.89999999999</v>
      </c>
      <c r="G32" s="55" t="n">
        <v>0.95</v>
      </c>
      <c r="H32" s="54" t="n">
        <v>5097.3</v>
      </c>
      <c r="I32" s="55" t="n">
        <v>0.632</v>
      </c>
      <c r="J32" s="54" t="n">
        <v>2375.8</v>
      </c>
      <c r="K32" s="55" t="n">
        <v>0.654</v>
      </c>
      <c r="L32" s="54" t="n">
        <v>20603.7</v>
      </c>
      <c r="M32" s="55" t="n">
        <v>0.186</v>
      </c>
      <c r="N32" s="54" t="n">
        <v>1757.9</v>
      </c>
      <c r="O32" s="55" t="n">
        <v>0.116</v>
      </c>
      <c r="P32" s="54" t="n">
        <v>81713</v>
      </c>
      <c r="Q32" s="55" t="n">
        <v>0.402</v>
      </c>
      <c r="R32" s="54" t="n">
        <v>8748.6</v>
      </c>
      <c r="S32" s="55" t="n">
        <v>0.616</v>
      </c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82">
      <c r="A33" s="53" t="inlineStr">
        <is>
          <t>March</t>
        </is>
      </c>
      <c r="B33" s="54" t="n">
        <v>2451.1</v>
      </c>
      <c r="C33" s="55" t="n">
        <v>0.738</v>
      </c>
      <c r="D33" s="54" t="n">
        <v>79657.2</v>
      </c>
      <c r="E33" s="55" t="n">
        <v>0.5</v>
      </c>
      <c r="F33" s="54" t="n">
        <v>99609.89999999999</v>
      </c>
      <c r="G33" s="55" t="n">
        <v>0.878</v>
      </c>
      <c r="H33" s="54" t="n">
        <v>5097.3</v>
      </c>
      <c r="I33" s="55" t="n">
        <v>0.611</v>
      </c>
      <c r="J33" s="54" t="n">
        <v>2375.8</v>
      </c>
      <c r="K33" s="55" t="n">
        <v>0.648</v>
      </c>
      <c r="L33" s="54" t="n">
        <v>20792.6</v>
      </c>
      <c r="M33" s="55" t="n">
        <v>0.267</v>
      </c>
      <c r="N33" s="54" t="n">
        <v>1757.9</v>
      </c>
      <c r="O33" s="55" t="n">
        <v>0.229</v>
      </c>
      <c r="P33" s="54" t="n">
        <v>81962.10000000001</v>
      </c>
      <c r="Q33" s="55" t="n">
        <v>0.418</v>
      </c>
      <c r="R33" s="54" t="n">
        <v>8741.6</v>
      </c>
      <c r="S33" s="55" t="n">
        <v>0.6</v>
      </c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82">
      <c r="A34" s="53" t="inlineStr">
        <is>
          <t>April</t>
        </is>
      </c>
      <c r="B34" s="54" t="n">
        <v>2451.1</v>
      </c>
      <c r="C34" s="55" t="n">
        <v>0.756</v>
      </c>
      <c r="D34" s="54" t="n">
        <v>79660.10000000001</v>
      </c>
      <c r="E34" s="55" t="n">
        <v>0.513</v>
      </c>
      <c r="F34" s="54" t="n">
        <v>99609.89999999999</v>
      </c>
      <c r="G34" s="55" t="n">
        <v>0.792</v>
      </c>
      <c r="H34" s="54" t="n">
        <v>5105.7</v>
      </c>
      <c r="I34" s="55" t="n">
        <v>0.6</v>
      </c>
      <c r="J34" s="54" t="n">
        <v>2375.8</v>
      </c>
      <c r="K34" s="55" t="n">
        <v>0.618</v>
      </c>
      <c r="L34" s="54" t="n">
        <v>21177.9</v>
      </c>
      <c r="M34" s="55" t="n">
        <v>0.296</v>
      </c>
      <c r="N34" s="54" t="n">
        <v>1757.9</v>
      </c>
      <c r="O34" s="55" t="n">
        <v>0.248</v>
      </c>
      <c r="P34" s="54" t="n">
        <v>83041.39999999999</v>
      </c>
      <c r="Q34" s="55" t="n">
        <v>0.424</v>
      </c>
      <c r="R34" s="54" t="n">
        <v>8789.1</v>
      </c>
      <c r="S34" s="55" t="n">
        <v>0.5639999999999999</v>
      </c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82">
      <c r="A35" s="53" t="inlineStr">
        <is>
          <t>May</t>
        </is>
      </c>
      <c r="B35" s="54" t="n">
        <v>2451.1</v>
      </c>
      <c r="C35" s="55" t="n">
        <v>0.71</v>
      </c>
      <c r="D35" s="54" t="n">
        <v>79660.10000000001</v>
      </c>
      <c r="E35" s="55" t="n">
        <v>0.55</v>
      </c>
      <c r="F35" s="54" t="n">
        <v>99609.89999999999</v>
      </c>
      <c r="G35" s="55" t="n">
        <v>0.828</v>
      </c>
      <c r="H35" s="54" t="n">
        <v>5122.7</v>
      </c>
      <c r="I35" s="55" t="n">
        <v>0.625</v>
      </c>
      <c r="J35" s="54" t="n">
        <v>2375.8</v>
      </c>
      <c r="K35" s="55" t="n">
        <v>0.581</v>
      </c>
      <c r="L35" s="54" t="n">
        <v>21700.6</v>
      </c>
      <c r="M35" s="55" t="n">
        <v>0.331</v>
      </c>
      <c r="N35" s="54" t="n">
        <v>1757.9</v>
      </c>
      <c r="O35" s="55" t="n">
        <v>0.309</v>
      </c>
      <c r="P35" s="54" t="n">
        <v>83182.10000000001</v>
      </c>
      <c r="Q35" s="55" t="n">
        <v>0.372</v>
      </c>
      <c r="R35" s="54" t="n">
        <v>8796.6</v>
      </c>
      <c r="S35" s="55" t="n">
        <v>0.55</v>
      </c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82">
      <c r="A36" s="53" t="inlineStr">
        <is>
          <t>June</t>
        </is>
      </c>
      <c r="B36" s="54" t="n">
        <v>2451.1</v>
      </c>
      <c r="C36" s="55" t="n">
        <v>0.724</v>
      </c>
      <c r="D36" s="54" t="n">
        <v>79660.10000000001</v>
      </c>
      <c r="E36" s="55" t="n">
        <v>0.533</v>
      </c>
      <c r="F36" s="54" t="n">
        <v>99609.89999999999</v>
      </c>
      <c r="G36" s="55" t="n">
        <v>0.9350000000000001</v>
      </c>
      <c r="H36" s="54" t="n">
        <v>5126.7</v>
      </c>
      <c r="I36" s="55" t="n">
        <v>0.628</v>
      </c>
      <c r="J36" s="54" t="n">
        <v>2375.8</v>
      </c>
      <c r="K36" s="55" t="n">
        <v>0.591</v>
      </c>
      <c r="L36" s="54" t="n">
        <v>22006.1</v>
      </c>
      <c r="M36" s="55" t="n">
        <v>0.354</v>
      </c>
      <c r="N36" s="54" t="n">
        <v>1757.9</v>
      </c>
      <c r="O36" s="55" t="n">
        <v>0.379</v>
      </c>
      <c r="P36" s="54" t="n">
        <v>83313.5</v>
      </c>
      <c r="Q36" s="55" t="n">
        <v>0.334</v>
      </c>
      <c r="R36" s="54" t="n">
        <v>8802.9</v>
      </c>
      <c r="S36" s="55" t="n">
        <v>0.606</v>
      </c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82">
      <c r="A37" s="53" t="inlineStr">
        <is>
          <t>July</t>
        </is>
      </c>
      <c r="B37" s="54" t="n">
        <v>2451.1</v>
      </c>
      <c r="C37" s="55" t="n">
        <v>0.749</v>
      </c>
      <c r="D37" s="54" t="n">
        <v>79667.39999999999</v>
      </c>
      <c r="E37" s="55" t="n">
        <v>0.448</v>
      </c>
      <c r="F37" s="54" t="n">
        <v>99628.89999999999</v>
      </c>
      <c r="G37" s="55" t="n">
        <v>0.962</v>
      </c>
      <c r="H37" s="54" t="n">
        <v>5145.2</v>
      </c>
      <c r="I37" s="55" t="n">
        <v>0.617</v>
      </c>
      <c r="J37" s="54" t="n">
        <v>2375.8</v>
      </c>
      <c r="K37" s="55" t="n">
        <v>0.589</v>
      </c>
      <c r="L37" s="54" t="n">
        <v>22242.6</v>
      </c>
      <c r="M37" s="55" t="n">
        <v>0.315</v>
      </c>
      <c r="N37" s="54" t="n">
        <v>1757.9</v>
      </c>
      <c r="O37" s="55" t="n">
        <v>0.253</v>
      </c>
      <c r="P37" s="54" t="n">
        <v>83498.60000000001</v>
      </c>
      <c r="Q37" s="55" t="n">
        <v>0.258</v>
      </c>
      <c r="R37" s="54" t="n">
        <v>8802.9</v>
      </c>
      <c r="S37" s="55" t="n">
        <v>0.621</v>
      </c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82">
      <c r="A38" s="53" t="inlineStr">
        <is>
          <t>August</t>
        </is>
      </c>
      <c r="B38" s="54" t="n">
        <v>2451.1</v>
      </c>
      <c r="C38" s="55" t="n">
        <v>0.744</v>
      </c>
      <c r="D38" s="54" t="n">
        <v>79614.2</v>
      </c>
      <c r="E38" s="55" t="n">
        <v>0.371</v>
      </c>
      <c r="F38" s="54" t="n">
        <v>99628.89999999999</v>
      </c>
      <c r="G38" s="55" t="n">
        <v>0.977</v>
      </c>
      <c r="H38" s="54" t="n">
        <v>5147.3</v>
      </c>
      <c r="I38" s="55" t="n">
        <v>0.62</v>
      </c>
      <c r="J38" s="54" t="n">
        <v>2375.8</v>
      </c>
      <c r="K38" s="55" t="n">
        <v>0.65</v>
      </c>
      <c r="L38" s="54" t="n">
        <v>22356.4</v>
      </c>
      <c r="M38" s="55" t="n">
        <v>0.299</v>
      </c>
      <c r="N38" s="54" t="n">
        <v>1757.9</v>
      </c>
      <c r="O38" s="55" t="n">
        <v>0.275</v>
      </c>
      <c r="P38" s="54" t="n">
        <v>83980.60000000001</v>
      </c>
      <c r="Q38" s="55" t="n">
        <v>0.222</v>
      </c>
      <c r="R38" s="54" t="n">
        <v>8856.4</v>
      </c>
      <c r="S38" s="55" t="n">
        <v>0.633</v>
      </c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82">
      <c r="A39" s="53" t="inlineStr">
        <is>
          <t>September</t>
        </is>
      </c>
      <c r="B39" s="54" t="n">
        <v>2451.1</v>
      </c>
      <c r="C39" s="55" t="n">
        <v>0.751</v>
      </c>
      <c r="D39" s="54" t="n">
        <v>79761.5</v>
      </c>
      <c r="E39" s="55" t="n">
        <v>0.333</v>
      </c>
      <c r="F39" s="54" t="n">
        <v>99628.89999999999</v>
      </c>
      <c r="G39" s="55" t="n">
        <v>0.95</v>
      </c>
      <c r="H39" s="54" t="n">
        <v>5147.2</v>
      </c>
      <c r="I39" s="55" t="n">
        <v>0.594</v>
      </c>
      <c r="J39" s="54" t="n">
        <v>2375.8</v>
      </c>
      <c r="K39" s="55" t="n">
        <v>0.618</v>
      </c>
      <c r="L39" s="54" t="n">
        <v>22547.7</v>
      </c>
      <c r="M39" s="55" t="n">
        <v>0.287</v>
      </c>
      <c r="N39" s="54" t="n">
        <v>1757.9</v>
      </c>
      <c r="O39" s="55" t="n">
        <v>0.291</v>
      </c>
      <c r="P39" s="54" t="n">
        <v>83980.60000000001</v>
      </c>
      <c r="Q39" s="55" t="n">
        <v>0.295</v>
      </c>
      <c r="R39" s="54" t="n">
        <v>8856.4</v>
      </c>
      <c r="S39" s="55" t="n">
        <v>0.586</v>
      </c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82">
      <c r="A40" s="53" t="inlineStr">
        <is>
          <t>October</t>
        </is>
      </c>
      <c r="B40" s="54" t="n">
        <v>2451.1</v>
      </c>
      <c r="C40" s="55" t="n">
        <v>0.662</v>
      </c>
      <c r="D40" s="54" t="n">
        <v>79797.5</v>
      </c>
      <c r="E40" s="55" t="n">
        <v>0.298</v>
      </c>
      <c r="F40" s="54" t="n">
        <v>99628.89999999999</v>
      </c>
      <c r="G40" s="55" t="n">
        <v>0.89</v>
      </c>
      <c r="H40" s="54" t="n">
        <v>5147.2</v>
      </c>
      <c r="I40" s="55" t="n">
        <v>0.582</v>
      </c>
      <c r="J40" s="54" t="n">
        <v>2375.8</v>
      </c>
      <c r="K40" s="55" t="n">
        <v>0.621</v>
      </c>
      <c r="L40" s="54" t="n">
        <v>22762.8</v>
      </c>
      <c r="M40" s="55" t="n">
        <v>0.252</v>
      </c>
      <c r="N40" s="54" t="n">
        <v>1757.9</v>
      </c>
      <c r="O40" s="55" t="n">
        <v>0.241</v>
      </c>
      <c r="P40" s="54" t="n">
        <v>84229.8</v>
      </c>
      <c r="Q40" s="55" t="n">
        <v>0.387</v>
      </c>
      <c r="R40" s="54" t="n">
        <v>8856.4</v>
      </c>
      <c r="S40" s="55" t="n">
        <v>0.574</v>
      </c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82">
      <c r="A41" s="53" t="inlineStr">
        <is>
          <t>November</t>
        </is>
      </c>
      <c r="B41" s="54" t="n">
        <v>2451.1</v>
      </c>
      <c r="C41" s="55" t="n">
        <v>0.735</v>
      </c>
      <c r="D41" s="54" t="n">
        <v>79797.10000000001</v>
      </c>
      <c r="E41" s="55" t="n">
        <v>0.346</v>
      </c>
      <c r="F41" s="54" t="n">
        <v>99628.89999999999</v>
      </c>
      <c r="G41" s="55" t="n">
        <v>0.929</v>
      </c>
      <c r="H41" s="54" t="n">
        <v>5143.9</v>
      </c>
      <c r="I41" s="55" t="n">
        <v>0.623</v>
      </c>
      <c r="J41" s="54" t="n">
        <v>2375.8</v>
      </c>
      <c r="K41" s="55" t="n">
        <v>0.651</v>
      </c>
      <c r="L41" s="54" t="n">
        <v>23095.3</v>
      </c>
      <c r="M41" s="55" t="n">
        <v>0.181</v>
      </c>
      <c r="N41" s="54" t="n">
        <v>1757.9</v>
      </c>
      <c r="O41" s="55" t="n">
        <v>0.103</v>
      </c>
      <c r="P41" s="54" t="n">
        <v>84483.3</v>
      </c>
      <c r="Q41" s="55" t="n">
        <v>0.366</v>
      </c>
      <c r="R41" s="54" t="n">
        <v>8856.4</v>
      </c>
      <c r="S41" s="55" t="n">
        <v>0.612</v>
      </c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82">
      <c r="A42" s="53" t="inlineStr">
        <is>
          <t>December</t>
        </is>
      </c>
      <c r="B42" s="54" t="n">
        <v>2446.3</v>
      </c>
      <c r="C42" s="55" t="n">
        <v>0.742</v>
      </c>
      <c r="D42" s="54" t="n">
        <v>79794.39999999999</v>
      </c>
      <c r="E42" s="55" t="n">
        <v>0.375</v>
      </c>
      <c r="F42" s="54" t="n">
        <v>99628.89999999999</v>
      </c>
      <c r="G42" s="55" t="n">
        <v>0.994</v>
      </c>
      <c r="H42" s="54" t="n">
        <v>5129.5</v>
      </c>
      <c r="I42" s="55" t="n">
        <v>0.639</v>
      </c>
      <c r="J42" s="54" t="n">
        <v>2375.8</v>
      </c>
      <c r="K42" s="55" t="n">
        <v>0.674</v>
      </c>
      <c r="L42" s="54" t="n">
        <v>23660</v>
      </c>
      <c r="M42" s="55" t="n">
        <v>0.156</v>
      </c>
      <c r="N42" s="54" t="n">
        <v>1757.9</v>
      </c>
      <c r="O42" s="55" t="n">
        <v>0.09</v>
      </c>
      <c r="P42" s="54" t="n">
        <v>85431.2</v>
      </c>
      <c r="Q42" s="55" t="n">
        <v>0.342</v>
      </c>
      <c r="R42" s="54" t="n">
        <v>8830.9</v>
      </c>
      <c r="S42" s="55" t="n">
        <v>0.653</v>
      </c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82">
      <c r="A43" s="84" t="inlineStr">
        <is>
          <t>Year 2018</t>
        </is>
      </c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82">
      <c r="A44" s="53" t="inlineStr">
        <is>
          <t>January</t>
        </is>
      </c>
      <c r="B44" s="54" t="n">
        <v>2387.5</v>
      </c>
      <c r="C44" s="55" t="n">
        <v>0.753</v>
      </c>
      <c r="D44" s="54" t="n">
        <v>79771.8</v>
      </c>
      <c r="E44" s="55" t="n">
        <v>0.422</v>
      </c>
      <c r="F44" s="54" t="n">
        <v>99730.60000000001</v>
      </c>
      <c r="G44" s="55" t="n">
        <v>1.006</v>
      </c>
      <c r="H44" s="54" t="n">
        <v>5108.5</v>
      </c>
      <c r="I44" s="55" t="n">
        <v>0.622</v>
      </c>
      <c r="J44" s="54" t="n">
        <v>2543.9</v>
      </c>
      <c r="K44" s="55" t="n">
        <v>0.662</v>
      </c>
      <c r="L44" s="54" t="n">
        <v>25311.1</v>
      </c>
      <c r="M44" s="55" t="n">
        <v>0.163</v>
      </c>
      <c r="N44" s="54" t="n">
        <v>1757.9</v>
      </c>
      <c r="O44" s="55" t="n">
        <v>0.1</v>
      </c>
      <c r="P44" s="54" t="n">
        <v>87552.60000000001</v>
      </c>
      <c r="Q44" s="55" t="n">
        <v>0.387</v>
      </c>
      <c r="R44" s="54" t="n">
        <v>8813</v>
      </c>
      <c r="S44" s="55" t="n">
        <v>0.653</v>
      </c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82">
      <c r="A45" s="53" t="inlineStr">
        <is>
          <t>February</t>
        </is>
      </c>
      <c r="B45" s="54" t="n">
        <v>2403.5</v>
      </c>
      <c r="C45" s="55" t="n">
        <v>0.789</v>
      </c>
      <c r="D45" s="54" t="n">
        <v>79771.8</v>
      </c>
      <c r="E45" s="55" t="n">
        <v>0.464</v>
      </c>
      <c r="F45" s="54" t="n">
        <v>99730.60000000001</v>
      </c>
      <c r="G45" s="55" t="n">
        <v>0.967</v>
      </c>
      <c r="H45" s="54" t="n">
        <v>5083.1</v>
      </c>
      <c r="I45" s="55" t="n">
        <v>0.646</v>
      </c>
      <c r="J45" s="54" t="n">
        <v>2543.9</v>
      </c>
      <c r="K45" s="55" t="n">
        <v>0.666</v>
      </c>
      <c r="L45" s="54" t="n">
        <v>25968.4</v>
      </c>
      <c r="M45" s="55" t="n">
        <v>0.209</v>
      </c>
      <c r="N45" s="54" t="n">
        <v>1757.9</v>
      </c>
      <c r="O45" s="55" t="n">
        <v>0.161</v>
      </c>
      <c r="P45" s="54" t="n">
        <v>88563.2</v>
      </c>
      <c r="Q45" s="55" t="n">
        <v>0.388</v>
      </c>
      <c r="R45" s="54" t="n">
        <v>8813</v>
      </c>
      <c r="S45" s="55" t="n">
        <v>0.625</v>
      </c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82">
      <c r="A46" s="53" t="inlineStr">
        <is>
          <t>March</t>
        </is>
      </c>
      <c r="B46" s="54" t="n">
        <v>2382.2</v>
      </c>
      <c r="C46" s="55" t="n">
        <v>0.768</v>
      </c>
      <c r="D46" s="54" t="n">
        <v>79785.3</v>
      </c>
      <c r="E46" s="55" t="n">
        <v>0.436</v>
      </c>
      <c r="F46" s="54" t="n">
        <v>99730.60000000001</v>
      </c>
      <c r="G46" s="55" t="n">
        <v>0.903</v>
      </c>
      <c r="H46" s="54" t="n">
        <v>5086.1</v>
      </c>
      <c r="I46" s="55" t="n">
        <v>0.62</v>
      </c>
      <c r="J46" s="54" t="n">
        <v>2543.9</v>
      </c>
      <c r="K46" s="55" t="n">
        <v>0.633</v>
      </c>
      <c r="L46" s="54" t="n">
        <v>26067.6</v>
      </c>
      <c r="M46" s="55" t="n">
        <v>0.243</v>
      </c>
      <c r="N46" s="54" t="n">
        <v>1757.9</v>
      </c>
      <c r="O46" s="55" t="n">
        <v>0.192</v>
      </c>
      <c r="P46" s="54" t="n">
        <v>88787.7</v>
      </c>
      <c r="Q46" s="55" t="n">
        <v>0.401</v>
      </c>
      <c r="R46" s="54" t="n">
        <v>8780.5</v>
      </c>
      <c r="S46" s="55" t="n">
        <v>0.617</v>
      </c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82">
      <c r="A47" s="53" t="inlineStr">
        <is>
          <t>April</t>
        </is>
      </c>
      <c r="B47" s="54" t="n">
        <v>2392.2</v>
      </c>
      <c r="C47" s="55" t="n">
        <v>0.6899999999999999</v>
      </c>
      <c r="D47" s="54" t="n">
        <v>79792.3</v>
      </c>
      <c r="E47" s="55" t="n">
        <v>0.489</v>
      </c>
      <c r="F47" s="54" t="n">
        <v>99730.60000000001</v>
      </c>
      <c r="G47" s="55" t="n">
        <v>0.824</v>
      </c>
      <c r="H47" s="54" t="n">
        <v>5086.1</v>
      </c>
      <c r="I47" s="55" t="n">
        <v>0.609</v>
      </c>
      <c r="J47" s="54" t="n">
        <v>2543.9</v>
      </c>
      <c r="K47" s="55" t="n">
        <v>0.616</v>
      </c>
      <c r="L47" s="54" t="n">
        <v>26591.3</v>
      </c>
      <c r="M47" s="55" t="n">
        <v>0.297</v>
      </c>
      <c r="N47" s="54" t="n">
        <v>1757.9</v>
      </c>
      <c r="O47" s="55" t="n">
        <v>0.244</v>
      </c>
      <c r="P47" s="54" t="n">
        <v>88789.2</v>
      </c>
      <c r="Q47" s="55" t="n">
        <v>0.413</v>
      </c>
      <c r="R47" s="54" t="n">
        <v>8780.5</v>
      </c>
      <c r="S47" s="55" t="n">
        <v>0.556</v>
      </c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82">
      <c r="A48" s="53" t="inlineStr">
        <is>
          <t>May</t>
        </is>
      </c>
      <c r="B48" s="54" t="n">
        <v>2392.2</v>
      </c>
      <c r="C48" s="55" t="n">
        <v>0.777</v>
      </c>
      <c r="D48" s="54" t="n">
        <v>79753.3</v>
      </c>
      <c r="E48" s="55" t="n">
        <v>0.513</v>
      </c>
      <c r="F48" s="54" t="n">
        <v>99730.60000000001</v>
      </c>
      <c r="G48" s="55" t="n">
        <v>0.907</v>
      </c>
      <c r="H48" s="54" t="n">
        <v>5083.5</v>
      </c>
      <c r="I48" s="55" t="n">
        <v>0.594</v>
      </c>
      <c r="J48" s="54" t="n">
        <v>2543.9</v>
      </c>
      <c r="K48" s="55" t="n">
        <v>0.632</v>
      </c>
      <c r="L48" s="54" t="n">
        <v>26859.7</v>
      </c>
      <c r="M48" s="55" t="n">
        <v>0.318</v>
      </c>
      <c r="N48" s="54" t="n">
        <v>1757.9</v>
      </c>
      <c r="O48" s="55" t="n">
        <v>0.329</v>
      </c>
      <c r="P48" s="54" t="n">
        <v>89086.2</v>
      </c>
      <c r="Q48" s="55" t="n">
        <v>0.36</v>
      </c>
      <c r="R48" s="54" t="n">
        <v>8761.5</v>
      </c>
      <c r="S48" s="55" t="n">
        <v>0.58</v>
      </c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82">
      <c r="A49" s="53" t="inlineStr">
        <is>
          <t>June</t>
        </is>
      </c>
      <c r="B49" s="54" t="n">
        <v>2392.2</v>
      </c>
      <c r="C49" s="55" t="n">
        <v>0.755</v>
      </c>
      <c r="D49" s="54" t="n">
        <v>79753.8</v>
      </c>
      <c r="E49" s="55" t="n">
        <v>0.481</v>
      </c>
      <c r="F49" s="54" t="n">
        <v>99730.60000000001</v>
      </c>
      <c r="G49" s="55" t="n">
        <v>0.971</v>
      </c>
      <c r="H49" s="54" t="n">
        <v>5006.9</v>
      </c>
      <c r="I49" s="55" t="n">
        <v>0.63</v>
      </c>
      <c r="J49" s="54" t="n">
        <v>2543.9</v>
      </c>
      <c r="K49" s="55" t="n">
        <v>0.641</v>
      </c>
      <c r="L49" s="54" t="n">
        <v>27291.3</v>
      </c>
      <c r="M49" s="55" t="n">
        <v>0.349</v>
      </c>
      <c r="N49" s="54" t="n">
        <v>1757.9</v>
      </c>
      <c r="O49" s="55" t="n">
        <v>0.417</v>
      </c>
      <c r="P49" s="54" t="n">
        <v>89078.2</v>
      </c>
      <c r="Q49" s="55" t="n">
        <v>0.384</v>
      </c>
      <c r="R49" s="54" t="n">
        <v>8775.5</v>
      </c>
      <c r="S49" s="55" t="n">
        <v>0.617</v>
      </c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82">
      <c r="A50" s="53" t="inlineStr">
        <is>
          <t>July</t>
        </is>
      </c>
      <c r="B50" s="54" t="n">
        <v>2392.2</v>
      </c>
      <c r="C50" s="55" t="n">
        <v>0.77</v>
      </c>
      <c r="D50" s="54" t="n">
        <v>79751.60000000001</v>
      </c>
      <c r="E50" s="55" t="n">
        <v>0.423</v>
      </c>
      <c r="F50" s="54" t="n">
        <v>99730.60000000001</v>
      </c>
      <c r="G50" s="55" t="n">
        <v>0.977</v>
      </c>
      <c r="H50" s="54" t="n">
        <v>5050.2</v>
      </c>
      <c r="I50" s="55" t="n">
        <v>0.623</v>
      </c>
      <c r="J50" s="54" t="n">
        <v>2543.9</v>
      </c>
      <c r="K50" s="55" t="n">
        <v>0.658</v>
      </c>
      <c r="L50" s="54" t="n">
        <v>27451.7</v>
      </c>
      <c r="M50" s="55" t="n">
        <v>0.311</v>
      </c>
      <c r="N50" s="54" t="n">
        <v>1757.9</v>
      </c>
      <c r="O50" s="55" t="n">
        <v>0.301</v>
      </c>
      <c r="P50" s="54" t="n">
        <v>89227.2</v>
      </c>
      <c r="Q50" s="55" t="n">
        <v>0.247</v>
      </c>
      <c r="R50" s="54" t="n">
        <v>8767.200000000001</v>
      </c>
      <c r="S50" s="55" t="n">
        <v>0.637</v>
      </c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82">
      <c r="A51" s="53" t="inlineStr">
        <is>
          <t>August</t>
        </is>
      </c>
      <c r="B51" s="54" t="n">
        <v>2392.2</v>
      </c>
      <c r="C51" s="55" t="n">
        <v>0.768</v>
      </c>
      <c r="D51" s="54" t="n">
        <v>79751.60000000001</v>
      </c>
      <c r="E51" s="55" t="n">
        <v>0.371</v>
      </c>
      <c r="F51" s="54" t="n">
        <v>99730.60000000001</v>
      </c>
      <c r="G51" s="55" t="n">
        <v>0.974</v>
      </c>
      <c r="H51" s="54" t="n">
        <v>5042.5</v>
      </c>
      <c r="I51" s="55" t="n">
        <v>0.626</v>
      </c>
      <c r="J51" s="54" t="n">
        <v>2543.9</v>
      </c>
      <c r="K51" s="55" t="n">
        <v>0.6870000000000001</v>
      </c>
      <c r="L51" s="54" t="n">
        <v>27590.1</v>
      </c>
      <c r="M51" s="55" t="n">
        <v>0.305</v>
      </c>
      <c r="N51" s="54" t="n">
        <v>1757.9</v>
      </c>
      <c r="O51" s="55" t="n">
        <v>0.325</v>
      </c>
      <c r="P51" s="54" t="n">
        <v>89387.5</v>
      </c>
      <c r="Q51" s="55" t="n">
        <v>0.298</v>
      </c>
      <c r="R51" s="54" t="n">
        <v>8748.700000000001</v>
      </c>
      <c r="S51" s="55" t="n">
        <v>0.622</v>
      </c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82">
      <c r="A52" s="53" t="inlineStr">
        <is>
          <t>September</t>
        </is>
      </c>
      <c r="B52" s="54" t="n">
        <v>2392.2</v>
      </c>
      <c r="C52" s="55" t="n">
        <v>0.771</v>
      </c>
      <c r="D52" s="54" t="n">
        <v>79751.60000000001</v>
      </c>
      <c r="E52" s="55" t="n">
        <v>0.334</v>
      </c>
      <c r="F52" s="54" t="n">
        <v>99277.89999999999</v>
      </c>
      <c r="G52" s="55" t="n">
        <v>0.903</v>
      </c>
      <c r="H52" s="54" t="n">
        <v>5042.5</v>
      </c>
      <c r="I52" s="55" t="n">
        <v>0.583</v>
      </c>
      <c r="J52" s="54" t="n">
        <v>2543.9</v>
      </c>
      <c r="K52" s="55" t="n">
        <v>0.672</v>
      </c>
      <c r="L52" s="54" t="n">
        <v>27674</v>
      </c>
      <c r="M52" s="55" t="n">
        <v>0.277</v>
      </c>
      <c r="N52" s="54" t="n">
        <v>1757.9</v>
      </c>
      <c r="O52" s="55" t="n">
        <v>0.348</v>
      </c>
      <c r="P52" s="54" t="n">
        <v>89469.5</v>
      </c>
      <c r="Q52" s="55" t="n">
        <v>0.286</v>
      </c>
      <c r="R52" s="54" t="n">
        <v>8748.700000000001</v>
      </c>
      <c r="S52" s="55" t="n">
        <v>0.585</v>
      </c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82">
      <c r="A53" s="53" t="inlineStr">
        <is>
          <t>October</t>
        </is>
      </c>
      <c r="B53" s="54" t="n">
        <v>2392.2</v>
      </c>
      <c r="C53" s="55" t="n">
        <v>0.715</v>
      </c>
      <c r="D53" s="54" t="n">
        <v>79753.60000000001</v>
      </c>
      <c r="E53" s="55" t="n">
        <v>0.329</v>
      </c>
      <c r="F53" s="54" t="n">
        <v>99277.89999999999</v>
      </c>
      <c r="G53" s="55" t="n">
        <v>0.804</v>
      </c>
      <c r="H53" s="54" t="n">
        <v>5041.4</v>
      </c>
      <c r="I53" s="55" t="n">
        <v>0.61</v>
      </c>
      <c r="J53" s="54" t="n">
        <v>2543.9</v>
      </c>
      <c r="K53" s="55" t="n">
        <v>0.643</v>
      </c>
      <c r="L53" s="54" t="n">
        <v>27989.5</v>
      </c>
      <c r="M53" s="55" t="n">
        <v>0.224</v>
      </c>
      <c r="N53" s="54" t="n">
        <v>1757.9</v>
      </c>
      <c r="O53" s="55" t="n">
        <v>0.207</v>
      </c>
      <c r="P53" s="54" t="n">
        <v>89941.8</v>
      </c>
      <c r="Q53" s="55" t="n">
        <v>0.315</v>
      </c>
      <c r="R53" s="54" t="n">
        <v>8748.700000000001</v>
      </c>
      <c r="S53" s="55" t="n">
        <v>0.5649999999999999</v>
      </c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82">
      <c r="A54" s="53" t="inlineStr">
        <is>
          <t>November</t>
        </is>
      </c>
      <c r="B54" s="54" t="n">
        <v>2392.2</v>
      </c>
      <c r="C54" s="55" t="n">
        <v>0.773</v>
      </c>
      <c r="D54" s="54" t="n">
        <v>79753.60000000001</v>
      </c>
      <c r="E54" s="55" t="n">
        <v>0.381</v>
      </c>
      <c r="F54" s="54" t="n">
        <v>99432.89999999999</v>
      </c>
      <c r="G54" s="55" t="n">
        <v>0.893</v>
      </c>
      <c r="H54" s="54" t="n">
        <v>5039</v>
      </c>
      <c r="I54" s="55" t="n">
        <v>0.623</v>
      </c>
      <c r="J54" s="54" t="n">
        <v>2543.9</v>
      </c>
      <c r="K54" s="55" t="n">
        <v>0.674</v>
      </c>
      <c r="L54" s="54" t="n">
        <v>28158.3</v>
      </c>
      <c r="M54" s="55" t="n">
        <v>0.173</v>
      </c>
      <c r="N54" s="54" t="n">
        <v>1757.9</v>
      </c>
      <c r="O54" s="55" t="n">
        <v>0.133</v>
      </c>
      <c r="P54" s="54" t="n">
        <v>90282.8</v>
      </c>
      <c r="Q54" s="55" t="n">
        <v>0.338</v>
      </c>
      <c r="R54" s="54" t="n">
        <v>8694.6</v>
      </c>
      <c r="S54" s="55" t="n">
        <v>0.604</v>
      </c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82">
      <c r="A55" s="53" t="inlineStr">
        <is>
          <t>December</t>
        </is>
      </c>
      <c r="B55" s="54" t="n">
        <v>2387.9</v>
      </c>
      <c r="C55" s="55" t="n">
        <v>0.794</v>
      </c>
      <c r="D55" s="54" t="n">
        <v>79870.8</v>
      </c>
      <c r="E55" s="55" t="n">
        <v>0.384</v>
      </c>
      <c r="F55" s="54" t="n">
        <v>99432.89999999999</v>
      </c>
      <c r="G55" s="55" t="n">
        <v>0.969</v>
      </c>
      <c r="H55" s="54" t="n">
        <v>5038.6</v>
      </c>
      <c r="I55" s="55" t="n">
        <v>0.632</v>
      </c>
      <c r="J55" s="54" t="n">
        <v>2543.9</v>
      </c>
      <c r="K55" s="55" t="n">
        <v>0.67</v>
      </c>
      <c r="L55" s="54" t="n">
        <v>28690.2</v>
      </c>
      <c r="M55" s="55" t="n">
        <v>0.137</v>
      </c>
      <c r="N55" s="54" t="n">
        <v>1757.9</v>
      </c>
      <c r="O55" s="55" t="n">
        <v>0.07000000000000001</v>
      </c>
      <c r="P55" s="54" t="n">
        <v>90534.10000000001</v>
      </c>
      <c r="Q55" s="55" t="n">
        <v>0.348</v>
      </c>
      <c r="R55" s="54" t="n">
        <v>8694.6</v>
      </c>
      <c r="S55" s="55" t="n">
        <v>0.614</v>
      </c>
      <c r="T55" s="50" t="n"/>
      <c r="U55" s="50" t="n"/>
      <c r="V55" s="50" t="n"/>
      <c r="W55" s="50" t="n"/>
      <c r="X55" s="50" t="n"/>
      <c r="Y55" s="50" t="n"/>
      <c r="Z55" s="50" t="n"/>
    </row>
    <row r="56" ht="96" customHeight="1" s="82">
      <c r="A56" s="85" t="inlineStr">
        <is>
          <t xml:space="preserve">Values are final.
Time adjusted capacity for month rows is the summer capacity of generators in operation for the entire month; units that began operation during the month or that retired during the month are excluded. Time adjusted capacity for year rows is a time weighted average of the month rows.
Capacity factors are a comparison of net generation with available capacity. See the technical note for an explanation of how capacity factors are calculated.
Sources: U.S. Energy Information Administration, Form EIA-923, Power Plant Operations Report; U.S. Energy Information Administration, Form EIA-860, 'Annual Electric Generator Report' and Form EIA-860M, 'Monthly Update to the Annual Electric Generator Report.'
</t>
        </is>
      </c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82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82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82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82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82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82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82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82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82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82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82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82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82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82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82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82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82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82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82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82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82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82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82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82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82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82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82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82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82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82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82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82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82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82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82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82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82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82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82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82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82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82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82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82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82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82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82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82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82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82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82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82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82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82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82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82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82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82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82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82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82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82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82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82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82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82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82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82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82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82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82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82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82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82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82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82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82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82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82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82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82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82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82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82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82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82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82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82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82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82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82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82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82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82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82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82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82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82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82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82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82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82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82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82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82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82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82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82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82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82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82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82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82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82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82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82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82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82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82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82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82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82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82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82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82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82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82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82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82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82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82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82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82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82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82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82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82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82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82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82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82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82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82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82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82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82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82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82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82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82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82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82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82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82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82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82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82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82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82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82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82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82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82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82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82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82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82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82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82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82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82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82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82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82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82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82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82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82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82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82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82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82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82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82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82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82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82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82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82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82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82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82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82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82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82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82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82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82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82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82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82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82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82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82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82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82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82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82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82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82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82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82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82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82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82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82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82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82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82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82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82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82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82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82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82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82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82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82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82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82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82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82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82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82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82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82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82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82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82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82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82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82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82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82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82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82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82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82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82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82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82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82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82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82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82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82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82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82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82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82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82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82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82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82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82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82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82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82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82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82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82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82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82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82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82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82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82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82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82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82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82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82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82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82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82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82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82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82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82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82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82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82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82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82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82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82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82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82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82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82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82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82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82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82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82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82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82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82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82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82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82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82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82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82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82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82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82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82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82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82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82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82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82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82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82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82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82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82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82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82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82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82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82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82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82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82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82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82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82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82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82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82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82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82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82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82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82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82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82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82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82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82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82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82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82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82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82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82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82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82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82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82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82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82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82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82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82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82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82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82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82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82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82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82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82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82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82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82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82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82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82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82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82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82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82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82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82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82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82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82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82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82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82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82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82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82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82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82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82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82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82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82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82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82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82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82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82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82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82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82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82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82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82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82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82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82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82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82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82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82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82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82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82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82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82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82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82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82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82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82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82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82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82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82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82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82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82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82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82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82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82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82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82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82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82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82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82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82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82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82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82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82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82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82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82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82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82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82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82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82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82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82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82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82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82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82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82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82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82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82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82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82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82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82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82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82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82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82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82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82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82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82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82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82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82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82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82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82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82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82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82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82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82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82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82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82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82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82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82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82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82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82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82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82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82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82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82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82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82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82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82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82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82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82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82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82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82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82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82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82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82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82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82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82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82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82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82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82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82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82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82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82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82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82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82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82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82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82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82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82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82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82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82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82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82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82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82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82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82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82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82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82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82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82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82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82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82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82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82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82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82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82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82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82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82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82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82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82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82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82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82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82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82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82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82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82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82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82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82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82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82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82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82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82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82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82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82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82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82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82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82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82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82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82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82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82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82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82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82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82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82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82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82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82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82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82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82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82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82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82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82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82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82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82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82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82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82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82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82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82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82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82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82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82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82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82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82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82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82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82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82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82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82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82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82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82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82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82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82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82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82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82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82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82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82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82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82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82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82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82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82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82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82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82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82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82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82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82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82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82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82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82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82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82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82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82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82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82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82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82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82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82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82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82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82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82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82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82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82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82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82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82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82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82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82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82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82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82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82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82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82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82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82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82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82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82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82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82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82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82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82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82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82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82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82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82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82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82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82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82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82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82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82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82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82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82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82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82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82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82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82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82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82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82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82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82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82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82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82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82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82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82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82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82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82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82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82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82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82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82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82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82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82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82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82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82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82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82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82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82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82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82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82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82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82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82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82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82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82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82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82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82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82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82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82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82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82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82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82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82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82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82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82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82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82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82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82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82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82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82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82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82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82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82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82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82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82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82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82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82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82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82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82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82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82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82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82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82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82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82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82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82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82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82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82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82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82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82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82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82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82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82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82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82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82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82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82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82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82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82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82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82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82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82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82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82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82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82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82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82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82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82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82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82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82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82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82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82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82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82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82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82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82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82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82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82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82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82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82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82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82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82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82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82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82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82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82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82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82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82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82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82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82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82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82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82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82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82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82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82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82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82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82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82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82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82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82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82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82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82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82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82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82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82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82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82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82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82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82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82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82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82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82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82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82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82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82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82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82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82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82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82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82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82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82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82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82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82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82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82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82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82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82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82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82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82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82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82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82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82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82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82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82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82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82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82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82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82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82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82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82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82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82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82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82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82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82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82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82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82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82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82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82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82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mergeCells count="18">
    <mergeCell ref="A43:S43"/>
    <mergeCell ref="A56:S56"/>
    <mergeCell ref="B3:K3"/>
    <mergeCell ref="L3:M3"/>
    <mergeCell ref="N3:O3"/>
    <mergeCell ref="P3:S3"/>
    <mergeCell ref="A5:S5"/>
    <mergeCell ref="A17:S17"/>
    <mergeCell ref="A30:S30"/>
    <mergeCell ref="P2:Q2"/>
    <mergeCell ref="R2:S2"/>
    <mergeCell ref="A1:S1"/>
    <mergeCell ref="B2:C2"/>
    <mergeCell ref="D2:E2"/>
    <mergeCell ref="F2:G2"/>
    <mergeCell ref="H2:I2"/>
    <mergeCell ref="J2:K2"/>
    <mergeCell ref="L2:O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R739"/>
  <sheetViews>
    <sheetView topLeftCell="A4" workbookViewId="0">
      <selection activeCell="D9" sqref="D9"/>
    </sheetView>
  </sheetViews>
  <sheetFormatPr baseColWidth="10" defaultColWidth="10.6640625" defaultRowHeight="14"/>
  <sheetData>
    <row r="2">
      <c r="A2">
        <f>About!B2</f>
        <v/>
      </c>
    </row>
    <row r="4">
      <c r="A4" s="67" t="n"/>
      <c r="C4" s="76" t="n"/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  <c r="AA4" s="76" t="n"/>
      <c r="AB4" s="76" t="n"/>
      <c r="AC4" s="76" t="n"/>
      <c r="AD4" s="76" t="n"/>
      <c r="AE4" s="76" t="n"/>
      <c r="AF4" s="76" t="n"/>
      <c r="AG4" s="76" t="n"/>
      <c r="AH4" s="76" t="n"/>
      <c r="AI4" s="76" t="n"/>
    </row>
    <row r="5" ht="15" customHeight="1" s="82">
      <c r="A5" s="10" t="n"/>
      <c r="B5" s="58" t="n"/>
    </row>
    <row r="6" ht="15" customHeight="1" s="82">
      <c r="A6" s="1" t="inlineStr">
        <is>
          <t>Raw</t>
        </is>
      </c>
      <c r="B6" s="76" t="n"/>
      <c r="C6" s="76" t="n">
        <v>2019</v>
      </c>
      <c r="D6" s="76" t="n">
        <v>2020</v>
      </c>
      <c r="E6" s="76" t="n">
        <v>2021</v>
      </c>
      <c r="F6" s="76" t="n">
        <v>2022</v>
      </c>
      <c r="G6" s="76" t="n">
        <v>2023</v>
      </c>
      <c r="H6" s="76" t="n">
        <v>2024</v>
      </c>
      <c r="I6" s="76" t="n">
        <v>2025</v>
      </c>
      <c r="J6" s="76" t="n">
        <v>2026</v>
      </c>
      <c r="K6" s="76" t="n">
        <v>2027</v>
      </c>
      <c r="L6" s="76" t="n">
        <v>2028</v>
      </c>
      <c r="M6" s="76" t="n">
        <v>2029</v>
      </c>
      <c r="N6" s="76" t="n">
        <v>2030</v>
      </c>
      <c r="O6" s="76" t="n">
        <v>2031</v>
      </c>
      <c r="P6" s="76" t="n">
        <v>2032</v>
      </c>
      <c r="Q6" s="76" t="n">
        <v>2033</v>
      </c>
      <c r="R6" s="76" t="n">
        <v>2034</v>
      </c>
      <c r="S6" s="76" t="n">
        <v>2035</v>
      </c>
      <c r="T6" s="76" t="n">
        <v>2036</v>
      </c>
      <c r="U6" s="76" t="n">
        <v>2037</v>
      </c>
      <c r="V6" s="76" t="n">
        <v>2038</v>
      </c>
      <c r="W6" s="76" t="n">
        <v>2039</v>
      </c>
      <c r="X6" s="76" t="n">
        <v>2040</v>
      </c>
      <c r="Y6" s="76" t="n">
        <v>2041</v>
      </c>
      <c r="Z6" s="76" t="n">
        <v>2042</v>
      </c>
      <c r="AA6" s="76" t="n">
        <v>2043</v>
      </c>
      <c r="AB6" s="76" t="n">
        <v>2044</v>
      </c>
      <c r="AC6" s="76" t="n">
        <v>2045</v>
      </c>
      <c r="AD6" s="76" t="n">
        <v>2046</v>
      </c>
      <c r="AE6" s="76" t="n">
        <v>2047</v>
      </c>
      <c r="AF6" s="76" t="n">
        <v>2048</v>
      </c>
      <c r="AG6" s="76" t="n">
        <v>2049</v>
      </c>
      <c r="AH6" s="76" t="n">
        <v>2050</v>
      </c>
      <c r="AI6" s="76" t="n"/>
    </row>
    <row r="7" ht="15" customHeight="1" s="82">
      <c r="A7" s="10" t="inlineStr">
        <is>
          <t>solar PV</t>
        </is>
      </c>
      <c r="B7" s="76" t="inlineStr">
        <is>
          <t>Utility PV</t>
        </is>
      </c>
      <c r="C7">
        <f>SUMIFS(L$19:L$738,$A$19:$A$738,$A$2,$B$19:$B$738,$B7)</f>
        <v/>
      </c>
      <c r="D7">
        <f>SUMIFS(M$19:M$738,$A$19:$A$738,$A$2,$B$19:$B$738,$B7)</f>
        <v/>
      </c>
      <c r="E7">
        <f>SUMIFS(N$19:N$738,$A$19:$A$738,$A$2,$B$19:$B$738,$B7)</f>
        <v/>
      </c>
      <c r="F7">
        <f>SUMIFS(O$19:O$738,$A$19:$A$738,$A$2,$B$19:$B$738,$B7)</f>
        <v/>
      </c>
      <c r="G7">
        <f>SUMIFS(P$19:P$738,$A$19:$A$738,$A$2,$B$19:$B$738,$B7)</f>
        <v/>
      </c>
      <c r="H7">
        <f>SUMIFS(Q$19:Q$738,$A$19:$A$738,$A$2,$B$19:$B$738,$B7)</f>
        <v/>
      </c>
      <c r="I7">
        <f>SUMIFS(R$19:R$738,$A$19:$A$738,$A$2,$B$19:$B$738,$B7)</f>
        <v/>
      </c>
      <c r="J7">
        <f>SUMIFS(S$19:S$738,$A$19:$A$738,$A$2,$B$19:$B$738,$B7)</f>
        <v/>
      </c>
      <c r="K7">
        <f>SUMIFS(T$19:T$738,$A$19:$A$738,$A$2,$B$19:$B$738,$B7)</f>
        <v/>
      </c>
      <c r="L7">
        <f>SUMIFS(U$19:U$738,$A$19:$A$738,$A$2,$B$19:$B$738,$B7)</f>
        <v/>
      </c>
      <c r="M7">
        <f>SUMIFS(V$19:V$738,$A$19:$A$738,$A$2,$B$19:$B$738,$B7)</f>
        <v/>
      </c>
      <c r="N7">
        <f>SUMIFS(W$19:W$738,$A$19:$A$738,$A$2,$B$19:$B$738,$B7)</f>
        <v/>
      </c>
      <c r="O7">
        <f>SUMIFS(X$19:X$738,$A$19:$A$738,$A$2,$B$19:$B$738,$B7)</f>
        <v/>
      </c>
      <c r="P7">
        <f>SUMIFS(Y$19:Y$738,$A$19:$A$738,$A$2,$B$19:$B$738,$B7)</f>
        <v/>
      </c>
      <c r="Q7">
        <f>SUMIFS(Z$19:Z$738,$A$19:$A$738,$A$2,$B$19:$B$738,$B7)</f>
        <v/>
      </c>
      <c r="R7">
        <f>SUMIFS(AA$19:AA$738,$A$19:$A$738,$A$2,$B$19:$B$738,$B7)</f>
        <v/>
      </c>
      <c r="S7">
        <f>SUMIFS(AB$19:AB$738,$A$19:$A$738,$A$2,$B$19:$B$738,$B7)</f>
        <v/>
      </c>
      <c r="T7">
        <f>SUMIFS(AC$19:AC$738,$A$19:$A$738,$A$2,$B$19:$B$738,$B7)</f>
        <v/>
      </c>
      <c r="U7">
        <f>SUMIFS(AD$19:AD$738,$A$19:$A$738,$A$2,$B$19:$B$738,$B7)</f>
        <v/>
      </c>
      <c r="V7">
        <f>SUMIFS(AE$19:AE$738,$A$19:$A$738,$A$2,$B$19:$B$738,$B7)</f>
        <v/>
      </c>
      <c r="W7">
        <f>SUMIFS(AF$19:AF$738,$A$19:$A$738,$A$2,$B$19:$B$738,$B7)</f>
        <v/>
      </c>
      <c r="X7">
        <f>SUMIFS(AG$19:AG$738,$A$19:$A$738,$A$2,$B$19:$B$738,$B7)</f>
        <v/>
      </c>
      <c r="Y7">
        <f>SUMIFS(AH$19:AH$738,$A$19:$A$738,$A$2,$B$19:$B$738,$B7)</f>
        <v/>
      </c>
      <c r="Z7">
        <f>SUMIFS(AI$19:AI$738,$A$19:$A$738,$A$2,$B$19:$B$738,$B7)</f>
        <v/>
      </c>
      <c r="AA7">
        <f>SUMIFS(AJ$19:AJ$738,$A$19:$A$738,$A$2,$B$19:$B$738,$B7)</f>
        <v/>
      </c>
      <c r="AB7">
        <f>SUMIFS(AK$19:AK$738,$A$19:$A$738,$A$2,$B$19:$B$738,$B7)</f>
        <v/>
      </c>
      <c r="AC7">
        <f>SUMIFS(AL$19:AL$738,$A$19:$A$738,$A$2,$B$19:$B$738,$B7)</f>
        <v/>
      </c>
      <c r="AD7">
        <f>SUMIFS(AM$19:AM$738,$A$19:$A$738,$A$2,$B$19:$B$738,$B7)</f>
        <v/>
      </c>
      <c r="AE7">
        <f>SUMIFS(AN$19:AN$738,$A$19:$A$738,$A$2,$B$19:$B$738,$B7)</f>
        <v/>
      </c>
      <c r="AF7">
        <f>SUMIFS(AO$19:AO$738,$A$19:$A$738,$A$2,$B$19:$B$738,$B7)</f>
        <v/>
      </c>
      <c r="AG7">
        <f>SUMIFS(AP$19:AP$738,$A$19:$A$738,$A$2,$B$19:$B$738,$B7)</f>
        <v/>
      </c>
      <c r="AH7">
        <f>SUMIFS(AQ$19:AQ$738,$A$19:$A$738,$A$2,$B$19:$B$738,$B7)</f>
        <v/>
      </c>
    </row>
    <row r="8" ht="15" customHeight="1" s="82">
      <c r="A8" s="10" t="inlineStr">
        <is>
          <t>offshore wind</t>
        </is>
      </c>
      <c r="B8" s="76" t="inlineStr">
        <is>
          <t>Wind offshore</t>
        </is>
      </c>
      <c r="C8">
        <f>SUMIFS(L$19:L$738,$A$19:$A$738,$A$2,$B$19:$B$738,$B8)</f>
        <v/>
      </c>
      <c r="D8">
        <f>SUMIFS(M$19:M$738,$A$19:$A$738,$A$2,$B$19:$B$738,$B8)</f>
        <v/>
      </c>
      <c r="E8">
        <f>SUMIFS(N$19:N$738,$A$19:$A$738,$A$2,$B$19:$B$738,$B8)</f>
        <v/>
      </c>
      <c r="F8">
        <f>SUMIFS(O$19:O$738,$A$19:$A$738,$A$2,$B$19:$B$738,$B8)</f>
        <v/>
      </c>
      <c r="G8">
        <f>SUMIFS(P$19:P$738,$A$19:$A$738,$A$2,$B$19:$B$738,$B8)</f>
        <v/>
      </c>
      <c r="H8">
        <f>SUMIFS(Q$19:Q$738,$A$19:$A$738,$A$2,$B$19:$B$738,$B8)</f>
        <v/>
      </c>
      <c r="I8">
        <f>SUMIFS(R$19:R$738,$A$19:$A$738,$A$2,$B$19:$B$738,$B8)</f>
        <v/>
      </c>
      <c r="J8">
        <f>SUMIFS(S$19:S$738,$A$19:$A$738,$A$2,$B$19:$B$738,$B8)</f>
        <v/>
      </c>
      <c r="K8">
        <f>SUMIFS(T$19:T$738,$A$19:$A$738,$A$2,$B$19:$B$738,$B8)</f>
        <v/>
      </c>
      <c r="L8">
        <f>SUMIFS(U$19:U$738,$A$19:$A$738,$A$2,$B$19:$B$738,$B8)</f>
        <v/>
      </c>
      <c r="M8">
        <f>SUMIFS(V$19:V$738,$A$19:$A$738,$A$2,$B$19:$B$738,$B8)</f>
        <v/>
      </c>
      <c r="N8">
        <f>SUMIFS(W$19:W$738,$A$19:$A$738,$A$2,$B$19:$B$738,$B8)</f>
        <v/>
      </c>
      <c r="O8">
        <f>SUMIFS(X$19:X$738,$A$19:$A$738,$A$2,$B$19:$B$738,$B8)</f>
        <v/>
      </c>
      <c r="P8">
        <f>SUMIFS(Y$19:Y$738,$A$19:$A$738,$A$2,$B$19:$B$738,$B8)</f>
        <v/>
      </c>
      <c r="Q8">
        <f>SUMIFS(Z$19:Z$738,$A$19:$A$738,$A$2,$B$19:$B$738,$B8)</f>
        <v/>
      </c>
      <c r="R8">
        <f>SUMIFS(AA$19:AA$738,$A$19:$A$738,$A$2,$B$19:$B$738,$B8)</f>
        <v/>
      </c>
      <c r="S8">
        <f>SUMIFS(AB$19:AB$738,$A$19:$A$738,$A$2,$B$19:$B$738,$B8)</f>
        <v/>
      </c>
      <c r="T8">
        <f>SUMIFS(AC$19:AC$738,$A$19:$A$738,$A$2,$B$19:$B$738,$B8)</f>
        <v/>
      </c>
      <c r="U8">
        <f>SUMIFS(AD$19:AD$738,$A$19:$A$738,$A$2,$B$19:$B$738,$B8)</f>
        <v/>
      </c>
      <c r="V8">
        <f>SUMIFS(AE$19:AE$738,$A$19:$A$738,$A$2,$B$19:$B$738,$B8)</f>
        <v/>
      </c>
      <c r="W8">
        <f>SUMIFS(AF$19:AF$738,$A$19:$A$738,$A$2,$B$19:$B$738,$B8)</f>
        <v/>
      </c>
      <c r="X8">
        <f>SUMIFS(AG$19:AG$738,$A$19:$A$738,$A$2,$B$19:$B$738,$B8)</f>
        <v/>
      </c>
      <c r="Y8">
        <f>SUMIFS(AH$19:AH$738,$A$19:$A$738,$A$2,$B$19:$B$738,$B8)</f>
        <v/>
      </c>
      <c r="Z8">
        <f>SUMIFS(AI$19:AI$738,$A$19:$A$738,$A$2,$B$19:$B$738,$B8)</f>
        <v/>
      </c>
      <c r="AA8">
        <f>SUMIFS(AJ$19:AJ$738,$A$19:$A$738,$A$2,$B$19:$B$738,$B8)</f>
        <v/>
      </c>
      <c r="AB8">
        <f>SUMIFS(AK$19:AK$738,$A$19:$A$738,$A$2,$B$19:$B$738,$B8)</f>
        <v/>
      </c>
      <c r="AC8">
        <f>SUMIFS(AL$19:AL$738,$A$19:$A$738,$A$2,$B$19:$B$738,$B8)</f>
        <v/>
      </c>
      <c r="AD8">
        <f>SUMIFS(AM$19:AM$738,$A$19:$A$738,$A$2,$B$19:$B$738,$B8)</f>
        <v/>
      </c>
      <c r="AE8">
        <f>SUMIFS(AN$19:AN$738,$A$19:$A$738,$A$2,$B$19:$B$738,$B8)</f>
        <v/>
      </c>
      <c r="AF8">
        <f>SUMIFS(AO$19:AO$738,$A$19:$A$738,$A$2,$B$19:$B$738,$B8)</f>
        <v/>
      </c>
      <c r="AG8">
        <f>SUMIFS(AP$19:AP$738,$A$19:$A$738,$A$2,$B$19:$B$738,$B8)</f>
        <v/>
      </c>
      <c r="AH8">
        <f>SUMIFS(AQ$19:AQ$738,$A$19:$A$738,$A$2,$B$19:$B$738,$B8)</f>
        <v/>
      </c>
    </row>
    <row r="9" ht="15" customHeight="1" s="82">
      <c r="A9" s="10" t="inlineStr">
        <is>
          <t>onshore wind</t>
        </is>
      </c>
      <c r="B9" s="76" t="inlineStr">
        <is>
          <t>Wind onshore</t>
        </is>
      </c>
      <c r="C9">
        <f>SUMIFS(L$19:L$738,$A$19:$A$738,$A$2,$B$19:$B$738,$B9)</f>
        <v/>
      </c>
      <c r="D9">
        <f>SUMIFS(M$19:M$738,$A$19:$A$738,$A$2,$B$19:$B$738,$B9)</f>
        <v/>
      </c>
      <c r="E9">
        <f>SUMIFS(N$19:N$738,$A$19:$A$738,$A$2,$B$19:$B$738,$B9)</f>
        <v/>
      </c>
      <c r="F9">
        <f>SUMIFS(O$19:O$738,$A$19:$A$738,$A$2,$B$19:$B$738,$B9)</f>
        <v/>
      </c>
      <c r="G9">
        <f>SUMIFS(P$19:P$738,$A$19:$A$738,$A$2,$B$19:$B$738,$B9)</f>
        <v/>
      </c>
      <c r="H9">
        <f>SUMIFS(Q$19:Q$738,$A$19:$A$738,$A$2,$B$19:$B$738,$B9)</f>
        <v/>
      </c>
      <c r="I9">
        <f>SUMIFS(R$19:R$738,$A$19:$A$738,$A$2,$B$19:$B$738,$B9)</f>
        <v/>
      </c>
      <c r="J9">
        <f>SUMIFS(S$19:S$738,$A$19:$A$738,$A$2,$B$19:$B$738,$B9)</f>
        <v/>
      </c>
      <c r="K9">
        <f>SUMIFS(T$19:T$738,$A$19:$A$738,$A$2,$B$19:$B$738,$B9)</f>
        <v/>
      </c>
      <c r="L9">
        <f>SUMIFS(U$19:U$738,$A$19:$A$738,$A$2,$B$19:$B$738,$B9)</f>
        <v/>
      </c>
      <c r="M9">
        <f>SUMIFS(V$19:V$738,$A$19:$A$738,$A$2,$B$19:$B$738,$B9)</f>
        <v/>
      </c>
      <c r="N9">
        <f>SUMIFS(W$19:W$738,$A$19:$A$738,$A$2,$B$19:$B$738,$B9)</f>
        <v/>
      </c>
      <c r="O9">
        <f>SUMIFS(X$19:X$738,$A$19:$A$738,$A$2,$B$19:$B$738,$B9)</f>
        <v/>
      </c>
      <c r="P9">
        <f>SUMIFS(Y$19:Y$738,$A$19:$A$738,$A$2,$B$19:$B$738,$B9)</f>
        <v/>
      </c>
      <c r="Q9">
        <f>SUMIFS(Z$19:Z$738,$A$19:$A$738,$A$2,$B$19:$B$738,$B9)</f>
        <v/>
      </c>
      <c r="R9">
        <f>SUMIFS(AA$19:AA$738,$A$19:$A$738,$A$2,$B$19:$B$738,$B9)</f>
        <v/>
      </c>
      <c r="S9">
        <f>SUMIFS(AB$19:AB$738,$A$19:$A$738,$A$2,$B$19:$B$738,$B9)</f>
        <v/>
      </c>
      <c r="T9">
        <f>SUMIFS(AC$19:AC$738,$A$19:$A$738,$A$2,$B$19:$B$738,$B9)</f>
        <v/>
      </c>
      <c r="U9">
        <f>SUMIFS(AD$19:AD$738,$A$19:$A$738,$A$2,$B$19:$B$738,$B9)</f>
        <v/>
      </c>
      <c r="V9">
        <f>SUMIFS(AE$19:AE$738,$A$19:$A$738,$A$2,$B$19:$B$738,$B9)</f>
        <v/>
      </c>
      <c r="W9">
        <f>SUMIFS(AF$19:AF$738,$A$19:$A$738,$A$2,$B$19:$B$738,$B9)</f>
        <v/>
      </c>
      <c r="X9">
        <f>SUMIFS(AG$19:AG$738,$A$19:$A$738,$A$2,$B$19:$B$738,$B9)</f>
        <v/>
      </c>
      <c r="Y9">
        <f>SUMIFS(AH$19:AH$738,$A$19:$A$738,$A$2,$B$19:$B$738,$B9)</f>
        <v/>
      </c>
      <c r="Z9">
        <f>SUMIFS(AI$19:AI$738,$A$19:$A$738,$A$2,$B$19:$B$738,$B9)</f>
        <v/>
      </c>
      <c r="AA9">
        <f>SUMIFS(AJ$19:AJ$738,$A$19:$A$738,$A$2,$B$19:$B$738,$B9)</f>
        <v/>
      </c>
      <c r="AB9">
        <f>SUMIFS(AK$19:AK$738,$A$19:$A$738,$A$2,$B$19:$B$738,$B9)</f>
        <v/>
      </c>
      <c r="AC9">
        <f>SUMIFS(AL$19:AL$738,$A$19:$A$738,$A$2,$B$19:$B$738,$B9)</f>
        <v/>
      </c>
      <c r="AD9">
        <f>SUMIFS(AM$19:AM$738,$A$19:$A$738,$A$2,$B$19:$B$738,$B9)</f>
        <v/>
      </c>
      <c r="AE9">
        <f>SUMIFS(AN$19:AN$738,$A$19:$A$738,$A$2,$B$19:$B$738,$B9)</f>
        <v/>
      </c>
      <c r="AF9">
        <f>SUMIFS(AO$19:AO$738,$A$19:$A$738,$A$2,$B$19:$B$738,$B9)</f>
        <v/>
      </c>
      <c r="AG9">
        <f>SUMIFS(AP$19:AP$738,$A$19:$A$738,$A$2,$B$19:$B$738,$B9)</f>
        <v/>
      </c>
      <c r="AH9">
        <f>SUMIFS(AQ$19:AQ$738,$A$19:$A$738,$A$2,$B$19:$B$738,$B9)</f>
        <v/>
      </c>
    </row>
    <row r="11" ht="15" customHeight="1" s="82">
      <c r="A11" s="1" t="inlineStr">
        <is>
          <t>Fix Zeros</t>
        </is>
      </c>
      <c r="B11" s="76" t="n"/>
    </row>
    <row r="12" ht="15" customHeight="1" s="82">
      <c r="A12" s="10" t="inlineStr">
        <is>
          <t>solar PV</t>
        </is>
      </c>
      <c r="B12" s="76" t="inlineStr">
        <is>
          <t>Utility PV</t>
        </is>
      </c>
      <c r="C12">
        <f>IF(C7=0,AVERAGEIF($C7:$AH7,"&lt;&gt;0"),C7)</f>
        <v/>
      </c>
      <c r="D12">
        <f>IF(D7=0,AVERAGEIF($C7:$AH7,"&lt;&gt;0"),D7)</f>
        <v/>
      </c>
      <c r="E12">
        <f>IF(E7=0,AVERAGEIF($C7:$AH7,"&lt;&gt;0"),E7)</f>
        <v/>
      </c>
      <c r="F12">
        <f>IF(F7=0,AVERAGEIF($C7:$AH7,"&lt;&gt;0"),F7)</f>
        <v/>
      </c>
      <c r="G12">
        <f>IF(G7=0,AVERAGEIF($C7:$AH7,"&lt;&gt;0"),G7)</f>
        <v/>
      </c>
      <c r="H12">
        <f>IF(H7=0,AVERAGEIF($C7:$AH7,"&lt;&gt;0"),H7)</f>
        <v/>
      </c>
      <c r="I12">
        <f>IF(I7=0,AVERAGEIF($C7:$AH7,"&lt;&gt;0"),I7)</f>
        <v/>
      </c>
      <c r="J12">
        <f>IF(J7=0,AVERAGEIF($C7:$AH7,"&lt;&gt;0"),J7)</f>
        <v/>
      </c>
      <c r="K12">
        <f>IF(K7=0,AVERAGEIF($C7:$AH7,"&lt;&gt;0"),K7)</f>
        <v/>
      </c>
      <c r="L12">
        <f>IF(L7=0,AVERAGEIF($C7:$AH7,"&lt;&gt;0"),L7)</f>
        <v/>
      </c>
      <c r="M12">
        <f>IF(M7=0,AVERAGEIF($C7:$AH7,"&lt;&gt;0"),M7)</f>
        <v/>
      </c>
      <c r="N12">
        <f>IF(N7=0,AVERAGEIF($C7:$AH7,"&lt;&gt;0"),N7)</f>
        <v/>
      </c>
      <c r="O12">
        <f>IF(O7=0,AVERAGEIF($C7:$AH7,"&lt;&gt;0"),O7)</f>
        <v/>
      </c>
      <c r="P12">
        <f>IF(P7=0,AVERAGEIF($C7:$AH7,"&lt;&gt;0"),P7)</f>
        <v/>
      </c>
      <c r="Q12">
        <f>IF(Q7=0,AVERAGEIF($C7:$AH7,"&lt;&gt;0"),Q7)</f>
        <v/>
      </c>
      <c r="R12">
        <f>IF(R7=0,AVERAGEIF($C7:$AH7,"&lt;&gt;0"),R7)</f>
        <v/>
      </c>
      <c r="S12">
        <f>IF(S7=0,AVERAGEIF($C7:$AH7,"&lt;&gt;0"),S7)</f>
        <v/>
      </c>
      <c r="T12">
        <f>IF(T7=0,AVERAGEIF($C7:$AH7,"&lt;&gt;0"),T7)</f>
        <v/>
      </c>
      <c r="U12">
        <f>IF(U7=0,AVERAGEIF($C7:$AH7,"&lt;&gt;0"),U7)</f>
        <v/>
      </c>
      <c r="V12">
        <f>IF(V7=0,AVERAGEIF($C7:$AH7,"&lt;&gt;0"),V7)</f>
        <v/>
      </c>
      <c r="W12">
        <f>IF(W7=0,AVERAGEIF($C7:$AH7,"&lt;&gt;0"),W7)</f>
        <v/>
      </c>
      <c r="X12">
        <f>IF(X7=0,AVERAGEIF($C7:$AH7,"&lt;&gt;0"),X7)</f>
        <v/>
      </c>
      <c r="Y12">
        <f>IF(Y7=0,AVERAGEIF($C7:$AH7,"&lt;&gt;0"),Y7)</f>
        <v/>
      </c>
      <c r="Z12">
        <f>IF(Z7=0,AVERAGEIF($C7:$AH7,"&lt;&gt;0"),Z7)</f>
        <v/>
      </c>
      <c r="AA12">
        <f>IF(AA7=0,AVERAGEIF($C7:$AH7,"&lt;&gt;0"),AA7)</f>
        <v/>
      </c>
      <c r="AB12">
        <f>IF(AB7=0,AVERAGEIF($C7:$AH7,"&lt;&gt;0"),AB7)</f>
        <v/>
      </c>
      <c r="AC12">
        <f>IF(AC7=0,AVERAGEIF($C7:$AH7,"&lt;&gt;0"),AC7)</f>
        <v/>
      </c>
      <c r="AD12">
        <f>IF(AD7=0,AVERAGEIF($C7:$AH7,"&lt;&gt;0"),AD7)</f>
        <v/>
      </c>
      <c r="AE12">
        <f>IF(AE7=0,AVERAGEIF($C7:$AH7,"&lt;&gt;0"),AE7)</f>
        <v/>
      </c>
      <c r="AF12">
        <f>IF(AF7=0,AVERAGEIF($C7:$AH7,"&lt;&gt;0"),AF7)</f>
        <v/>
      </c>
      <c r="AG12">
        <f>IF(AG7=0,AVERAGEIF($C7:$AH7,"&lt;&gt;0"),AG7)</f>
        <v/>
      </c>
      <c r="AH12">
        <f>IF(AH7=0,AVERAGEIF($C7:$AH7,"&lt;&gt;0"),AH7)</f>
        <v/>
      </c>
    </row>
    <row r="13" ht="15" customHeight="1" s="82">
      <c r="A13" s="10" t="inlineStr">
        <is>
          <t>offshore wind</t>
        </is>
      </c>
      <c r="B13" s="76" t="inlineStr">
        <is>
          <t>Wind offshore</t>
        </is>
      </c>
      <c r="C13">
        <f>IF(C8&gt;0,C8,IF(SUM($C8:$AH8)=0,0,AVERAGE($C8:$AH8)))</f>
        <v/>
      </c>
      <c r="D13">
        <f>IF(D8&gt;0,D8,IF(SUM($C8:$AH8)=0,0,AVERAGE($C8:$AH8)))</f>
        <v/>
      </c>
      <c r="E13">
        <f>IF(E8&gt;0,E8,IF(SUM($C8:$AH8)=0,0,AVERAGE($C8:$AH8)))</f>
        <v/>
      </c>
      <c r="F13">
        <f>IF(F8&gt;0,F8,IF(SUM($C8:$AH8)=0,0,AVERAGE($C8:$AH8)))</f>
        <v/>
      </c>
      <c r="G13">
        <f>IF(G8&gt;0,G8,IF(SUM($C8:$AH8)=0,0,AVERAGE($C8:$AH8)))</f>
        <v/>
      </c>
      <c r="H13">
        <f>IF(H8&gt;0,H8,IF(SUM($C8:$AH8)=0,0,AVERAGE($C8:$AH8)))</f>
        <v/>
      </c>
      <c r="I13">
        <f>IF(I8&gt;0,I8,IF(SUM($C8:$AH8)=0,0,AVERAGE($C8:$AH8)))</f>
        <v/>
      </c>
      <c r="J13">
        <f>IF(J8&gt;0,J8,IF(SUM($C8:$AH8)=0,0,AVERAGE($C8:$AH8)))</f>
        <v/>
      </c>
      <c r="K13">
        <f>IF(K8&gt;0,K8,IF(SUM($C8:$AH8)=0,0,AVERAGE($C8:$AH8)))</f>
        <v/>
      </c>
      <c r="L13">
        <f>IF(L8&gt;0,L8,IF(SUM($C8:$AH8)=0,0,AVERAGE($C8:$AH8)))</f>
        <v/>
      </c>
      <c r="M13">
        <f>IF(M8&gt;0,M8,IF(SUM($C8:$AH8)=0,0,AVERAGE($C8:$AH8)))</f>
        <v/>
      </c>
      <c r="N13">
        <f>IF(N8&gt;0,N8,IF(SUM($C8:$AH8)=0,0,AVERAGE($C8:$AH8)))</f>
        <v/>
      </c>
      <c r="O13">
        <f>IF(O8&gt;0,O8,IF(SUM($C8:$AH8)=0,0,AVERAGE($C8:$AH8)))</f>
        <v/>
      </c>
      <c r="P13">
        <f>IF(P8&gt;0,P8,IF(SUM($C8:$AH8)=0,0,AVERAGE($C8:$AH8)))</f>
        <v/>
      </c>
      <c r="Q13">
        <f>IF(Q8&gt;0,Q8,IF(SUM($C8:$AH8)=0,0,AVERAGE($C8:$AH8)))</f>
        <v/>
      </c>
      <c r="R13">
        <f>IF(R8&gt;0,R8,IF(SUM($C8:$AH8)=0,0,AVERAGE($C8:$AH8)))</f>
        <v/>
      </c>
      <c r="S13">
        <f>IF(S8&gt;0,S8,IF(SUM($C8:$AH8)=0,0,AVERAGE($C8:$AH8)))</f>
        <v/>
      </c>
      <c r="T13">
        <f>IF(T8&gt;0,T8,IF(SUM($C8:$AH8)=0,0,AVERAGE($C8:$AH8)))</f>
        <v/>
      </c>
      <c r="U13">
        <f>IF(U8&gt;0,U8,IF(SUM($C8:$AH8)=0,0,AVERAGE($C8:$AH8)))</f>
        <v/>
      </c>
      <c r="V13">
        <f>IF(V8&gt;0,V8,IF(SUM($C8:$AH8)=0,0,AVERAGE($C8:$AH8)))</f>
        <v/>
      </c>
      <c r="W13">
        <f>IF(W8&gt;0,W8,IF(SUM($C8:$AH8)=0,0,AVERAGE($C8:$AH8)))</f>
        <v/>
      </c>
      <c r="X13">
        <f>IF(X8&gt;0,X8,IF(SUM($C8:$AH8)=0,0,AVERAGE($C8:$AH8)))</f>
        <v/>
      </c>
      <c r="Y13">
        <f>IF(Y8&gt;0,Y8,IF(SUM($C8:$AH8)=0,0,AVERAGE($C8:$AH8)))</f>
        <v/>
      </c>
      <c r="Z13">
        <f>IF(Z8&gt;0,Z8,IF(SUM($C8:$AH8)=0,0,AVERAGE($C8:$AH8)))</f>
        <v/>
      </c>
      <c r="AA13">
        <f>IF(AA8&gt;0,AA8,IF(SUM($C8:$AH8)=0,0,AVERAGE($C8:$AH8)))</f>
        <v/>
      </c>
      <c r="AB13">
        <f>IF(AB8&gt;0,AB8,IF(SUM($C8:$AH8)=0,0,AVERAGE($C8:$AH8)))</f>
        <v/>
      </c>
      <c r="AC13">
        <f>IF(AC8&gt;0,AC8,IF(SUM($C8:$AH8)=0,0,AVERAGE($C8:$AH8)))</f>
        <v/>
      </c>
      <c r="AD13">
        <f>IF(AD8&gt;0,AD8,IF(SUM($C8:$AH8)=0,0,AVERAGE($C8:$AH8)))</f>
        <v/>
      </c>
      <c r="AE13">
        <f>IF(AE8&gt;0,AE8,IF(SUM($C8:$AH8)=0,0,AVERAGE($C8:$AH8)))</f>
        <v/>
      </c>
      <c r="AF13">
        <f>IF(AF8&gt;0,AF8,IF(SUM($C8:$AH8)=0,0,AVERAGE($C8:$AH8)))</f>
        <v/>
      </c>
      <c r="AG13">
        <f>IF(AG8&gt;0,AG8,IF(SUM($C8:$AH8)=0,0,AVERAGE($C8:$AH8)))</f>
        <v/>
      </c>
      <c r="AH13">
        <f>IF(AH8&gt;0,AH8,IF(SUM($C8:$AH8)=0,0,AVERAGE($C8:$AH8)))</f>
        <v/>
      </c>
    </row>
    <row r="14" ht="15" customHeight="1" s="82">
      <c r="A14" s="10" t="inlineStr">
        <is>
          <t>onshore wind</t>
        </is>
      </c>
      <c r="B14" s="76" t="inlineStr">
        <is>
          <t>Wind onshore</t>
        </is>
      </c>
      <c r="C14">
        <f>IF(C9=0,AVERAGEIF($C9:$AH9,"&lt;&gt;0"),C9)</f>
        <v/>
      </c>
      <c r="D14">
        <f>IF(D9=0,AVERAGEIF($C9:$AH9,"&lt;&gt;0"),D9)</f>
        <v/>
      </c>
      <c r="E14">
        <f>IF(E9=0,AVERAGEIF($C9:$AH9,"&lt;&gt;0"),E9)</f>
        <v/>
      </c>
      <c r="F14">
        <f>IF(F9=0,AVERAGEIF($C9:$AH9,"&lt;&gt;0"),F9)</f>
        <v/>
      </c>
      <c r="G14">
        <f>IF(G9=0,AVERAGEIF($C9:$AH9,"&lt;&gt;0"),G9)</f>
        <v/>
      </c>
      <c r="H14">
        <f>IF(H9=0,AVERAGEIF($C9:$AH9,"&lt;&gt;0"),H9)</f>
        <v/>
      </c>
      <c r="I14">
        <f>IF(I9=0,AVERAGEIF($C9:$AH9,"&lt;&gt;0"),I9)</f>
        <v/>
      </c>
      <c r="J14">
        <f>IF(J9=0,AVERAGEIF($C9:$AH9,"&lt;&gt;0"),J9)</f>
        <v/>
      </c>
      <c r="K14">
        <f>IF(K9=0,AVERAGEIF($C9:$AH9,"&lt;&gt;0"),K9)</f>
        <v/>
      </c>
      <c r="L14">
        <f>IF(L9=0,AVERAGEIF($C9:$AH9,"&lt;&gt;0"),L9)</f>
        <v/>
      </c>
      <c r="M14">
        <f>IF(M9=0,AVERAGEIF($C9:$AH9,"&lt;&gt;0"),M9)</f>
        <v/>
      </c>
      <c r="N14">
        <f>IF(N9=0,AVERAGEIF($C9:$AH9,"&lt;&gt;0"),N9)</f>
        <v/>
      </c>
      <c r="O14">
        <f>IF(O9=0,AVERAGEIF($C9:$AH9,"&lt;&gt;0"),O9)</f>
        <v/>
      </c>
      <c r="P14">
        <f>IF(P9=0,AVERAGEIF($C9:$AH9,"&lt;&gt;0"),P9)</f>
        <v/>
      </c>
      <c r="Q14">
        <f>IF(Q9=0,AVERAGEIF($C9:$AH9,"&lt;&gt;0"),Q9)</f>
        <v/>
      </c>
      <c r="R14">
        <f>IF(R9=0,AVERAGEIF($C9:$AH9,"&lt;&gt;0"),R9)</f>
        <v/>
      </c>
      <c r="S14">
        <f>IF(S9=0,AVERAGEIF($C9:$AH9,"&lt;&gt;0"),S9)</f>
        <v/>
      </c>
      <c r="T14">
        <f>IF(T9=0,AVERAGEIF($C9:$AH9,"&lt;&gt;0"),T9)</f>
        <v/>
      </c>
      <c r="U14">
        <f>IF(U9=0,AVERAGEIF($C9:$AH9,"&lt;&gt;0"),U9)</f>
        <v/>
      </c>
      <c r="V14">
        <f>IF(V9=0,AVERAGEIF($C9:$AH9,"&lt;&gt;0"),V9)</f>
        <v/>
      </c>
      <c r="W14">
        <f>IF(W9=0,AVERAGEIF($C9:$AH9,"&lt;&gt;0"),W9)</f>
        <v/>
      </c>
      <c r="X14">
        <f>IF(X9=0,AVERAGEIF($C9:$AH9,"&lt;&gt;0"),X9)</f>
        <v/>
      </c>
      <c r="Y14">
        <f>IF(Y9=0,AVERAGEIF($C9:$AH9,"&lt;&gt;0"),Y9)</f>
        <v/>
      </c>
      <c r="Z14">
        <f>IF(Z9=0,AVERAGEIF($C9:$AH9,"&lt;&gt;0"),Z9)</f>
        <v/>
      </c>
      <c r="AA14">
        <f>IF(AA9=0,AVERAGEIF($C9:$AH9,"&lt;&gt;0"),AA9)</f>
        <v/>
      </c>
      <c r="AB14">
        <f>IF(AB9=0,AVERAGEIF($C9:$AH9,"&lt;&gt;0"),AB9)</f>
        <v/>
      </c>
      <c r="AC14">
        <f>IF(AC9=0,AVERAGEIF($C9:$AH9,"&lt;&gt;0"),AC9)</f>
        <v/>
      </c>
      <c r="AD14">
        <f>IF(AD9=0,AVERAGEIF($C9:$AH9,"&lt;&gt;0"),AD9)</f>
        <v/>
      </c>
      <c r="AE14">
        <f>IF(AE9=0,AVERAGEIF($C9:$AH9,"&lt;&gt;0"),AE9)</f>
        <v/>
      </c>
      <c r="AF14">
        <f>IF(AF9=0,AVERAGEIF($C9:$AH9,"&lt;&gt;0"),AF9)</f>
        <v/>
      </c>
      <c r="AG14">
        <f>IF(AG9=0,AVERAGEIF($C9:$AH9,"&lt;&gt;0"),AG9)</f>
        <v/>
      </c>
      <c r="AH14">
        <f>IF(AH9=0,AVERAGEIF($C9:$AH9,"&lt;&gt;0"),AH9)</f>
        <v/>
      </c>
    </row>
    <row r="15" ht="15" customHeight="1" s="82">
      <c r="A15" s="10" t="n"/>
      <c r="B15" s="76" t="n"/>
    </row>
    <row r="16" ht="15" customHeight="1" s="82">
      <c r="A16" s="10" t="n"/>
      <c r="B16" s="58" t="n"/>
    </row>
    <row r="17">
      <c r="A17" s="76" t="n"/>
      <c r="B17" s="76" t="inlineStr">
        <is>
          <t>Average of Capacity factor (MWh/MW)</t>
        </is>
      </c>
      <c r="C17" s="76" t="inlineStr">
        <is>
          <t>Column Labels</t>
        </is>
      </c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  <c r="AF17" s="76" t="n"/>
      <c r="AG17" s="76" t="n"/>
      <c r="AH17" s="76" t="n"/>
      <c r="AI17" s="76" t="n"/>
      <c r="AJ17" s="76" t="n"/>
      <c r="AK17" s="76" t="n"/>
      <c r="AL17" s="76" t="n"/>
      <c r="AM17" s="76" t="n"/>
      <c r="AN17" s="76" t="n"/>
      <c r="AO17" s="76" t="n"/>
      <c r="AP17" s="76" t="n"/>
      <c r="AQ17" s="76" t="n"/>
      <c r="AR17" s="76" t="n"/>
    </row>
    <row r="18">
      <c r="A18" s="76" t="n"/>
      <c r="B18" s="76" t="inlineStr">
        <is>
          <t>Row Labels</t>
        </is>
      </c>
      <c r="C18" s="76" t="n">
        <v>2010</v>
      </c>
      <c r="D18" s="76" t="n">
        <v>2011</v>
      </c>
      <c r="E18" s="76" t="n">
        <v>2012</v>
      </c>
      <c r="F18" s="76" t="n">
        <v>2013</v>
      </c>
      <c r="G18" s="76" t="n">
        <v>2014</v>
      </c>
      <c r="H18" s="76" t="n">
        <v>2015</v>
      </c>
      <c r="I18" s="76" t="n">
        <v>2016</v>
      </c>
      <c r="J18" s="76" t="n">
        <v>2017</v>
      </c>
      <c r="K18" s="76" t="n">
        <v>2018</v>
      </c>
      <c r="L18" s="76" t="n">
        <v>2019</v>
      </c>
      <c r="M18" s="76" t="n">
        <v>2020</v>
      </c>
      <c r="N18" s="76" t="n">
        <v>2021</v>
      </c>
      <c r="O18" s="76" t="n">
        <v>2022</v>
      </c>
      <c r="P18" s="76" t="n">
        <v>2023</v>
      </c>
      <c r="Q18" s="76" t="n">
        <v>2024</v>
      </c>
      <c r="R18" s="76" t="n">
        <v>2025</v>
      </c>
      <c r="S18" s="76" t="n">
        <v>2026</v>
      </c>
      <c r="T18" s="76" t="n">
        <v>2027</v>
      </c>
      <c r="U18" s="76" t="n">
        <v>2028</v>
      </c>
      <c r="V18" s="76" t="n">
        <v>2029</v>
      </c>
      <c r="W18" s="76" t="n">
        <v>2030</v>
      </c>
      <c r="X18" s="76" t="n">
        <v>2031</v>
      </c>
      <c r="Y18" s="76" t="n">
        <v>2032</v>
      </c>
      <c r="Z18" s="76" t="n">
        <v>2033</v>
      </c>
      <c r="AA18" s="76" t="n">
        <v>2034</v>
      </c>
      <c r="AB18" s="76" t="n">
        <v>2035</v>
      </c>
      <c r="AC18" s="76" t="n">
        <v>2036</v>
      </c>
      <c r="AD18" s="76" t="n">
        <v>2037</v>
      </c>
      <c r="AE18" s="76" t="n">
        <v>2038</v>
      </c>
      <c r="AF18" s="76" t="n">
        <v>2039</v>
      </c>
      <c r="AG18" s="76" t="n">
        <v>2040</v>
      </c>
      <c r="AH18" s="76" t="n">
        <v>2041</v>
      </c>
      <c r="AI18" s="76" t="n">
        <v>2042</v>
      </c>
      <c r="AJ18" s="76" t="n">
        <v>2043</v>
      </c>
      <c r="AK18" s="76" t="n">
        <v>2044</v>
      </c>
      <c r="AL18" s="76" t="n">
        <v>2045</v>
      </c>
      <c r="AM18" s="76" t="n">
        <v>2046</v>
      </c>
      <c r="AN18" s="76" t="n">
        <v>2047</v>
      </c>
      <c r="AO18" s="76" t="n">
        <v>2048</v>
      </c>
      <c r="AP18" s="76" t="n">
        <v>2049</v>
      </c>
      <c r="AQ18" s="76" t="n">
        <v>2050</v>
      </c>
      <c r="AR18" s="76" t="inlineStr">
        <is>
          <t>Grand Total</t>
        </is>
      </c>
    </row>
    <row r="19">
      <c r="A19" s="76" t="inlineStr">
        <is>
          <t>AL</t>
        </is>
      </c>
      <c r="B19" s="76" t="inlineStr">
        <is>
          <t>AL</t>
        </is>
      </c>
      <c r="C19" s="76" t="n">
        <v>0.3844285714285714</v>
      </c>
      <c r="D19" s="76" t="n">
        <v>0.401</v>
      </c>
      <c r="E19" s="76" t="n">
        <v>0.4174285714285714</v>
      </c>
      <c r="F19" s="76" t="n">
        <v>0.374625</v>
      </c>
      <c r="G19" s="76" t="n">
        <v>0.363125</v>
      </c>
      <c r="H19" s="76" t="n">
        <v>0.3759411764705883</v>
      </c>
      <c r="I19" s="76" t="n">
        <v>0.3933529411764706</v>
      </c>
      <c r="J19" s="76" t="n">
        <v>0.3569473684210527</v>
      </c>
      <c r="K19" s="76" t="n">
        <v>0.3493684210526316</v>
      </c>
      <c r="L19" s="76" t="n">
        <v>0.3527368421052632</v>
      </c>
      <c r="M19" s="76" t="n">
        <v>0.356</v>
      </c>
      <c r="N19" s="76" t="n">
        <v>0.3529473684210526</v>
      </c>
      <c r="O19" s="76" t="n">
        <v>0.3497894736842106</v>
      </c>
      <c r="P19" s="76" t="n">
        <v>0.3373684210526316</v>
      </c>
      <c r="Q19" s="76" t="n">
        <v>0.3243684210526316</v>
      </c>
      <c r="R19" s="76" t="n">
        <v>0.3224210526315789</v>
      </c>
      <c r="S19" s="76" t="n">
        <v>0.3206315789473684</v>
      </c>
      <c r="T19" s="76" t="n">
        <v>0.3109</v>
      </c>
      <c r="U19" s="76" t="n">
        <v>0.3005</v>
      </c>
      <c r="V19" s="76" t="n">
        <v>0.2891904761904763</v>
      </c>
      <c r="W19" s="76" t="n">
        <v>0.264</v>
      </c>
      <c r="X19" s="76" t="n">
        <v>0.2585238095238095</v>
      </c>
      <c r="Y19" s="76" t="n">
        <v>0.2512857142857143</v>
      </c>
      <c r="Z19" s="76" t="n">
        <v>0.2444285714285714</v>
      </c>
      <c r="AA19" s="76" t="n">
        <v>0.2390952380952381</v>
      </c>
      <c r="AB19" s="76" t="n">
        <v>0.2317894736842106</v>
      </c>
      <c r="AC19" s="76" t="n">
        <v>0.2308947368421053</v>
      </c>
      <c r="AD19" s="76" t="n">
        <v>0.2301578947368421</v>
      </c>
      <c r="AE19" s="76" t="n">
        <v>0.2295263157894737</v>
      </c>
      <c r="AF19" s="76" t="n">
        <v>0.2288421052631579</v>
      </c>
      <c r="AG19" s="76" t="n">
        <v>0.2282631578947368</v>
      </c>
      <c r="AH19" s="76" t="n">
        <v>0.2292631578947368</v>
      </c>
      <c r="AI19" s="76" t="n">
        <v>0.2302631578947368</v>
      </c>
      <c r="AJ19" s="76" t="n">
        <v>0.2312105263157894</v>
      </c>
      <c r="AK19" s="76" t="n">
        <v>0.2322105263157895</v>
      </c>
      <c r="AL19" s="76" t="n">
        <v>0.2331052631578948</v>
      </c>
      <c r="AM19" s="76" t="n">
        <v>0.24065</v>
      </c>
      <c r="AN19" s="76" t="n">
        <v>0.24035</v>
      </c>
      <c r="AO19" s="76" t="n">
        <v>0.2402</v>
      </c>
      <c r="AP19" s="76" t="n">
        <v>0.2398</v>
      </c>
      <c r="AQ19" s="76" t="n">
        <v>0.2661666666666667</v>
      </c>
      <c r="AR19" s="76" t="n">
        <v>0.2901012987012987</v>
      </c>
    </row>
    <row r="20">
      <c r="A20" s="76" t="inlineStr">
        <is>
          <t>AL</t>
        </is>
      </c>
      <c r="B20" s="76" t="inlineStr">
        <is>
          <t>Battery</t>
        </is>
      </c>
      <c r="C20" s="76" t="n"/>
      <c r="D20" s="76" t="n"/>
      <c r="E20" s="76" t="n"/>
      <c r="F20" s="76" t="n"/>
      <c r="G20" s="76" t="n"/>
      <c r="H20" s="76" t="n"/>
      <c r="I20" s="76" t="n"/>
      <c r="J20" s="76" t="n">
        <v>-0.001</v>
      </c>
      <c r="K20" s="76" t="n">
        <v>-0.001</v>
      </c>
      <c r="L20" s="76" t="n">
        <v>0</v>
      </c>
      <c r="M20" s="76" t="n">
        <v>0</v>
      </c>
      <c r="N20" s="76" t="n">
        <v>0</v>
      </c>
      <c r="O20" s="76" t="n">
        <v>0</v>
      </c>
      <c r="P20" s="76" t="n">
        <v>0</v>
      </c>
      <c r="Q20" s="76" t="n">
        <v>0</v>
      </c>
      <c r="R20" s="76" t="n">
        <v>-0.01</v>
      </c>
      <c r="S20" s="76" t="n">
        <v>-0.02</v>
      </c>
      <c r="T20" s="76" t="n">
        <v>-0.033</v>
      </c>
      <c r="U20" s="76" t="n">
        <v>-0.046</v>
      </c>
      <c r="V20" s="76" t="n">
        <v>-0.048</v>
      </c>
      <c r="W20" s="76" t="n">
        <v>-0.0495</v>
      </c>
      <c r="X20" s="76" t="n">
        <v>-0.0465</v>
      </c>
      <c r="Y20" s="76" t="n">
        <v>-0.0465</v>
      </c>
      <c r="Z20" s="76" t="n">
        <v>-0.054</v>
      </c>
      <c r="AA20" s="76" t="n">
        <v>-0.05599999999999999</v>
      </c>
      <c r="AB20" s="76" t="n">
        <v>-0.057</v>
      </c>
      <c r="AC20" s="76" t="n">
        <v>-0.0595</v>
      </c>
      <c r="AD20" s="76" t="n">
        <v>-0.061</v>
      </c>
      <c r="AE20" s="76" t="n">
        <v>-0.0625</v>
      </c>
      <c r="AF20" s="76" t="n">
        <v>-0.064</v>
      </c>
      <c r="AG20" s="76" t="n">
        <v>-0.065</v>
      </c>
      <c r="AH20" s="76" t="n">
        <v>-0.0635</v>
      </c>
      <c r="AI20" s="76" t="n">
        <v>-0.062</v>
      </c>
      <c r="AJ20" s="76" t="n">
        <v>-0.061</v>
      </c>
      <c r="AK20" s="76" t="n">
        <v>-0.0595</v>
      </c>
      <c r="AL20" s="76" t="n">
        <v>-0.0585</v>
      </c>
      <c r="AM20" s="76" t="n">
        <v>-0.05599999999999999</v>
      </c>
      <c r="AN20" s="76" t="n">
        <v>-0.05400000000000001</v>
      </c>
      <c r="AO20" s="76" t="n">
        <v>-0.052</v>
      </c>
      <c r="AP20" s="76" t="n">
        <v>-0.0505</v>
      </c>
      <c r="AQ20" s="76" t="n">
        <v>-0.049</v>
      </c>
      <c r="AR20" s="76" t="n">
        <v>-0.04610714285714285</v>
      </c>
    </row>
    <row r="21">
      <c r="A21" s="76" t="inlineStr">
        <is>
          <t>AL</t>
        </is>
      </c>
      <c r="B21" s="76" t="inlineStr">
        <is>
          <t>Biopower</t>
        </is>
      </c>
      <c r="C21" s="76" t="n">
        <v>0.261</v>
      </c>
      <c r="D21" s="76" t="n">
        <v>0.261</v>
      </c>
      <c r="E21" s="76" t="n">
        <v>0.261</v>
      </c>
      <c r="F21" s="76" t="n">
        <v>0.261</v>
      </c>
      <c r="G21" s="76" t="n">
        <v>0.261</v>
      </c>
      <c r="H21" s="76" t="n">
        <v>0.261</v>
      </c>
      <c r="I21" s="76" t="n">
        <v>0.261</v>
      </c>
      <c r="J21" s="76" t="n">
        <v>0.261</v>
      </c>
      <c r="K21" s="76" t="n">
        <v>0.261</v>
      </c>
      <c r="L21" s="76" t="n">
        <v>0.261</v>
      </c>
      <c r="M21" s="76" t="n">
        <v>0.261</v>
      </c>
      <c r="N21" s="76" t="n">
        <v>0.261</v>
      </c>
      <c r="O21" s="76" t="n">
        <v>0.261</v>
      </c>
      <c r="P21" s="76" t="n">
        <v>0.261</v>
      </c>
      <c r="Q21" s="76" t="n">
        <v>0.261</v>
      </c>
      <c r="R21" s="76" t="n">
        <v>0.261</v>
      </c>
      <c r="S21" s="76" t="n">
        <v>0.261</v>
      </c>
      <c r="T21" s="76" t="n">
        <v>0.261</v>
      </c>
      <c r="U21" s="76" t="n">
        <v>0.261</v>
      </c>
      <c r="V21" s="76" t="n">
        <v>0.261</v>
      </c>
      <c r="W21" s="76" t="n">
        <v>0.261</v>
      </c>
      <c r="X21" s="76" t="n">
        <v>0.261</v>
      </c>
      <c r="Y21" s="76" t="n">
        <v>0.261</v>
      </c>
      <c r="Z21" s="76" t="n">
        <v>0.261</v>
      </c>
      <c r="AA21" s="76" t="n">
        <v>0.261</v>
      </c>
      <c r="AB21" s="76" t="n">
        <v>0.522</v>
      </c>
      <c r="AC21" s="76" t="n">
        <v>0.522</v>
      </c>
      <c r="AD21" s="76" t="n">
        <v>0.522</v>
      </c>
      <c r="AE21" s="76" t="n">
        <v>0.522</v>
      </c>
      <c r="AF21" s="76" t="n">
        <v>0.522</v>
      </c>
      <c r="AG21" s="76" t="n">
        <v>0.522</v>
      </c>
      <c r="AH21" s="76" t="n">
        <v>0.522</v>
      </c>
      <c r="AI21" s="76" t="n">
        <v>0.522</v>
      </c>
      <c r="AJ21" s="76" t="n">
        <v>0.522</v>
      </c>
      <c r="AK21" s="76" t="n">
        <v>0.522</v>
      </c>
      <c r="AL21" s="76" t="n">
        <v>0.522</v>
      </c>
      <c r="AM21" s="76" t="n">
        <v>0.522</v>
      </c>
      <c r="AN21" s="76" t="n">
        <v>0.522</v>
      </c>
      <c r="AO21" s="76" t="n">
        <v>0.522</v>
      </c>
      <c r="AP21" s="76" t="n">
        <v>0.522</v>
      </c>
      <c r="AQ21" s="76" t="n">
        <v>0.522</v>
      </c>
      <c r="AR21" s="76" t="n">
        <v>0.3242727272727271</v>
      </c>
    </row>
    <row r="22">
      <c r="A22" s="76" t="inlineStr">
        <is>
          <t>AL</t>
        </is>
      </c>
      <c r="B22" s="76" t="inlineStr">
        <is>
          <t>Coal</t>
        </is>
      </c>
      <c r="C22" s="76" t="n">
        <v>0.8100000000000001</v>
      </c>
      <c r="D22" s="76" t="n">
        <v>0.6910000000000001</v>
      </c>
      <c r="E22" s="76" t="n">
        <v>0.5720000000000001</v>
      </c>
      <c r="F22" s="76" t="n">
        <v>0.6965</v>
      </c>
      <c r="G22" s="76" t="n">
        <v>0.8305</v>
      </c>
      <c r="H22" s="76" t="n">
        <v>0.7435</v>
      </c>
      <c r="I22" s="76" t="n">
        <v>0.631</v>
      </c>
      <c r="J22" s="76" t="n">
        <v>0.6715</v>
      </c>
      <c r="K22" s="76" t="n">
        <v>0.712</v>
      </c>
      <c r="L22" s="76" t="n">
        <v>0.658</v>
      </c>
      <c r="M22" s="76" t="n">
        <v>0.604</v>
      </c>
      <c r="N22" s="76" t="n">
        <v>0.6175</v>
      </c>
      <c r="O22" s="76" t="n">
        <v>0.631</v>
      </c>
      <c r="P22" s="76" t="n">
        <v>0.6224999999999999</v>
      </c>
      <c r="Q22" s="76" t="n">
        <v>0.614</v>
      </c>
      <c r="R22" s="76" t="n">
        <v>0.713</v>
      </c>
      <c r="S22" s="76" t="n">
        <v>0.8115</v>
      </c>
      <c r="T22" s="76" t="n">
        <v>0.788</v>
      </c>
      <c r="U22" s="76" t="n">
        <v>0.764</v>
      </c>
      <c r="V22" s="76" t="n">
        <v>0.7565</v>
      </c>
      <c r="W22" s="76" t="n">
        <v>0.652</v>
      </c>
      <c r="X22" s="76" t="n">
        <v>0.589</v>
      </c>
      <c r="Y22" s="76" t="n">
        <v>0.509</v>
      </c>
      <c r="Z22" s="76" t="n">
        <v>0.509</v>
      </c>
      <c r="AA22" s="76" t="n">
        <v>0.509</v>
      </c>
      <c r="AB22" s="76" t="n"/>
      <c r="AC22" s="76" t="n"/>
      <c r="AD22" s="76" t="n"/>
      <c r="AE22" s="76" t="n"/>
      <c r="AF22" s="76" t="n"/>
      <c r="AG22" s="76" t="n"/>
      <c r="AH22" s="76" t="n"/>
      <c r="AI22" s="76" t="n"/>
      <c r="AJ22" s="76" t="n"/>
      <c r="AK22" s="76" t="n"/>
      <c r="AL22" s="76" t="n"/>
      <c r="AM22" s="76" t="n"/>
      <c r="AN22" s="76" t="n"/>
      <c r="AO22" s="76" t="n"/>
      <c r="AP22" s="76" t="n"/>
      <c r="AQ22" s="76" t="n"/>
      <c r="AR22" s="76" t="n">
        <v>0.6809777777777778</v>
      </c>
    </row>
    <row r="23">
      <c r="A23" s="76" t="inlineStr">
        <is>
          <t>AL</t>
        </is>
      </c>
      <c r="B23" s="76" t="inlineStr">
        <is>
          <t>CSP</t>
        </is>
      </c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  <c r="AA23" s="76" t="n"/>
      <c r="AB23" s="76" t="n"/>
      <c r="AC23" s="76" t="n"/>
      <c r="AD23" s="76" t="n"/>
      <c r="AE23" s="76" t="n"/>
      <c r="AF23" s="76" t="n"/>
      <c r="AG23" s="76" t="n"/>
      <c r="AH23" s="76" t="n"/>
      <c r="AI23" s="76" t="n"/>
      <c r="AJ23" s="76" t="n"/>
      <c r="AK23" s="76" t="n"/>
      <c r="AL23" s="76" t="n"/>
      <c r="AM23" s="76" t="n"/>
      <c r="AN23" s="76" t="n"/>
      <c r="AO23" s="76" t="n"/>
      <c r="AP23" s="76" t="n"/>
      <c r="AQ23" s="76" t="n"/>
      <c r="AR23" s="76" t="n"/>
    </row>
    <row r="24">
      <c r="A24" s="76" t="inlineStr">
        <is>
          <t>AL</t>
        </is>
      </c>
      <c r="B24" s="76" t="inlineStr">
        <is>
          <t>Dist PV</t>
        </is>
      </c>
      <c r="C24" s="76" t="n"/>
      <c r="D24" s="76" t="n"/>
      <c r="E24" s="76" t="n"/>
      <c r="F24" s="76" t="n">
        <v>0.175</v>
      </c>
      <c r="G24" s="76" t="n">
        <v>0.175</v>
      </c>
      <c r="H24" s="76" t="n">
        <v>0.175</v>
      </c>
      <c r="I24" s="76" t="n">
        <v>0.175</v>
      </c>
      <c r="J24" s="76" t="n">
        <v>0.175</v>
      </c>
      <c r="K24" s="76" t="n">
        <v>0.175</v>
      </c>
      <c r="L24" s="76" t="n">
        <v>0.175</v>
      </c>
      <c r="M24" s="76" t="n">
        <v>0.175</v>
      </c>
      <c r="N24" s="76" t="n">
        <v>0.175</v>
      </c>
      <c r="O24" s="76" t="n">
        <v>0.175</v>
      </c>
      <c r="P24" s="76" t="n">
        <v>0.175</v>
      </c>
      <c r="Q24" s="76" t="n">
        <v>0.175</v>
      </c>
      <c r="R24" s="76" t="n">
        <v>0.175</v>
      </c>
      <c r="S24" s="76" t="n">
        <v>0.175</v>
      </c>
      <c r="T24" s="76" t="n">
        <v>0.1385</v>
      </c>
      <c r="U24" s="76" t="n">
        <v>0.119</v>
      </c>
      <c r="V24" s="76" t="n">
        <v>0.1565</v>
      </c>
      <c r="W24" s="76" t="n">
        <v>0.175</v>
      </c>
      <c r="X24" s="76" t="n">
        <v>0.172</v>
      </c>
      <c r="Y24" s="76" t="n">
        <v>0.17</v>
      </c>
      <c r="Z24" s="76" t="n">
        <v>0.172</v>
      </c>
      <c r="AA24" s="76" t="n">
        <v>0.174</v>
      </c>
      <c r="AB24" s="76" t="n">
        <v>0.175</v>
      </c>
      <c r="AC24" s="76" t="n">
        <v>0.175</v>
      </c>
      <c r="AD24" s="76" t="n">
        <v>0.175</v>
      </c>
      <c r="AE24" s="76" t="n">
        <v>0.175</v>
      </c>
      <c r="AF24" s="76" t="n">
        <v>0.175</v>
      </c>
      <c r="AG24" s="76" t="n">
        <v>0.175</v>
      </c>
      <c r="AH24" s="76" t="n">
        <v>0.1745</v>
      </c>
      <c r="AI24" s="76" t="n">
        <v>0.174</v>
      </c>
      <c r="AJ24" s="76" t="n">
        <v>0.1735</v>
      </c>
      <c r="AK24" s="76" t="n">
        <v>0.173</v>
      </c>
      <c r="AL24" s="76" t="n">
        <v>0.1725</v>
      </c>
      <c r="AM24" s="76" t="n">
        <v>0.1715</v>
      </c>
      <c r="AN24" s="76" t="n">
        <v>0.1705</v>
      </c>
      <c r="AO24" s="76" t="n">
        <v>0.17</v>
      </c>
      <c r="AP24" s="76" t="n">
        <v>0.169</v>
      </c>
      <c r="AQ24" s="76" t="n">
        <v>0.1685</v>
      </c>
      <c r="AR24" s="76" t="n">
        <v>0.1708947368421054</v>
      </c>
    </row>
    <row r="25">
      <c r="A25" s="76" t="inlineStr">
        <is>
          <t>AL</t>
        </is>
      </c>
      <c r="B25" s="76" t="inlineStr">
        <is>
          <t>Gas CCGT</t>
        </is>
      </c>
      <c r="C25" s="76" t="n">
        <v>0.368</v>
      </c>
      <c r="D25" s="76" t="n">
        <v>0.6345000000000001</v>
      </c>
      <c r="E25" s="76" t="n">
        <v>0.901</v>
      </c>
      <c r="F25" s="76" t="n">
        <v>0.632</v>
      </c>
      <c r="G25" s="76" t="n">
        <v>0.362</v>
      </c>
      <c r="H25" s="76" t="n">
        <v>0.6315</v>
      </c>
      <c r="I25" s="76" t="n">
        <v>0.9005000000000001</v>
      </c>
      <c r="J25" s="76" t="n">
        <v>0.8205</v>
      </c>
      <c r="K25" s="76" t="n">
        <v>0.7404999999999999</v>
      </c>
      <c r="L25" s="76" t="n">
        <v>0.8195</v>
      </c>
      <c r="M25" s="76" t="n">
        <v>0.8985000000000001</v>
      </c>
      <c r="N25" s="76" t="n">
        <v>0.8665</v>
      </c>
      <c r="O25" s="76" t="n">
        <v>0.8340000000000001</v>
      </c>
      <c r="P25" s="76" t="n">
        <v>0.7195</v>
      </c>
      <c r="Q25" s="76" t="n">
        <v>0.605</v>
      </c>
      <c r="R25" s="76" t="n">
        <v>0.497</v>
      </c>
      <c r="S25" s="76" t="n">
        <v>0.3885</v>
      </c>
      <c r="T25" s="76" t="n">
        <v>0.334</v>
      </c>
      <c r="U25" s="76" t="n">
        <v>0.2795</v>
      </c>
      <c r="V25" s="76" t="n">
        <v>0.3005</v>
      </c>
      <c r="W25" s="76" t="n">
        <v>0.3205</v>
      </c>
      <c r="X25" s="76" t="n">
        <v>0.297</v>
      </c>
      <c r="Y25" s="76" t="n">
        <v>0.273</v>
      </c>
      <c r="Z25" s="76" t="n">
        <v>0.223</v>
      </c>
      <c r="AA25" s="76" t="n">
        <v>0.1735</v>
      </c>
      <c r="AB25" s="76" t="n">
        <v>0.124</v>
      </c>
      <c r="AC25" s="76" t="n">
        <v>0.1225</v>
      </c>
      <c r="AD25" s="76" t="n">
        <v>0.121</v>
      </c>
      <c r="AE25" s="76" t="n">
        <v>0.12</v>
      </c>
      <c r="AF25" s="76" t="n">
        <v>0.119</v>
      </c>
      <c r="AG25" s="76" t="n">
        <v>0.1175</v>
      </c>
      <c r="AH25" s="76" t="n">
        <v>0.123</v>
      </c>
      <c r="AI25" s="76" t="n">
        <v>0.1285</v>
      </c>
      <c r="AJ25" s="76" t="n">
        <v>0.1335</v>
      </c>
      <c r="AK25" s="76" t="n">
        <v>0.139</v>
      </c>
      <c r="AL25" s="76" t="n">
        <v>0.144</v>
      </c>
      <c r="AM25" s="76" t="n">
        <v>0.14</v>
      </c>
      <c r="AN25" s="76" t="n">
        <v>0.1365</v>
      </c>
      <c r="AO25" s="76" t="n">
        <v>0.1325</v>
      </c>
      <c r="AP25" s="76" t="n">
        <v>0.1285</v>
      </c>
      <c r="AQ25" s="76" t="n">
        <v>0.1245</v>
      </c>
      <c r="AR25" s="76" t="n">
        <v>0.387170731707317</v>
      </c>
    </row>
    <row r="26">
      <c r="A26" s="76" t="inlineStr">
        <is>
          <t>AL</t>
        </is>
      </c>
      <c r="B26" s="76" t="inlineStr">
        <is>
          <t>Gas CT</t>
        </is>
      </c>
      <c r="C26" s="76" t="n">
        <v>0.0035</v>
      </c>
      <c r="D26" s="76" t="n">
        <v>0.0105</v>
      </c>
      <c r="E26" s="76" t="n">
        <v>0.017</v>
      </c>
      <c r="F26" s="76" t="n">
        <v>0.012</v>
      </c>
      <c r="G26" s="76" t="n">
        <v>0.006500000000000001</v>
      </c>
      <c r="H26" s="76" t="n">
        <v>0.011</v>
      </c>
      <c r="I26" s="76" t="n">
        <v>0.015</v>
      </c>
      <c r="J26" s="76" t="n">
        <v>0.012</v>
      </c>
      <c r="K26" s="76" t="n">
        <v>0.0095</v>
      </c>
      <c r="L26" s="76" t="n">
        <v>0.0075</v>
      </c>
      <c r="M26" s="76" t="n">
        <v>0.0055</v>
      </c>
      <c r="N26" s="76" t="n">
        <v>0.005</v>
      </c>
      <c r="O26" s="76" t="n">
        <v>0.004</v>
      </c>
      <c r="P26" s="76" t="n">
        <v>0.003</v>
      </c>
      <c r="Q26" s="76" t="n">
        <v>0.002</v>
      </c>
      <c r="R26" s="76" t="n">
        <v>0.0025</v>
      </c>
      <c r="S26" s="76" t="n">
        <v>0.003</v>
      </c>
      <c r="T26" s="76" t="n">
        <v>0.004</v>
      </c>
      <c r="U26" s="76" t="n">
        <v>0.0055</v>
      </c>
      <c r="V26" s="76" t="n">
        <v>0.0055</v>
      </c>
      <c r="W26" s="76" t="n">
        <v>0.0055</v>
      </c>
      <c r="X26" s="76" t="n">
        <v>0.0025</v>
      </c>
      <c r="Y26" s="76" t="n">
        <v>0</v>
      </c>
      <c r="Z26" s="76" t="n">
        <v>0</v>
      </c>
      <c r="AA26" s="76" t="n">
        <v>0</v>
      </c>
      <c r="AB26" s="76" t="n">
        <v>0</v>
      </c>
      <c r="AC26" s="76" t="n">
        <v>0</v>
      </c>
      <c r="AD26" s="76" t="n">
        <v>0</v>
      </c>
      <c r="AE26" s="76" t="n">
        <v>0</v>
      </c>
      <c r="AF26" s="76" t="n">
        <v>0</v>
      </c>
      <c r="AG26" s="76" t="n">
        <v>0</v>
      </c>
      <c r="AH26" s="76" t="n">
        <v>0</v>
      </c>
      <c r="AI26" s="76" t="n">
        <v>0</v>
      </c>
      <c r="AJ26" s="76" t="n">
        <v>0</v>
      </c>
      <c r="AK26" s="76" t="n">
        <v>0</v>
      </c>
      <c r="AL26" s="76" t="n">
        <v>0</v>
      </c>
      <c r="AM26" s="76" t="n">
        <v>0</v>
      </c>
      <c r="AN26" s="76" t="n">
        <v>0</v>
      </c>
      <c r="AO26" s="76" t="n">
        <v>0</v>
      </c>
      <c r="AP26" s="76" t="n">
        <v>0</v>
      </c>
      <c r="AQ26" s="76" t="n">
        <v>0</v>
      </c>
      <c r="AR26" s="76" t="n">
        <v>0.003765432098765433</v>
      </c>
    </row>
    <row r="27">
      <c r="A27" s="76" t="inlineStr">
        <is>
          <t>AL</t>
        </is>
      </c>
      <c r="B27" s="76" t="inlineStr">
        <is>
          <t>Geothermal</t>
        </is>
      </c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76" t="n"/>
      <c r="AR27" s="76" t="n"/>
    </row>
    <row r="28">
      <c r="A28" s="76" t="inlineStr">
        <is>
          <t>AL</t>
        </is>
      </c>
      <c r="B28" s="76" t="inlineStr">
        <is>
          <t>Hydro</t>
        </is>
      </c>
      <c r="C28" s="76" t="n">
        <v>0.3465</v>
      </c>
      <c r="D28" s="76" t="n">
        <v>0.308</v>
      </c>
      <c r="E28" s="76" t="n">
        <v>0.269</v>
      </c>
      <c r="F28" s="76" t="n">
        <v>0.3185</v>
      </c>
      <c r="G28" s="76" t="n">
        <v>0.368</v>
      </c>
      <c r="H28" s="76" t="n">
        <v>0.326</v>
      </c>
      <c r="I28" s="76" t="n">
        <v>0.284</v>
      </c>
      <c r="J28" s="76" t="n">
        <v>0.284</v>
      </c>
      <c r="K28" s="76" t="n">
        <v>0.284</v>
      </c>
      <c r="L28" s="76" t="n">
        <v>0.2845</v>
      </c>
      <c r="M28" s="76" t="n">
        <v>0.2845</v>
      </c>
      <c r="N28" s="76" t="n">
        <v>0.2845</v>
      </c>
      <c r="O28" s="76" t="n">
        <v>0.2845</v>
      </c>
      <c r="P28" s="76" t="n">
        <v>0.2845</v>
      </c>
      <c r="Q28" s="76" t="n">
        <v>0.2845</v>
      </c>
      <c r="R28" s="76" t="n">
        <v>0.2845</v>
      </c>
      <c r="S28" s="76" t="n">
        <v>0.2845</v>
      </c>
      <c r="T28" s="76" t="n">
        <v>0.2845</v>
      </c>
      <c r="U28" s="76" t="n">
        <v>0.2845</v>
      </c>
      <c r="V28" s="76" t="n">
        <v>0.2845</v>
      </c>
      <c r="W28" s="76" t="n">
        <v>0.2845</v>
      </c>
      <c r="X28" s="76" t="n">
        <v>0.285</v>
      </c>
      <c r="Y28" s="76" t="n">
        <v>0.285</v>
      </c>
      <c r="Z28" s="76" t="n">
        <v>0.285</v>
      </c>
      <c r="AA28" s="76" t="n">
        <v>0.285</v>
      </c>
      <c r="AB28" s="76" t="n">
        <v>0.285</v>
      </c>
      <c r="AC28" s="76" t="n">
        <v>0.285</v>
      </c>
      <c r="AD28" s="76" t="n">
        <v>0.285</v>
      </c>
      <c r="AE28" s="76" t="n">
        <v>0.285</v>
      </c>
      <c r="AF28" s="76" t="n">
        <v>0.285</v>
      </c>
      <c r="AG28" s="76" t="n">
        <v>0.285</v>
      </c>
      <c r="AH28" s="76" t="n">
        <v>0.285</v>
      </c>
      <c r="AI28" s="76" t="n">
        <v>0.285</v>
      </c>
      <c r="AJ28" s="76" t="n">
        <v>0.285</v>
      </c>
      <c r="AK28" s="76" t="n">
        <v>0.285</v>
      </c>
      <c r="AL28" s="76" t="n">
        <v>0.285</v>
      </c>
      <c r="AM28" s="76" t="n">
        <v>0.285</v>
      </c>
      <c r="AN28" s="76" t="n">
        <v>0.285</v>
      </c>
      <c r="AO28" s="76" t="n">
        <v>0.285</v>
      </c>
      <c r="AP28" s="76" t="n">
        <v>0.285</v>
      </c>
      <c r="AQ28" s="76" t="n">
        <v>0.285</v>
      </c>
      <c r="AR28" s="76" t="n">
        <v>0.2902926829268292</v>
      </c>
    </row>
    <row r="29">
      <c r="A29" s="76" t="inlineStr">
        <is>
          <t>AL</t>
        </is>
      </c>
      <c r="B29" s="76" t="inlineStr">
        <is>
          <t>Nuclear</t>
        </is>
      </c>
      <c r="C29" s="76" t="n">
        <v>0.902</v>
      </c>
      <c r="D29" s="76" t="n">
        <v>0.902</v>
      </c>
      <c r="E29" s="76" t="n">
        <v>0.902</v>
      </c>
      <c r="F29" s="76" t="n">
        <v>0.902</v>
      </c>
      <c r="G29" s="76" t="n">
        <v>0.902</v>
      </c>
      <c r="H29" s="76" t="n">
        <v>0.902</v>
      </c>
      <c r="I29" s="76" t="n">
        <v>0.902</v>
      </c>
      <c r="J29" s="76" t="n">
        <v>0.902</v>
      </c>
      <c r="K29" s="76" t="n">
        <v>0.902</v>
      </c>
      <c r="L29" s="76" t="n">
        <v>0.902</v>
      </c>
      <c r="M29" s="76" t="n">
        <v>0.902</v>
      </c>
      <c r="N29" s="76" t="n">
        <v>0.902</v>
      </c>
      <c r="O29" s="76" t="n">
        <v>0.902</v>
      </c>
      <c r="P29" s="76" t="n">
        <v>0.902</v>
      </c>
      <c r="Q29" s="76" t="n">
        <v>0.902</v>
      </c>
      <c r="R29" s="76" t="n">
        <v>0.902</v>
      </c>
      <c r="S29" s="76" t="n">
        <v>0.902</v>
      </c>
      <c r="T29" s="76" t="n">
        <v>0.902</v>
      </c>
      <c r="U29" s="76" t="n">
        <v>0.902</v>
      </c>
      <c r="V29" s="76" t="n">
        <v>0.902</v>
      </c>
      <c r="W29" s="76" t="n">
        <v>0.902</v>
      </c>
      <c r="X29" s="76" t="n">
        <v>0.902</v>
      </c>
      <c r="Y29" s="76" t="n">
        <v>0.902</v>
      </c>
      <c r="Z29" s="76" t="n">
        <v>0.902</v>
      </c>
      <c r="AA29" s="76" t="n">
        <v>0.902</v>
      </c>
      <c r="AB29" s="76" t="n">
        <v>0.902</v>
      </c>
      <c r="AC29" s="76" t="n">
        <v>0.902</v>
      </c>
      <c r="AD29" s="76" t="n">
        <v>0.902</v>
      </c>
      <c r="AE29" s="76" t="n">
        <v>0.902</v>
      </c>
      <c r="AF29" s="76" t="n">
        <v>0.902</v>
      </c>
      <c r="AG29" s="76" t="n">
        <v>0.902</v>
      </c>
      <c r="AH29" s="76" t="n">
        <v>0.902</v>
      </c>
      <c r="AI29" s="76" t="n">
        <v>0.902</v>
      </c>
      <c r="AJ29" s="76" t="n">
        <v>0.902</v>
      </c>
      <c r="AK29" s="76" t="n">
        <v>0.902</v>
      </c>
      <c r="AL29" s="76" t="n">
        <v>0.902</v>
      </c>
      <c r="AM29" s="76" t="n">
        <v>0.8995</v>
      </c>
      <c r="AN29" s="76" t="n">
        <v>0.8965000000000001</v>
      </c>
      <c r="AO29" s="76" t="n">
        <v>0.894</v>
      </c>
      <c r="AP29" s="76" t="n">
        <v>0.891</v>
      </c>
      <c r="AQ29" s="76" t="n">
        <v>0.8885000000000001</v>
      </c>
      <c r="AR29" s="76" t="n">
        <v>0.9010121951219519</v>
      </c>
    </row>
    <row r="30">
      <c r="A30" s="76" t="inlineStr">
        <is>
          <t>AL</t>
        </is>
      </c>
      <c r="B30" s="76" t="inlineStr">
        <is>
          <t>Other</t>
        </is>
      </c>
      <c r="C30" s="76" t="n">
        <v>0</v>
      </c>
      <c r="D30" s="76" t="n">
        <v>0</v>
      </c>
      <c r="E30" s="76" t="n">
        <v>0</v>
      </c>
      <c r="F30" s="76" t="n">
        <v>0</v>
      </c>
      <c r="G30" s="76" t="n">
        <v>0</v>
      </c>
      <c r="H30" s="76" t="n">
        <v>0.0295</v>
      </c>
      <c r="I30" s="76" t="n">
        <v>0.059</v>
      </c>
      <c r="J30" s="76" t="n">
        <v>0.0295</v>
      </c>
      <c r="K30" s="76" t="n">
        <v>0</v>
      </c>
      <c r="L30" s="76" t="n">
        <v>0.008999999999999999</v>
      </c>
      <c r="M30" s="76" t="n">
        <v>0.018</v>
      </c>
      <c r="N30" s="76" t="n">
        <v>0.008999999999999999</v>
      </c>
      <c r="O30" s="76" t="n">
        <v>0</v>
      </c>
      <c r="P30" s="76" t="n">
        <v>0</v>
      </c>
      <c r="Q30" s="76" t="n">
        <v>0</v>
      </c>
      <c r="R30" s="76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  <c r="AB30" s="76" t="n">
        <v>0</v>
      </c>
      <c r="AC30" s="76" t="n">
        <v>0</v>
      </c>
      <c r="AD30" s="76" t="n">
        <v>0</v>
      </c>
      <c r="AE30" s="76" t="n">
        <v>0</v>
      </c>
      <c r="AF30" s="76" t="n">
        <v>0</v>
      </c>
      <c r="AG30" s="76" t="n">
        <v>0</v>
      </c>
      <c r="AH30" s="76" t="n">
        <v>0</v>
      </c>
      <c r="AI30" s="76" t="n">
        <v>0</v>
      </c>
      <c r="AJ30" s="76" t="n">
        <v>0</v>
      </c>
      <c r="AK30" s="76" t="n">
        <v>0</v>
      </c>
      <c r="AL30" s="76" t="n">
        <v>0</v>
      </c>
      <c r="AM30" s="76" t="n">
        <v>0</v>
      </c>
      <c r="AN30" s="76" t="n">
        <v>0</v>
      </c>
      <c r="AO30" s="76" t="n">
        <v>0</v>
      </c>
      <c r="AP30" s="76" t="n">
        <v>0</v>
      </c>
      <c r="AQ30" s="76" t="n">
        <v>0</v>
      </c>
      <c r="AR30" s="76" t="n">
        <v>0.003802469135802469</v>
      </c>
    </row>
    <row r="31">
      <c r="A31" s="76" t="inlineStr">
        <is>
          <t>AL</t>
        </is>
      </c>
      <c r="B31" s="76" t="inlineStr">
        <is>
          <t>Utility PV</t>
        </is>
      </c>
      <c r="C31" s="76" t="n"/>
      <c r="D31" s="76" t="n"/>
      <c r="E31" s="76" t="n"/>
      <c r="F31" s="76" t="n"/>
      <c r="G31" s="76" t="n"/>
      <c r="H31" s="76" t="n">
        <v>0.232</v>
      </c>
      <c r="I31" s="76" t="n">
        <v>0.232</v>
      </c>
      <c r="J31" s="76" t="n">
        <v>0.236</v>
      </c>
      <c r="K31" s="76" t="n">
        <v>0.2355</v>
      </c>
      <c r="L31" s="76" t="n">
        <v>0.2345</v>
      </c>
      <c r="M31" s="76" t="n">
        <v>0.2335</v>
      </c>
      <c r="N31" s="76" t="n">
        <v>0.2325</v>
      </c>
      <c r="O31" s="76" t="n">
        <v>0.2315</v>
      </c>
      <c r="P31" s="76" t="n">
        <v>0.2375</v>
      </c>
      <c r="Q31" s="76" t="n">
        <v>0.238</v>
      </c>
      <c r="R31" s="76" t="n">
        <v>0.233</v>
      </c>
      <c r="S31" s="76" t="n">
        <v>0.2305</v>
      </c>
      <c r="T31" s="76" t="n">
        <v>0.2295</v>
      </c>
      <c r="U31" s="76" t="n">
        <v>0.2285</v>
      </c>
      <c r="V31" s="76" t="n">
        <v>0.236</v>
      </c>
      <c r="W31" s="76" t="n">
        <v>0.235</v>
      </c>
      <c r="X31" s="76" t="n">
        <v>0.236</v>
      </c>
      <c r="Y31" s="76" t="n">
        <v>0.2365</v>
      </c>
      <c r="Z31" s="76" t="n">
        <v>0.2315</v>
      </c>
      <c r="AA31" s="76" t="n">
        <v>0.2305</v>
      </c>
      <c r="AB31" s="76" t="n">
        <v>0.23</v>
      </c>
      <c r="AC31" s="76" t="n">
        <v>0.2295</v>
      </c>
      <c r="AD31" s="76" t="n">
        <v>0.229</v>
      </c>
      <c r="AE31" s="76" t="n">
        <v>0.2285</v>
      </c>
      <c r="AF31" s="76" t="n">
        <v>0.228</v>
      </c>
      <c r="AG31" s="76" t="n">
        <v>0.228</v>
      </c>
      <c r="AH31" s="76" t="n">
        <v>0.2275</v>
      </c>
      <c r="AI31" s="76" t="n">
        <v>0.227</v>
      </c>
      <c r="AJ31" s="76" t="n">
        <v>0.2265</v>
      </c>
      <c r="AK31" s="76" t="n">
        <v>0.226</v>
      </c>
      <c r="AL31" s="76" t="n">
        <v>0.2255</v>
      </c>
      <c r="AM31" s="76" t="n">
        <v>0.225</v>
      </c>
      <c r="AN31" s="76" t="n">
        <v>0.2245</v>
      </c>
      <c r="AO31" s="76" t="n">
        <v>0.2245</v>
      </c>
      <c r="AP31" s="76" t="n">
        <v>0.224</v>
      </c>
      <c r="AQ31" s="76" t="n">
        <v>0.2235</v>
      </c>
      <c r="AR31" s="76" t="n">
        <v>0.2304285714285715</v>
      </c>
    </row>
    <row r="32">
      <c r="A32" s="76" t="inlineStr">
        <is>
          <t>AL</t>
        </is>
      </c>
      <c r="B32" s="76" t="inlineStr">
        <is>
          <t>Wind offshore</t>
        </is>
      </c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>
        <v>0.388</v>
      </c>
      <c r="AN32" s="76" t="n">
        <v>0.388</v>
      </c>
      <c r="AO32" s="76" t="n">
        <v>0.388</v>
      </c>
      <c r="AP32" s="76" t="n">
        <v>0.388</v>
      </c>
      <c r="AQ32" s="76" t="n">
        <v>0.388</v>
      </c>
      <c r="AR32" s="76" t="n">
        <v>0.388</v>
      </c>
    </row>
    <row r="33">
      <c r="A33" s="76" t="inlineStr">
        <is>
          <t>AL</t>
        </is>
      </c>
      <c r="B33" s="76" t="inlineStr">
        <is>
          <t>Wind onshore</t>
        </is>
      </c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>
        <v>0.368</v>
      </c>
      <c r="U33" s="76" t="n">
        <v>0.368</v>
      </c>
      <c r="V33" s="76" t="n">
        <v>0.364</v>
      </c>
      <c r="W33" s="76" t="n">
        <v>0.36</v>
      </c>
      <c r="X33" s="76" t="n">
        <v>0.311</v>
      </c>
      <c r="Y33" s="76" t="n">
        <v>0.303</v>
      </c>
      <c r="Z33" s="76" t="n">
        <v>0.2915</v>
      </c>
      <c r="AA33" s="76" t="n">
        <v>0.286</v>
      </c>
      <c r="AB33" s="76" t="n">
        <v>0.282</v>
      </c>
      <c r="AC33" s="76" t="n">
        <v>0.278</v>
      </c>
      <c r="AD33" s="76" t="n">
        <v>0.2745</v>
      </c>
      <c r="AE33" s="76" t="n">
        <v>0.2715</v>
      </c>
      <c r="AF33" s="76" t="n">
        <v>0.268</v>
      </c>
      <c r="AG33" s="76" t="n">
        <v>0.265</v>
      </c>
      <c r="AH33" s="76" t="n">
        <v>0.2685</v>
      </c>
      <c r="AI33" s="76" t="n">
        <v>0.272</v>
      </c>
      <c r="AJ33" s="76" t="n">
        <v>0.276</v>
      </c>
      <c r="AK33" s="76" t="n">
        <v>0.2795</v>
      </c>
      <c r="AL33" s="76" t="n">
        <v>0.283</v>
      </c>
      <c r="AM33" s="76" t="n">
        <v>0.2865</v>
      </c>
      <c r="AN33" s="76" t="n">
        <v>0.2895</v>
      </c>
      <c r="AO33" s="76" t="n">
        <v>0.293</v>
      </c>
      <c r="AP33" s="76" t="n">
        <v>0.296</v>
      </c>
      <c r="AQ33" s="76" t="n">
        <v>0.2995</v>
      </c>
      <c r="AR33" s="76" t="n">
        <v>0.2910909090909091</v>
      </c>
    </row>
    <row r="34">
      <c r="A34" s="76" t="inlineStr">
        <is>
          <t>AR</t>
        </is>
      </c>
      <c r="B34" s="76" t="inlineStr">
        <is>
          <t>AR</t>
        </is>
      </c>
      <c r="C34" s="76" t="n">
        <v>0.3401666666666667</v>
      </c>
      <c r="D34" s="76" t="n">
        <v>0.3530833333333332</v>
      </c>
      <c r="E34" s="76" t="n">
        <v>0.36675</v>
      </c>
      <c r="F34" s="76" t="n">
        <v>0.3235714285714285</v>
      </c>
      <c r="G34" s="76" t="n">
        <v>0.3083571428571428</v>
      </c>
      <c r="H34" s="76" t="n">
        <v>0.3171875</v>
      </c>
      <c r="I34" s="76" t="n">
        <v>0.3301249999999999</v>
      </c>
      <c r="J34" s="76" t="n">
        <v>0.324125</v>
      </c>
      <c r="K34" s="76" t="n">
        <v>0.318625</v>
      </c>
      <c r="L34" s="76" t="n">
        <v>0.3263124999999999</v>
      </c>
      <c r="M34" s="76" t="n">
        <v>0.2997333333333332</v>
      </c>
      <c r="N34" s="76" t="n">
        <v>0.3107058823529412</v>
      </c>
      <c r="O34" s="76" t="n">
        <v>0.3058235294117648</v>
      </c>
      <c r="P34" s="76" t="n">
        <v>0.2978235294117647</v>
      </c>
      <c r="Q34" s="76" t="n">
        <v>0.2884117647058824</v>
      </c>
      <c r="R34" s="76" t="n">
        <v>0.2626666666666667</v>
      </c>
      <c r="S34" s="76" t="n">
        <v>0.2638888888888889</v>
      </c>
      <c r="T34" s="76" t="n">
        <v>0.2594444444444444</v>
      </c>
      <c r="U34" s="76" t="n">
        <v>0.2610000000000001</v>
      </c>
      <c r="V34" s="76" t="n">
        <v>0.2436315789473684</v>
      </c>
      <c r="W34" s="76" t="n">
        <v>0.2432631578947368</v>
      </c>
      <c r="X34" s="76" t="n">
        <v>0.2386315789473684</v>
      </c>
      <c r="Y34" s="76" t="n">
        <v>0.2338947368421053</v>
      </c>
      <c r="Z34" s="76" t="n">
        <v>0.2337368421052632</v>
      </c>
      <c r="AA34" s="76" t="n">
        <v>0.2335263157894737</v>
      </c>
      <c r="AB34" s="76" t="n">
        <v>0.2048333333333333</v>
      </c>
      <c r="AC34" s="76" t="n">
        <v>0.2039444444444444</v>
      </c>
      <c r="AD34" s="76" t="n">
        <v>0.2031111111111111</v>
      </c>
      <c r="AE34" s="76" t="n">
        <v>0.2021111111111111</v>
      </c>
      <c r="AF34" s="76" t="n">
        <v>0.2013333333333333</v>
      </c>
      <c r="AG34" s="76" t="n">
        <v>0.2002777777777778</v>
      </c>
      <c r="AH34" s="76" t="n">
        <v>0.2008333333333333</v>
      </c>
      <c r="AI34" s="76" t="n">
        <v>0.2012222222222222</v>
      </c>
      <c r="AJ34" s="76" t="n">
        <v>0.2016111111111111</v>
      </c>
      <c r="AK34" s="76" t="n">
        <v>0.202</v>
      </c>
      <c r="AL34" s="76" t="n">
        <v>0.2024444444444445</v>
      </c>
      <c r="AM34" s="76" t="n">
        <v>0.203</v>
      </c>
      <c r="AN34" s="76" t="n">
        <v>0.2041666666666667</v>
      </c>
      <c r="AO34" s="76" t="n">
        <v>0.2061111111111111</v>
      </c>
      <c r="AP34" s="76" t="n">
        <v>0.2092777777777778</v>
      </c>
      <c r="AQ34" s="76" t="n">
        <v>0.2278235294117647</v>
      </c>
      <c r="AR34" s="76" t="n">
        <v>0.2529014285714286</v>
      </c>
    </row>
    <row r="35">
      <c r="A35" s="76" t="inlineStr">
        <is>
          <t>AR</t>
        </is>
      </c>
      <c r="B35" s="76" t="inlineStr">
        <is>
          <t>Battery</t>
        </is>
      </c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>
        <v>-0.068</v>
      </c>
      <c r="S35" s="76" t="n">
        <v>-0.068</v>
      </c>
      <c r="T35" s="76" t="n">
        <v>-0.074</v>
      </c>
      <c r="U35" s="76" t="n">
        <v>-0.075</v>
      </c>
      <c r="V35" s="76" t="n">
        <v>-0.065</v>
      </c>
      <c r="W35" s="76" t="n">
        <v>-0.0615</v>
      </c>
      <c r="X35" s="76" t="n">
        <v>-0.0635</v>
      </c>
      <c r="Y35" s="76" t="n">
        <v>-0.0665</v>
      </c>
      <c r="Z35" s="76" t="n">
        <v>-0.065</v>
      </c>
      <c r="AA35" s="76" t="n">
        <v>-0.063</v>
      </c>
      <c r="AB35" s="76" t="n">
        <v>-0.0615</v>
      </c>
      <c r="AC35" s="76" t="n">
        <v>-0.0635</v>
      </c>
      <c r="AD35" s="76" t="n">
        <v>-0.065</v>
      </c>
      <c r="AE35" s="76" t="n">
        <v>-0.0665</v>
      </c>
      <c r="AF35" s="76" t="n">
        <v>-0.067</v>
      </c>
      <c r="AG35" s="76" t="n">
        <v>-0.068</v>
      </c>
      <c r="AH35" s="76" t="n">
        <v>-0.0665</v>
      </c>
      <c r="AI35" s="76" t="n">
        <v>-0.0655</v>
      </c>
      <c r="AJ35" s="76" t="n">
        <v>-0.0645</v>
      </c>
      <c r="AK35" s="76" t="n">
        <v>-0.0635</v>
      </c>
      <c r="AL35" s="76" t="n">
        <v>-0.0625</v>
      </c>
      <c r="AM35" s="76" t="n">
        <v>-0.0615</v>
      </c>
      <c r="AN35" s="76" t="n">
        <v>-0.06</v>
      </c>
      <c r="AO35" s="76" t="n">
        <v>-0.0585</v>
      </c>
      <c r="AP35" s="76" t="n">
        <v>-0.058</v>
      </c>
      <c r="AQ35" s="76" t="n">
        <v>-0.05649999999999999</v>
      </c>
      <c r="AR35" s="76" t="n">
        <v>-0.06397916666666666</v>
      </c>
    </row>
    <row r="36">
      <c r="A36" s="76" t="inlineStr">
        <is>
          <t>AR</t>
        </is>
      </c>
      <c r="B36" s="76" t="inlineStr">
        <is>
          <t>Biopower</t>
        </is>
      </c>
      <c r="C36" s="76" t="n">
        <v>0.359</v>
      </c>
      <c r="D36" s="76" t="n">
        <v>0.359</v>
      </c>
      <c r="E36" s="76" t="n">
        <v>0.359</v>
      </c>
      <c r="F36" s="76" t="n">
        <v>0.359</v>
      </c>
      <c r="G36" s="76" t="n">
        <v>0.359</v>
      </c>
      <c r="H36" s="76" t="n">
        <v>0.359</v>
      </c>
      <c r="I36" s="76" t="n">
        <v>0.359</v>
      </c>
      <c r="J36" s="76" t="n">
        <v>0.359</v>
      </c>
      <c r="K36" s="76" t="n">
        <v>0.359</v>
      </c>
      <c r="L36" s="76" t="n">
        <v>0.359</v>
      </c>
      <c r="M36" s="76" t="n">
        <v>0.359</v>
      </c>
      <c r="N36" s="76" t="n">
        <v>0.359</v>
      </c>
      <c r="O36" s="76" t="n">
        <v>0.359</v>
      </c>
      <c r="P36" s="76" t="n">
        <v>0.359</v>
      </c>
      <c r="Q36" s="76" t="n">
        <v>0.359</v>
      </c>
      <c r="R36" s="76" t="n">
        <v>0.359</v>
      </c>
      <c r="S36" s="76" t="n">
        <v>0.359</v>
      </c>
      <c r="T36" s="76" t="n">
        <v>0.359</v>
      </c>
      <c r="U36" s="76" t="n">
        <v>0.359</v>
      </c>
      <c r="V36" s="76" t="n">
        <v>0.359</v>
      </c>
      <c r="W36" s="76" t="n">
        <v>0.359</v>
      </c>
      <c r="X36" s="76" t="n">
        <v>0.359</v>
      </c>
      <c r="Y36" s="76" t="n">
        <v>0.359</v>
      </c>
      <c r="Z36" s="76" t="n">
        <v>0.359</v>
      </c>
      <c r="AA36" s="76" t="n">
        <v>0.359</v>
      </c>
      <c r="AB36" s="76" t="n">
        <v>0.359</v>
      </c>
      <c r="AC36" s="76" t="n">
        <v>0.359</v>
      </c>
      <c r="AD36" s="76" t="n">
        <v>0.359</v>
      </c>
      <c r="AE36" s="76" t="n">
        <v>0.359</v>
      </c>
      <c r="AF36" s="76" t="n">
        <v>0.359</v>
      </c>
      <c r="AG36" s="76" t="n">
        <v>0.359</v>
      </c>
      <c r="AH36" s="76" t="n">
        <v>0.359</v>
      </c>
      <c r="AI36" s="76" t="n">
        <v>0.359</v>
      </c>
      <c r="AJ36" s="76" t="n">
        <v>0.359</v>
      </c>
      <c r="AK36" s="76" t="n">
        <v>0.359</v>
      </c>
      <c r="AL36" s="76" t="n">
        <v>0.359</v>
      </c>
      <c r="AM36" s="76" t="n">
        <v>0.3625</v>
      </c>
      <c r="AN36" s="76" t="n">
        <v>0.3695</v>
      </c>
      <c r="AO36" s="76" t="n">
        <v>0.3835</v>
      </c>
      <c r="AP36" s="76" t="n">
        <v>0.4095</v>
      </c>
      <c r="AQ36" s="76" t="n">
        <v>0.4585</v>
      </c>
      <c r="AR36" s="76" t="n">
        <v>0.3635975609756097</v>
      </c>
    </row>
    <row r="37">
      <c r="A37" s="76" t="inlineStr">
        <is>
          <t>AR</t>
        </is>
      </c>
      <c r="B37" s="76" t="inlineStr">
        <is>
          <t>Coal</t>
        </is>
      </c>
      <c r="C37" s="76" t="n">
        <v>0.846</v>
      </c>
      <c r="D37" s="76" t="n">
        <v>0.8009999999999999</v>
      </c>
      <c r="E37" s="76" t="n">
        <v>0.762</v>
      </c>
      <c r="F37" s="76" t="n">
        <v>0.804</v>
      </c>
      <c r="G37" s="76" t="n">
        <v>0.846</v>
      </c>
      <c r="H37" s="76" t="n">
        <v>0.6890000000000001</v>
      </c>
      <c r="I37" s="76" t="n">
        <v>0.504</v>
      </c>
      <c r="J37" s="76" t="n">
        <v>0.59</v>
      </c>
      <c r="K37" s="76" t="n">
        <v>0.6765</v>
      </c>
      <c r="L37" s="76" t="n">
        <v>0.6154999999999999</v>
      </c>
      <c r="M37" s="76" t="n">
        <v>0.262</v>
      </c>
      <c r="N37" s="76" t="n">
        <v>0.298</v>
      </c>
      <c r="O37" s="76" t="n">
        <v>0.334</v>
      </c>
      <c r="P37" s="76" t="n">
        <v>0.333</v>
      </c>
      <c r="Q37" s="76" t="n">
        <v>0.332</v>
      </c>
      <c r="R37" s="76" t="n">
        <v>0.433</v>
      </c>
      <c r="S37" s="76" t="n">
        <v>0.653</v>
      </c>
      <c r="T37" s="76" t="n">
        <v>0.726</v>
      </c>
      <c r="U37" s="76" t="n">
        <v>0.846</v>
      </c>
      <c r="V37" s="76" t="n">
        <v>0.845</v>
      </c>
      <c r="W37" s="76" t="n">
        <v>0.845</v>
      </c>
      <c r="X37" s="76" t="n">
        <v>0.795</v>
      </c>
      <c r="Y37" s="76" t="n">
        <v>0.745</v>
      </c>
      <c r="Z37" s="76" t="n">
        <v>0.745</v>
      </c>
      <c r="AA37" s="76" t="n">
        <v>0.745</v>
      </c>
      <c r="AB37" s="76" t="n"/>
      <c r="AC37" s="76" t="n"/>
      <c r="AD37" s="76" t="n"/>
      <c r="AE37" s="76" t="n"/>
      <c r="AF37" s="76" t="n"/>
      <c r="AG37" s="76" t="n"/>
      <c r="AH37" s="76" t="n"/>
      <c r="AI37" s="76" t="n"/>
      <c r="AJ37" s="76" t="n"/>
      <c r="AK37" s="76" t="n"/>
      <c r="AL37" s="76" t="n"/>
      <c r="AM37" s="76" t="n"/>
      <c r="AN37" s="76" t="n"/>
      <c r="AO37" s="76" t="n"/>
      <c r="AP37" s="76" t="n"/>
      <c r="AQ37" s="76" t="n"/>
      <c r="AR37" s="76" t="n">
        <v>0.6629999999999999</v>
      </c>
    </row>
    <row r="38">
      <c r="A38" s="76" t="inlineStr">
        <is>
          <t>AR</t>
        </is>
      </c>
      <c r="B38" s="76" t="inlineStr">
        <is>
          <t>CSP</t>
        </is>
      </c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</row>
    <row r="39">
      <c r="A39" s="76" t="inlineStr">
        <is>
          <t>AR</t>
        </is>
      </c>
      <c r="B39" s="76" t="inlineStr">
        <is>
          <t>Dist PV</t>
        </is>
      </c>
      <c r="C39" s="76" t="n"/>
      <c r="D39" s="76" t="n"/>
      <c r="E39" s="76" t="n"/>
      <c r="F39" s="76" t="n">
        <v>0.1695</v>
      </c>
      <c r="G39" s="76" t="n">
        <v>0.1695</v>
      </c>
      <c r="H39" s="76" t="n">
        <v>0.1695</v>
      </c>
      <c r="I39" s="76" t="n">
        <v>0.1695</v>
      </c>
      <c r="J39" s="76" t="n">
        <v>0.1695</v>
      </c>
      <c r="K39" s="76" t="n">
        <v>0.1695</v>
      </c>
      <c r="L39" s="76" t="n">
        <v>0.1695</v>
      </c>
      <c r="M39" s="76" t="n">
        <v>0.1695</v>
      </c>
      <c r="N39" s="76" t="n">
        <v>0.1695</v>
      </c>
      <c r="O39" s="76" t="n">
        <v>0.1695</v>
      </c>
      <c r="P39" s="76" t="n">
        <v>0.1695</v>
      </c>
      <c r="Q39" s="76" t="n">
        <v>0.1695</v>
      </c>
      <c r="R39" s="76" t="n">
        <v>0.1695</v>
      </c>
      <c r="S39" s="76" t="n">
        <v>0.1695</v>
      </c>
      <c r="T39" s="76" t="n">
        <v>0.1695</v>
      </c>
      <c r="U39" s="76" t="n">
        <v>0.1695</v>
      </c>
      <c r="V39" s="76" t="n">
        <v>0.1695</v>
      </c>
      <c r="W39" s="76" t="n">
        <v>0.1695</v>
      </c>
      <c r="X39" s="76" t="n">
        <v>0.1695</v>
      </c>
      <c r="Y39" s="76" t="n">
        <v>0.1695</v>
      </c>
      <c r="Z39" s="76" t="n">
        <v>0.1695</v>
      </c>
      <c r="AA39" s="76" t="n">
        <v>0.1695</v>
      </c>
      <c r="AB39" s="76" t="n">
        <v>0.1695</v>
      </c>
      <c r="AC39" s="76" t="n">
        <v>0.1695</v>
      </c>
      <c r="AD39" s="76" t="n">
        <v>0.1695</v>
      </c>
      <c r="AE39" s="76" t="n">
        <v>0.1695</v>
      </c>
      <c r="AF39" s="76" t="n">
        <v>0.1695</v>
      </c>
      <c r="AG39" s="76" t="n">
        <v>0.1695</v>
      </c>
      <c r="AH39" s="76" t="n">
        <v>0.1695</v>
      </c>
      <c r="AI39" s="76" t="n">
        <v>0.1695</v>
      </c>
      <c r="AJ39" s="76" t="n">
        <v>0.1695</v>
      </c>
      <c r="AK39" s="76" t="n">
        <v>0.1695</v>
      </c>
      <c r="AL39" s="76" t="n">
        <v>0.1695</v>
      </c>
      <c r="AM39" s="76" t="n">
        <v>0.1695</v>
      </c>
      <c r="AN39" s="76" t="n">
        <v>0.1695</v>
      </c>
      <c r="AO39" s="76" t="n">
        <v>0.1695</v>
      </c>
      <c r="AP39" s="76" t="n">
        <v>0.1695</v>
      </c>
      <c r="AQ39" s="76" t="n">
        <v>0.1695</v>
      </c>
      <c r="AR39" s="76" t="n">
        <v>0.1695</v>
      </c>
    </row>
    <row r="40">
      <c r="A40" s="76" t="inlineStr">
        <is>
          <t>AR</t>
        </is>
      </c>
      <c r="B40" s="76" t="inlineStr">
        <is>
          <t>Gas CCGT</t>
        </is>
      </c>
      <c r="C40" s="76" t="n">
        <v>0.07100000000000001</v>
      </c>
      <c r="D40" s="76" t="n">
        <v>0.245</v>
      </c>
      <c r="E40" s="76" t="n">
        <v>0.4185</v>
      </c>
      <c r="F40" s="76" t="n">
        <v>0.2625</v>
      </c>
      <c r="G40" s="76" t="n">
        <v>0.107</v>
      </c>
      <c r="H40" s="76" t="n">
        <v>0.356</v>
      </c>
      <c r="I40" s="76" t="n">
        <v>0.604</v>
      </c>
      <c r="J40" s="76" t="n">
        <v>0.4985</v>
      </c>
      <c r="K40" s="76" t="n">
        <v>0.3925</v>
      </c>
      <c r="L40" s="76" t="n">
        <v>0.478</v>
      </c>
      <c r="M40" s="76" t="n">
        <v>0.5635</v>
      </c>
      <c r="N40" s="76" t="n">
        <v>0.5315</v>
      </c>
      <c r="O40" s="76" t="n">
        <v>0.5</v>
      </c>
      <c r="P40" s="76" t="n">
        <v>0.438</v>
      </c>
      <c r="Q40" s="76" t="n">
        <v>0.364</v>
      </c>
      <c r="R40" s="76" t="n">
        <v>0.2675</v>
      </c>
      <c r="S40" s="76" t="n">
        <v>0.171</v>
      </c>
      <c r="T40" s="76" t="n">
        <v>0.1335</v>
      </c>
      <c r="U40" s="76" t="n">
        <v>0.096</v>
      </c>
      <c r="V40" s="76" t="n">
        <v>0.0885</v>
      </c>
      <c r="W40" s="76" t="n">
        <v>0.081</v>
      </c>
      <c r="X40" s="76" t="n">
        <v>0.06900000000000001</v>
      </c>
      <c r="Y40" s="76" t="n">
        <v>0.05649999999999999</v>
      </c>
      <c r="Z40" s="76" t="n">
        <v>0.0525</v>
      </c>
      <c r="AA40" s="76" t="n">
        <v>0.04849999999999999</v>
      </c>
      <c r="AB40" s="76" t="n">
        <v>0.044</v>
      </c>
      <c r="AC40" s="76" t="n">
        <v>0.04</v>
      </c>
      <c r="AD40" s="76" t="n">
        <v>0.036</v>
      </c>
      <c r="AE40" s="76" t="n">
        <v>0.032</v>
      </c>
      <c r="AF40" s="76" t="n">
        <v>0.028</v>
      </c>
      <c r="AG40" s="76" t="n">
        <v>0.024</v>
      </c>
      <c r="AH40" s="76" t="n">
        <v>0.0245</v>
      </c>
      <c r="AI40" s="76" t="n">
        <v>0.025</v>
      </c>
      <c r="AJ40" s="76" t="n">
        <v>0.025</v>
      </c>
      <c r="AK40" s="76" t="n">
        <v>0.0255</v>
      </c>
      <c r="AL40" s="76" t="n">
        <v>0.026</v>
      </c>
      <c r="AM40" s="76" t="n">
        <v>0.0275</v>
      </c>
      <c r="AN40" s="76" t="n">
        <v>0.029</v>
      </c>
      <c r="AO40" s="76" t="n">
        <v>0.0315</v>
      </c>
      <c r="AP40" s="76" t="n">
        <v>0.033</v>
      </c>
      <c r="AQ40" s="76" t="n">
        <v>0.035</v>
      </c>
      <c r="AR40" s="76" t="n">
        <v>0.1799999999999999</v>
      </c>
    </row>
    <row r="41">
      <c r="A41" s="76" t="inlineStr">
        <is>
          <t>AR</t>
        </is>
      </c>
      <c r="B41" s="76" t="inlineStr">
        <is>
          <t>Gas CT</t>
        </is>
      </c>
      <c r="C41" s="76" t="n">
        <v>0.004</v>
      </c>
      <c r="D41" s="76" t="n">
        <v>0.007</v>
      </c>
      <c r="E41" s="76" t="n">
        <v>0.01</v>
      </c>
      <c r="F41" s="76" t="n">
        <v>0.011</v>
      </c>
      <c r="G41" s="76" t="n">
        <v>0.011</v>
      </c>
      <c r="H41" s="76" t="n">
        <v>0.032</v>
      </c>
      <c r="I41" s="76" t="n">
        <v>0.0545</v>
      </c>
      <c r="J41" s="76" t="n">
        <v>0.0335</v>
      </c>
      <c r="K41" s="76" t="n">
        <v>0.013</v>
      </c>
      <c r="L41" s="76" t="n">
        <v>0.0265</v>
      </c>
      <c r="M41" s="76" t="n">
        <v>0.0395</v>
      </c>
      <c r="N41" s="76" t="n">
        <v>0.036</v>
      </c>
      <c r="O41" s="76" t="n">
        <v>0.032</v>
      </c>
      <c r="P41" s="76" t="n">
        <v>0.023</v>
      </c>
      <c r="Q41" s="76" t="n">
        <v>0.014</v>
      </c>
      <c r="R41" s="76" t="n">
        <v>0.0115</v>
      </c>
      <c r="S41" s="76" t="n">
        <v>0.008999999999999999</v>
      </c>
      <c r="T41" s="76" t="n">
        <v>0.006999999999999999</v>
      </c>
      <c r="U41" s="76" t="n">
        <v>0.005</v>
      </c>
      <c r="V41" s="76" t="n">
        <v>0.0025</v>
      </c>
      <c r="W41" s="76" t="n">
        <v>0.0005</v>
      </c>
      <c r="X41" s="76" t="n">
        <v>0.0005</v>
      </c>
      <c r="Y41" s="76" t="n">
        <v>0</v>
      </c>
      <c r="Z41" s="76" t="n">
        <v>0</v>
      </c>
      <c r="AA41" s="76" t="n">
        <v>0</v>
      </c>
      <c r="AB41" s="76" t="n">
        <v>0</v>
      </c>
      <c r="AC41" s="76" t="n">
        <v>0</v>
      </c>
      <c r="AD41" s="76" t="n">
        <v>0</v>
      </c>
      <c r="AE41" s="76" t="n">
        <v>0</v>
      </c>
      <c r="AF41" s="76" t="n">
        <v>0</v>
      </c>
      <c r="AG41" s="76" t="n">
        <v>0</v>
      </c>
      <c r="AH41" s="76" t="n">
        <v>0</v>
      </c>
      <c r="AI41" s="76" t="n">
        <v>0</v>
      </c>
      <c r="AJ41" s="76" t="n">
        <v>0</v>
      </c>
      <c r="AK41" s="76" t="n">
        <v>0</v>
      </c>
      <c r="AL41" s="76" t="n">
        <v>0</v>
      </c>
      <c r="AM41" s="76" t="n">
        <v>0</v>
      </c>
      <c r="AN41" s="76" t="n">
        <v>0</v>
      </c>
      <c r="AO41" s="76" t="n">
        <v>0</v>
      </c>
      <c r="AP41" s="76" t="n">
        <v>0</v>
      </c>
      <c r="AQ41" s="76" t="n">
        <v>0</v>
      </c>
      <c r="AR41" s="76" t="n">
        <v>0.009341463414634149</v>
      </c>
    </row>
    <row r="42">
      <c r="A42" s="76" t="inlineStr">
        <is>
          <t>AR</t>
        </is>
      </c>
      <c r="B42" s="76" t="inlineStr">
        <is>
          <t>Geothermal</t>
        </is>
      </c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</row>
    <row r="43">
      <c r="A43" s="76" t="inlineStr">
        <is>
          <t>AR</t>
        </is>
      </c>
      <c r="B43" s="76" t="inlineStr">
        <is>
          <t>Hydro</t>
        </is>
      </c>
      <c r="C43" s="76" t="n">
        <v>0.31</v>
      </c>
      <c r="D43" s="76" t="n">
        <v>0.2555</v>
      </c>
      <c r="E43" s="76" t="n">
        <v>0.2</v>
      </c>
      <c r="F43" s="76" t="n">
        <v>0.208</v>
      </c>
      <c r="G43" s="76" t="n">
        <v>0.215</v>
      </c>
      <c r="H43" s="76" t="n">
        <v>0.229</v>
      </c>
      <c r="I43" s="76" t="n">
        <v>0.243</v>
      </c>
      <c r="J43" s="76" t="n">
        <v>0.243</v>
      </c>
      <c r="K43" s="76" t="n">
        <v>0.243</v>
      </c>
      <c r="L43" s="76" t="n">
        <v>0.2435</v>
      </c>
      <c r="M43" s="76" t="n">
        <v>0.244</v>
      </c>
      <c r="N43" s="76" t="n">
        <v>0.2445</v>
      </c>
      <c r="O43" s="76" t="n">
        <v>0.245</v>
      </c>
      <c r="P43" s="76" t="n">
        <v>0.245</v>
      </c>
      <c r="Q43" s="76" t="n">
        <v>0.245</v>
      </c>
      <c r="R43" s="76" t="n">
        <v>0.245</v>
      </c>
      <c r="S43" s="76" t="n">
        <v>0.245</v>
      </c>
      <c r="T43" s="76" t="n">
        <v>0.244</v>
      </c>
      <c r="U43" s="76" t="n">
        <v>0.2435</v>
      </c>
      <c r="V43" s="76" t="n">
        <v>0.2435</v>
      </c>
      <c r="W43" s="76" t="n">
        <v>0.2435</v>
      </c>
      <c r="X43" s="76" t="n">
        <v>0.2435</v>
      </c>
      <c r="Y43" s="76" t="n">
        <v>0.2435</v>
      </c>
      <c r="Z43" s="76" t="n">
        <v>0.2435</v>
      </c>
      <c r="AA43" s="76" t="n">
        <v>0.2435</v>
      </c>
      <c r="AB43" s="76" t="n">
        <v>0.2435</v>
      </c>
      <c r="AC43" s="76" t="n">
        <v>0.2435</v>
      </c>
      <c r="AD43" s="76" t="n">
        <v>0.244</v>
      </c>
      <c r="AE43" s="76" t="n">
        <v>0.244</v>
      </c>
      <c r="AF43" s="76" t="n">
        <v>0.244</v>
      </c>
      <c r="AG43" s="76" t="n">
        <v>0.244</v>
      </c>
      <c r="AH43" s="76" t="n">
        <v>0.244</v>
      </c>
      <c r="AI43" s="76" t="n">
        <v>0.244</v>
      </c>
      <c r="AJ43" s="76" t="n">
        <v>0.244</v>
      </c>
      <c r="AK43" s="76" t="n">
        <v>0.244</v>
      </c>
      <c r="AL43" s="76" t="n">
        <v>0.244</v>
      </c>
      <c r="AM43" s="76" t="n">
        <v>0.244</v>
      </c>
      <c r="AN43" s="76" t="n">
        <v>0.2445</v>
      </c>
      <c r="AO43" s="76" t="n">
        <v>0.2445</v>
      </c>
      <c r="AP43" s="76" t="n">
        <v>0.245</v>
      </c>
      <c r="AQ43" s="76" t="n">
        <v>0.245</v>
      </c>
      <c r="AR43" s="76" t="n">
        <v>0.2428780487804878</v>
      </c>
    </row>
    <row r="44">
      <c r="A44" s="76" t="inlineStr">
        <is>
          <t>AR</t>
        </is>
      </c>
      <c r="B44" s="76" t="inlineStr">
        <is>
          <t>Nuclear</t>
        </is>
      </c>
      <c r="C44" s="76" t="n">
        <v>0.902</v>
      </c>
      <c r="D44" s="76" t="n">
        <v>0.902</v>
      </c>
      <c r="E44" s="76" t="n">
        <v>0.902</v>
      </c>
      <c r="F44" s="76" t="n">
        <v>0.902</v>
      </c>
      <c r="G44" s="76" t="n">
        <v>0.902</v>
      </c>
      <c r="H44" s="76" t="n">
        <v>0.902</v>
      </c>
      <c r="I44" s="76" t="n">
        <v>0.902</v>
      </c>
      <c r="J44" s="76" t="n">
        <v>0.902</v>
      </c>
      <c r="K44" s="76" t="n">
        <v>0.902</v>
      </c>
      <c r="L44" s="76" t="n">
        <v>0.902</v>
      </c>
      <c r="M44" s="76" t="n">
        <v>0.902</v>
      </c>
      <c r="N44" s="76" t="n">
        <v>0.902</v>
      </c>
      <c r="O44" s="76" t="n">
        <v>0.902</v>
      </c>
      <c r="P44" s="76" t="n">
        <v>0.902</v>
      </c>
      <c r="Q44" s="76" t="n">
        <v>0.902</v>
      </c>
      <c r="R44" s="76" t="n">
        <v>0.902</v>
      </c>
      <c r="S44" s="76" t="n">
        <v>0.902</v>
      </c>
      <c r="T44" s="76" t="n">
        <v>0.902</v>
      </c>
      <c r="U44" s="76" t="n">
        <v>0.902</v>
      </c>
      <c r="V44" s="76" t="n">
        <v>0.902</v>
      </c>
      <c r="W44" s="76" t="n">
        <v>0.902</v>
      </c>
      <c r="X44" s="76" t="n">
        <v>0.902</v>
      </c>
      <c r="Y44" s="76" t="n">
        <v>0.902</v>
      </c>
      <c r="Z44" s="76" t="n">
        <v>0.902</v>
      </c>
      <c r="AA44" s="76" t="n">
        <v>0.902</v>
      </c>
      <c r="AB44" s="76" t="n">
        <v>0.902</v>
      </c>
      <c r="AC44" s="76" t="n">
        <v>0.902</v>
      </c>
      <c r="AD44" s="76" t="n">
        <v>0.902</v>
      </c>
      <c r="AE44" s="76" t="n">
        <v>0.902</v>
      </c>
      <c r="AF44" s="76" t="n">
        <v>0.902</v>
      </c>
      <c r="AG44" s="76" t="n">
        <v>0.902</v>
      </c>
      <c r="AH44" s="76" t="n">
        <v>0.902</v>
      </c>
      <c r="AI44" s="76" t="n">
        <v>0.902</v>
      </c>
      <c r="AJ44" s="76" t="n">
        <v>0.902</v>
      </c>
      <c r="AK44" s="76" t="n">
        <v>0.902</v>
      </c>
      <c r="AL44" s="76" t="n">
        <v>0.902</v>
      </c>
      <c r="AM44" s="76" t="n">
        <v>0.902</v>
      </c>
      <c r="AN44" s="76" t="n">
        <v>0.902</v>
      </c>
      <c r="AO44" s="76" t="n">
        <v>0.902</v>
      </c>
      <c r="AP44" s="76" t="n">
        <v>0.902</v>
      </c>
      <c r="AQ44" s="76" t="n">
        <v>0.902</v>
      </c>
      <c r="AR44" s="76" t="n">
        <v>0.9020000000000004</v>
      </c>
    </row>
    <row r="45">
      <c r="A45" s="76" t="inlineStr">
        <is>
          <t>AR</t>
        </is>
      </c>
      <c r="B45" s="76" t="inlineStr">
        <is>
          <t>Other</t>
        </is>
      </c>
      <c r="C45" s="76" t="n">
        <v>0</v>
      </c>
      <c r="D45" s="76" t="n">
        <v>0</v>
      </c>
      <c r="E45" s="76" t="n">
        <v>0</v>
      </c>
      <c r="F45" s="76" t="n">
        <v>0</v>
      </c>
      <c r="G45" s="76" t="n">
        <v>0</v>
      </c>
      <c r="H45" s="76" t="n">
        <v>0.007</v>
      </c>
      <c r="I45" s="76" t="n">
        <v>0.015</v>
      </c>
      <c r="J45" s="76" t="n">
        <v>0.007</v>
      </c>
      <c r="K45" s="76" t="n">
        <v>0</v>
      </c>
      <c r="L45" s="76" t="n">
        <v>0.048</v>
      </c>
      <c r="M45" s="76" t="n">
        <v>0.097</v>
      </c>
      <c r="N45" s="76" t="n">
        <v>0.048</v>
      </c>
      <c r="O45" s="76" t="n">
        <v>0</v>
      </c>
      <c r="P45" s="76" t="n">
        <v>0</v>
      </c>
      <c r="Q45" s="76" t="n">
        <v>0</v>
      </c>
      <c r="R45" s="76" t="n">
        <v>0</v>
      </c>
      <c r="S45" s="76" t="n">
        <v>0</v>
      </c>
      <c r="T45" s="76" t="n">
        <v>0</v>
      </c>
      <c r="U45" s="76" t="n">
        <v>0</v>
      </c>
      <c r="V45" s="76" t="n">
        <v>0</v>
      </c>
      <c r="W45" s="76" t="n">
        <v>0</v>
      </c>
      <c r="X45" s="76" t="n">
        <v>0</v>
      </c>
      <c r="Y45" s="76" t="n">
        <v>0</v>
      </c>
      <c r="Z45" s="76" t="n">
        <v>0</v>
      </c>
      <c r="AA45" s="76" t="n">
        <v>0</v>
      </c>
      <c r="AB45" s="76" t="n">
        <v>0</v>
      </c>
      <c r="AC45" s="76" t="n">
        <v>0</v>
      </c>
      <c r="AD45" s="76" t="n">
        <v>0</v>
      </c>
      <c r="AE45" s="76" t="n">
        <v>0</v>
      </c>
      <c r="AF45" s="76" t="n">
        <v>0</v>
      </c>
      <c r="AG45" s="76" t="n">
        <v>0</v>
      </c>
      <c r="AH45" s="76" t="n">
        <v>0</v>
      </c>
      <c r="AI45" s="76" t="n">
        <v>0</v>
      </c>
      <c r="AJ45" s="76" t="n">
        <v>0</v>
      </c>
      <c r="AK45" s="76" t="n">
        <v>0</v>
      </c>
      <c r="AL45" s="76" t="n">
        <v>0</v>
      </c>
      <c r="AM45" s="76" t="n">
        <v>0</v>
      </c>
      <c r="AN45" s="76" t="n">
        <v>0</v>
      </c>
      <c r="AO45" s="76" t="n">
        <v>0</v>
      </c>
      <c r="AP45" s="76" t="n">
        <v>0</v>
      </c>
      <c r="AQ45" s="76" t="n"/>
      <c r="AR45" s="76" t="n">
        <v>0.005549999999999999</v>
      </c>
    </row>
    <row r="46">
      <c r="A46" s="76" t="inlineStr">
        <is>
          <t>AR</t>
        </is>
      </c>
      <c r="B46" s="76" t="inlineStr">
        <is>
          <t>Utility PV</t>
        </is>
      </c>
      <c r="C46" s="76" t="n"/>
      <c r="D46" s="76" t="n"/>
      <c r="E46" s="76" t="n"/>
      <c r="F46" s="76" t="n"/>
      <c r="G46" s="76" t="n"/>
      <c r="H46" s="76" t="n">
        <v>0.2485</v>
      </c>
      <c r="I46" s="76" t="n">
        <v>0.2485</v>
      </c>
      <c r="J46" s="76" t="n">
        <v>0.245</v>
      </c>
      <c r="K46" s="76" t="n">
        <v>0.2445</v>
      </c>
      <c r="L46" s="76" t="n">
        <v>0.2435</v>
      </c>
      <c r="M46" s="76" t="n">
        <v>0.242</v>
      </c>
      <c r="N46" s="76" t="n">
        <v>0.244</v>
      </c>
      <c r="O46" s="76" t="n">
        <v>0.2435</v>
      </c>
      <c r="P46" s="76" t="n">
        <v>0.2425</v>
      </c>
      <c r="Q46" s="76" t="n">
        <v>0.241</v>
      </c>
      <c r="R46" s="76" t="n">
        <v>0.24</v>
      </c>
      <c r="S46" s="76" t="n">
        <v>0.2395</v>
      </c>
      <c r="T46" s="76" t="n">
        <v>0.2385</v>
      </c>
      <c r="U46" s="76" t="n">
        <v>0.2375</v>
      </c>
      <c r="V46" s="76" t="n">
        <v>0.2365</v>
      </c>
      <c r="W46" s="76" t="n">
        <v>0.2345</v>
      </c>
      <c r="X46" s="76" t="n">
        <v>0.2335</v>
      </c>
      <c r="Y46" s="76" t="n">
        <v>0.2325</v>
      </c>
      <c r="Z46" s="76" t="n">
        <v>0.233</v>
      </c>
      <c r="AA46" s="76" t="n">
        <v>0.2325</v>
      </c>
      <c r="AB46" s="76" t="n">
        <v>0.2325</v>
      </c>
      <c r="AC46" s="76" t="n">
        <v>0.2335</v>
      </c>
      <c r="AD46" s="76" t="n">
        <v>0.2335</v>
      </c>
      <c r="AE46" s="76" t="n">
        <v>0.233</v>
      </c>
      <c r="AF46" s="76" t="n">
        <v>0.233</v>
      </c>
      <c r="AG46" s="76" t="n">
        <v>0.232</v>
      </c>
      <c r="AH46" s="76" t="n">
        <v>0.231</v>
      </c>
      <c r="AI46" s="76" t="n">
        <v>0.2295</v>
      </c>
      <c r="AJ46" s="76" t="n">
        <v>0.2285</v>
      </c>
      <c r="AK46" s="76" t="n">
        <v>0.2275</v>
      </c>
      <c r="AL46" s="76" t="n">
        <v>0.2265</v>
      </c>
      <c r="AM46" s="76" t="n">
        <v>0.226</v>
      </c>
      <c r="AN46" s="76" t="n">
        <v>0.226</v>
      </c>
      <c r="AO46" s="76" t="n">
        <v>0.2255</v>
      </c>
      <c r="AP46" s="76" t="n">
        <v>0.2255</v>
      </c>
      <c r="AQ46" s="76" t="n">
        <v>0.2265</v>
      </c>
      <c r="AR46" s="76" t="n">
        <v>0.2353055555555555</v>
      </c>
    </row>
    <row r="47">
      <c r="A47" s="76" t="inlineStr">
        <is>
          <t>AR</t>
        </is>
      </c>
      <c r="B47" s="76" t="inlineStr">
        <is>
          <t>Wind offshore</t>
        </is>
      </c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</row>
    <row r="48">
      <c r="A48" s="76" t="inlineStr">
        <is>
          <t>AR</t>
        </is>
      </c>
      <c r="B48" s="76" t="inlineStr">
        <is>
          <t>Wind onshore</t>
        </is>
      </c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>
        <v>0.4325</v>
      </c>
      <c r="O48" s="76" t="n">
        <v>0.4325</v>
      </c>
      <c r="P48" s="76" t="n">
        <v>0.437</v>
      </c>
      <c r="Q48" s="76" t="n">
        <v>0.442</v>
      </c>
      <c r="R48" s="76" t="n">
        <v>0.438</v>
      </c>
      <c r="S48" s="76" t="n">
        <v>0.4385</v>
      </c>
      <c r="T48" s="76" t="n">
        <v>0.4065</v>
      </c>
      <c r="U48" s="76" t="n">
        <v>0.402</v>
      </c>
      <c r="V48" s="76" t="n">
        <v>0.4065</v>
      </c>
      <c r="W48" s="76" t="n">
        <v>0.411</v>
      </c>
      <c r="X48" s="76" t="n">
        <v>0.407</v>
      </c>
      <c r="Y48" s="76" t="n">
        <v>0.404</v>
      </c>
      <c r="Z48" s="76" t="n">
        <v>0.4045</v>
      </c>
      <c r="AA48" s="76" t="n">
        <v>0.405</v>
      </c>
      <c r="AB48" s="76" t="n">
        <v>0.4055</v>
      </c>
      <c r="AC48" s="76" t="n">
        <v>0.4025</v>
      </c>
      <c r="AD48" s="76" t="n">
        <v>0.4</v>
      </c>
      <c r="AE48" s="76" t="n">
        <v>0.397</v>
      </c>
      <c r="AF48" s="76" t="n">
        <v>0.3945</v>
      </c>
      <c r="AG48" s="76" t="n">
        <v>0.391</v>
      </c>
      <c r="AH48" s="76" t="n">
        <v>0.395</v>
      </c>
      <c r="AI48" s="76" t="n">
        <v>0.3985</v>
      </c>
      <c r="AJ48" s="76" t="n">
        <v>0.402</v>
      </c>
      <c r="AK48" s="76" t="n">
        <v>0.405</v>
      </c>
      <c r="AL48" s="76" t="n">
        <v>0.4085</v>
      </c>
      <c r="AM48" s="76" t="n">
        <v>0.408</v>
      </c>
      <c r="AN48" s="76" t="n">
        <v>0.408</v>
      </c>
      <c r="AO48" s="76" t="n">
        <v>0.408</v>
      </c>
      <c r="AP48" s="76" t="n">
        <v>0.408</v>
      </c>
      <c r="AQ48" s="76" t="n">
        <v>0.4075</v>
      </c>
      <c r="AR48" s="76" t="n">
        <v>0.4101999999999999</v>
      </c>
    </row>
    <row r="49">
      <c r="A49" s="76" t="inlineStr">
        <is>
          <t>AZ</t>
        </is>
      </c>
      <c r="B49" s="76" t="inlineStr">
        <is>
          <t>AZ</t>
        </is>
      </c>
      <c r="C49" s="76" t="n">
        <v>0.2615714285714286</v>
      </c>
      <c r="D49" s="76" t="n">
        <v>0.2614583333333333</v>
      </c>
      <c r="E49" s="76" t="n">
        <v>0.2671666666666667</v>
      </c>
      <c r="F49" s="76" t="n">
        <v>0.2934</v>
      </c>
      <c r="G49" s="76" t="n">
        <v>0.2918000000000001</v>
      </c>
      <c r="H49" s="76" t="n">
        <v>0.2906</v>
      </c>
      <c r="I49" s="76" t="n">
        <v>0.2892</v>
      </c>
      <c r="J49" s="76" t="n">
        <v>0.2675925925925926</v>
      </c>
      <c r="K49" s="76" t="n">
        <v>0.2676666666666667</v>
      </c>
      <c r="L49" s="76" t="n">
        <v>0.2571428571428572</v>
      </c>
      <c r="M49" s="76" t="n">
        <v>0.2551785714285714</v>
      </c>
      <c r="N49" s="76" t="n">
        <v>0.2522857142857143</v>
      </c>
      <c r="O49" s="76" t="n">
        <v>0.2504285714285714</v>
      </c>
      <c r="P49" s="76" t="n">
        <v>0.2421000000000001</v>
      </c>
      <c r="Q49" s="76" t="n">
        <v>0.2399666666666667</v>
      </c>
      <c r="R49" s="76" t="n">
        <v>0.2373666666666668</v>
      </c>
      <c r="S49" s="76" t="n">
        <v>0.2346666666666667</v>
      </c>
      <c r="T49" s="76" t="n">
        <v>0.2338</v>
      </c>
      <c r="U49" s="76" t="n">
        <v>0.2329333333333334</v>
      </c>
      <c r="V49" s="76" t="n">
        <v>0.2316</v>
      </c>
      <c r="W49" s="76" t="n">
        <v>0.2315</v>
      </c>
      <c r="X49" s="76" t="n">
        <v>0.2256333333333333</v>
      </c>
      <c r="Y49" s="76" t="n">
        <v>0.2161</v>
      </c>
      <c r="Z49" s="76" t="n">
        <v>0.2134333333333334</v>
      </c>
      <c r="AA49" s="76" t="n">
        <v>0.2108666666666667</v>
      </c>
      <c r="AB49" s="76" t="n">
        <v>0.1756428571428571</v>
      </c>
      <c r="AC49" s="76" t="n">
        <v>0.1910357142857143</v>
      </c>
      <c r="AD49" s="76" t="n">
        <v>0.1945714285714286</v>
      </c>
      <c r="AE49" s="76" t="n">
        <v>0.1958214285714286</v>
      </c>
      <c r="AF49" s="76" t="n">
        <v>0.1961785714285715</v>
      </c>
      <c r="AG49" s="76" t="n">
        <v>0.2032962962962963</v>
      </c>
      <c r="AH49" s="76" t="n">
        <v>0.2045555555555556</v>
      </c>
      <c r="AI49" s="76" t="n">
        <v>0.2057407407407407</v>
      </c>
      <c r="AJ49" s="76" t="n">
        <v>0.2068518518518518</v>
      </c>
      <c r="AK49" s="76" t="n">
        <v>0.2077777777777778</v>
      </c>
      <c r="AL49" s="76" t="n">
        <v>0.19904</v>
      </c>
      <c r="AM49" s="76" t="n">
        <v>0.19852</v>
      </c>
      <c r="AN49" s="76" t="n">
        <v>0.1982400000000001</v>
      </c>
      <c r="AO49" s="76" t="n">
        <v>0.19776</v>
      </c>
      <c r="AP49" s="76" t="n">
        <v>0.19756</v>
      </c>
      <c r="AQ49" s="76" t="n">
        <v>0.19736</v>
      </c>
      <c r="AR49" s="76" t="n">
        <v>0.2293232142857143</v>
      </c>
    </row>
    <row r="50">
      <c r="A50" s="76" t="inlineStr">
        <is>
          <t>AZ</t>
        </is>
      </c>
      <c r="B50" s="76" t="inlineStr">
        <is>
          <t>Battery</t>
        </is>
      </c>
      <c r="C50" s="76" t="n"/>
      <c r="D50" s="76" t="n"/>
      <c r="E50" s="76" t="n"/>
      <c r="F50" s="76" t="n"/>
      <c r="G50" s="76" t="n"/>
      <c r="H50" s="76" t="n"/>
      <c r="I50" s="76" t="n"/>
      <c r="J50" s="76" t="n">
        <v>0</v>
      </c>
      <c r="K50" s="76" t="n">
        <v>0</v>
      </c>
      <c r="L50" s="76" t="n">
        <v>-0.007333333333333333</v>
      </c>
      <c r="M50" s="76" t="n">
        <v>-0.007333333333333333</v>
      </c>
      <c r="N50" s="76" t="n">
        <v>-0.017</v>
      </c>
      <c r="O50" s="76" t="n">
        <v>-0.024</v>
      </c>
      <c r="P50" s="76" t="n">
        <v>-0.027</v>
      </c>
      <c r="Q50" s="76" t="n">
        <v>-0.0275</v>
      </c>
      <c r="R50" s="76" t="n">
        <v>-0.033</v>
      </c>
      <c r="S50" s="76" t="n">
        <v>-0.0355</v>
      </c>
      <c r="T50" s="76" t="n">
        <v>-0.03925</v>
      </c>
      <c r="U50" s="76" t="n">
        <v>-0.04325</v>
      </c>
      <c r="V50" s="76" t="n">
        <v>-0.04550000000000001</v>
      </c>
      <c r="W50" s="76" t="n">
        <v>-0.0475</v>
      </c>
      <c r="X50" s="76" t="n">
        <v>-0.049</v>
      </c>
      <c r="Y50" s="76" t="n">
        <v>-0.05</v>
      </c>
      <c r="Z50" s="76" t="n">
        <v>-0.05075</v>
      </c>
      <c r="AA50" s="76" t="n">
        <v>-0.05175</v>
      </c>
      <c r="AB50" s="76" t="n">
        <v>-0.052</v>
      </c>
      <c r="AC50" s="76" t="n">
        <v>-0.0525</v>
      </c>
      <c r="AD50" s="76" t="n">
        <v>-0.05275000000000001</v>
      </c>
      <c r="AE50" s="76" t="n">
        <v>-0.05275000000000001</v>
      </c>
      <c r="AF50" s="76" t="n">
        <v>-0.05275000000000001</v>
      </c>
      <c r="AG50" s="76" t="n">
        <v>-0.05300000000000001</v>
      </c>
      <c r="AH50" s="76" t="n">
        <v>-0.052</v>
      </c>
      <c r="AI50" s="76" t="n">
        <v>-0.05075</v>
      </c>
      <c r="AJ50" s="76" t="n">
        <v>-0.05</v>
      </c>
      <c r="AK50" s="76" t="n">
        <v>-0.0495</v>
      </c>
      <c r="AL50" s="76" t="n">
        <v>-0.04875</v>
      </c>
      <c r="AM50" s="76" t="n">
        <v>-0.0485</v>
      </c>
      <c r="AN50" s="76" t="n">
        <v>-0.04825</v>
      </c>
      <c r="AO50" s="76" t="n">
        <v>-0.04825</v>
      </c>
      <c r="AP50" s="76" t="n">
        <v>-0.048</v>
      </c>
      <c r="AQ50" s="76" t="n">
        <v>-0.04775</v>
      </c>
      <c r="AR50" s="76" t="n">
        <v>-0.04216406249999998</v>
      </c>
    </row>
    <row r="51">
      <c r="A51" s="76" t="inlineStr">
        <is>
          <t>AZ</t>
        </is>
      </c>
      <c r="B51" s="76" t="inlineStr">
        <is>
          <t>Biopower</t>
        </is>
      </c>
      <c r="C51" s="76" t="n">
        <v>0.123</v>
      </c>
      <c r="D51" s="76" t="n">
        <v>0.143</v>
      </c>
      <c r="E51" s="76" t="n">
        <v>0.162</v>
      </c>
      <c r="F51" s="76" t="n">
        <v>0.162</v>
      </c>
      <c r="G51" s="76" t="n">
        <v>0.162</v>
      </c>
      <c r="H51" s="76" t="n">
        <v>0.138</v>
      </c>
      <c r="I51" s="76" t="n">
        <v>0.111</v>
      </c>
      <c r="J51" s="76" t="n">
        <v>0.111</v>
      </c>
      <c r="K51" s="76" t="n">
        <v>0.111</v>
      </c>
      <c r="L51" s="76" t="n">
        <v>0.111</v>
      </c>
      <c r="M51" s="76" t="n">
        <v>0.111</v>
      </c>
      <c r="N51" s="76" t="n">
        <v>0.111</v>
      </c>
      <c r="O51" s="76" t="n">
        <v>0.111</v>
      </c>
      <c r="P51" s="76" t="n">
        <v>0.111</v>
      </c>
      <c r="Q51" s="76" t="n">
        <v>0.111</v>
      </c>
      <c r="R51" s="76" t="n">
        <v>0.111</v>
      </c>
      <c r="S51" s="76" t="n">
        <v>0.111</v>
      </c>
      <c r="T51" s="76" t="n">
        <v>0.111</v>
      </c>
      <c r="U51" s="76" t="n">
        <v>0.111</v>
      </c>
      <c r="V51" s="76" t="n">
        <v>0.111</v>
      </c>
      <c r="W51" s="76" t="n">
        <v>0.111</v>
      </c>
      <c r="X51" s="76" t="n">
        <v>0.111</v>
      </c>
      <c r="Y51" s="76" t="n">
        <v>0.111</v>
      </c>
      <c r="Z51" s="76" t="n">
        <v>0.111</v>
      </c>
      <c r="AA51" s="76" t="n">
        <v>0.111</v>
      </c>
      <c r="AB51" s="76" t="n">
        <v>0.111</v>
      </c>
      <c r="AC51" s="76" t="n">
        <v>0.107</v>
      </c>
      <c r="AD51" s="76" t="n">
        <v>0.103</v>
      </c>
      <c r="AE51" s="76" t="n">
        <v>0.099</v>
      </c>
      <c r="AF51" s="76" t="n">
        <v>0.096</v>
      </c>
      <c r="AG51" s="76" t="n">
        <v>0.092</v>
      </c>
      <c r="AH51" s="76" t="n">
        <v>0.09</v>
      </c>
      <c r="AI51" s="76" t="n">
        <v>0.08799999999999999</v>
      </c>
      <c r="AJ51" s="76" t="n">
        <v>0.08699999999999999</v>
      </c>
      <c r="AK51" s="76" t="n">
        <v>0.08500000000000001</v>
      </c>
      <c r="AL51" s="76" t="n">
        <v>0.08400000000000001</v>
      </c>
      <c r="AM51" s="76" t="n">
        <v>0.08400000000000001</v>
      </c>
      <c r="AN51" s="76" t="n">
        <v>0.08400000000000001</v>
      </c>
      <c r="AO51" s="76" t="n">
        <v>0.08400000000000001</v>
      </c>
      <c r="AP51" s="76" t="n">
        <v>0.08400000000000001</v>
      </c>
      <c r="AQ51" s="76" t="n">
        <v>0.08400000000000001</v>
      </c>
      <c r="AR51" s="76" t="n">
        <v>0.1088048780487805</v>
      </c>
    </row>
    <row r="52">
      <c r="A52" s="76" t="inlineStr">
        <is>
          <t>AZ</t>
        </is>
      </c>
      <c r="B52" s="76" t="inlineStr">
        <is>
          <t>Coal</t>
        </is>
      </c>
      <c r="C52" s="76" t="n">
        <v>0.846</v>
      </c>
      <c r="D52" s="76" t="n">
        <v>0.846</v>
      </c>
      <c r="E52" s="76" t="n">
        <v>0.846</v>
      </c>
      <c r="F52" s="76" t="n">
        <v>0.846</v>
      </c>
      <c r="G52" s="76" t="n">
        <v>0.846</v>
      </c>
      <c r="H52" s="76" t="n">
        <v>0.828</v>
      </c>
      <c r="I52" s="76" t="n">
        <v>0.8085</v>
      </c>
      <c r="J52" s="76" t="n">
        <v>0.825</v>
      </c>
      <c r="K52" s="76" t="n">
        <v>0.846</v>
      </c>
      <c r="L52" s="76" t="n">
        <v>0.82</v>
      </c>
      <c r="M52" s="76" t="n">
        <v>0.7865</v>
      </c>
      <c r="N52" s="76" t="n">
        <v>0.801</v>
      </c>
      <c r="O52" s="76" t="n">
        <v>0.8225</v>
      </c>
      <c r="P52" s="76" t="n">
        <v>0.8334999999999999</v>
      </c>
      <c r="Q52" s="76" t="n">
        <v>0.845</v>
      </c>
      <c r="R52" s="76" t="n">
        <v>0.8454999999999999</v>
      </c>
      <c r="S52" s="76" t="n">
        <v>0.846</v>
      </c>
      <c r="T52" s="76" t="n">
        <v>0.846</v>
      </c>
      <c r="U52" s="76" t="n">
        <v>0.846</v>
      </c>
      <c r="V52" s="76" t="n">
        <v>0.845</v>
      </c>
      <c r="W52" s="76" t="n">
        <v>0.844</v>
      </c>
      <c r="X52" s="76" t="n">
        <v>0.7805</v>
      </c>
      <c r="Y52" s="76" t="n">
        <v>0.6665</v>
      </c>
      <c r="Z52" s="76" t="n">
        <v>0.6665</v>
      </c>
      <c r="AA52" s="76" t="n">
        <v>0.6665</v>
      </c>
      <c r="AB52" s="76" t="n"/>
      <c r="AC52" s="76" t="n"/>
      <c r="AD52" s="76" t="n"/>
      <c r="AE52" s="76" t="n"/>
      <c r="AF52" s="76" t="n"/>
      <c r="AG52" s="76" t="n"/>
      <c r="AH52" s="76" t="n"/>
      <c r="AI52" s="76" t="n"/>
      <c r="AJ52" s="76" t="n"/>
      <c r="AK52" s="76" t="n"/>
      <c r="AL52" s="76" t="n"/>
      <c r="AM52" s="76" t="n"/>
      <c r="AN52" s="76" t="n"/>
      <c r="AO52" s="76" t="n"/>
      <c r="AP52" s="76" t="n"/>
      <c r="AQ52" s="76" t="n"/>
      <c r="AR52" s="76" t="n">
        <v>0.8119399999999998</v>
      </c>
    </row>
    <row r="53">
      <c r="A53" s="76" t="inlineStr">
        <is>
          <t>AZ</t>
        </is>
      </c>
      <c r="B53" s="76" t="inlineStr">
        <is>
          <t>CSP</t>
        </is>
      </c>
      <c r="C53" s="76" t="n">
        <v>0</v>
      </c>
      <c r="D53" s="76" t="n">
        <v>0</v>
      </c>
      <c r="E53" s="76" t="n">
        <v>0</v>
      </c>
      <c r="F53" s="76" t="n">
        <v>0.328</v>
      </c>
      <c r="G53" s="76" t="n">
        <v>0.3305</v>
      </c>
      <c r="H53" s="76" t="n">
        <v>0.3305</v>
      </c>
      <c r="I53" s="76" t="n">
        <v>0.3305</v>
      </c>
      <c r="J53" s="76" t="n">
        <v>0.3305</v>
      </c>
      <c r="K53" s="76" t="n">
        <v>0.3305</v>
      </c>
      <c r="L53" s="76" t="n">
        <v>0.3305</v>
      </c>
      <c r="M53" s="76" t="n">
        <v>0.3305</v>
      </c>
      <c r="N53" s="76" t="n">
        <v>0.3305</v>
      </c>
      <c r="O53" s="76" t="n">
        <v>0.3305</v>
      </c>
      <c r="P53" s="76" t="n">
        <v>0.3305</v>
      </c>
      <c r="Q53" s="76" t="n">
        <v>0.3305</v>
      </c>
      <c r="R53" s="76" t="n">
        <v>0.3305</v>
      </c>
      <c r="S53" s="76" t="n">
        <v>0.3305</v>
      </c>
      <c r="T53" s="76" t="n">
        <v>0.3305</v>
      </c>
      <c r="U53" s="76" t="n">
        <v>0.3305</v>
      </c>
      <c r="V53" s="76" t="n">
        <v>0.3305</v>
      </c>
      <c r="W53" s="76" t="n">
        <v>0.3305</v>
      </c>
      <c r="X53" s="76" t="n">
        <v>0.3305</v>
      </c>
      <c r="Y53" s="76" t="n">
        <v>0.3305</v>
      </c>
      <c r="Z53" s="76" t="n">
        <v>0.3305</v>
      </c>
      <c r="AA53" s="76" t="n">
        <v>0.3305</v>
      </c>
      <c r="AB53" s="76" t="n">
        <v>0.3305</v>
      </c>
      <c r="AC53" s="76" t="n">
        <v>0.5555</v>
      </c>
      <c r="AD53" s="76" t="n">
        <v>0.616</v>
      </c>
      <c r="AE53" s="76" t="n">
        <v>0.6445000000000001</v>
      </c>
      <c r="AF53" s="76" t="n">
        <v>0.661</v>
      </c>
      <c r="AG53" s="76" t="n">
        <v>0.6715</v>
      </c>
      <c r="AH53" s="76" t="n">
        <v>0.6805</v>
      </c>
      <c r="AI53" s="76" t="n">
        <v>0.6899999999999999</v>
      </c>
      <c r="AJ53" s="76" t="n">
        <v>0.6995</v>
      </c>
      <c r="AK53" s="76" t="n">
        <v>0.71</v>
      </c>
      <c r="AL53" s="76" t="n">
        <v>0.775</v>
      </c>
      <c r="AM53" s="76" t="n">
        <v>0.775</v>
      </c>
      <c r="AN53" s="76" t="n">
        <v>0.775</v>
      </c>
      <c r="AO53" s="76" t="n">
        <v>0.775</v>
      </c>
      <c r="AP53" s="76" t="n">
        <v>0.775</v>
      </c>
      <c r="AQ53" s="76" t="n">
        <v>0.775</v>
      </c>
      <c r="AR53" s="76" t="n">
        <v>0.4227333333333332</v>
      </c>
    </row>
    <row r="54">
      <c r="A54" s="76" t="inlineStr">
        <is>
          <t>AZ</t>
        </is>
      </c>
      <c r="B54" s="76" t="inlineStr">
        <is>
          <t>Dist PV</t>
        </is>
      </c>
      <c r="C54" s="76" t="n">
        <v>0.2205</v>
      </c>
      <c r="D54" s="76" t="n">
        <v>0.2205</v>
      </c>
      <c r="E54" s="76" t="n">
        <v>0.2205</v>
      </c>
      <c r="F54" s="76" t="n">
        <v>0.2205</v>
      </c>
      <c r="G54" s="76" t="n">
        <v>0.2205</v>
      </c>
      <c r="H54" s="76" t="n">
        <v>0.2205</v>
      </c>
      <c r="I54" s="76" t="n">
        <v>0.2205</v>
      </c>
      <c r="J54" s="76" t="n">
        <v>0.2205</v>
      </c>
      <c r="K54" s="76" t="n">
        <v>0.2205</v>
      </c>
      <c r="L54" s="76" t="n">
        <v>0.2205</v>
      </c>
      <c r="M54" s="76" t="n">
        <v>0.2205</v>
      </c>
      <c r="N54" s="76" t="n">
        <v>0.2205</v>
      </c>
      <c r="O54" s="76" t="n">
        <v>0.2205</v>
      </c>
      <c r="P54" s="76" t="n">
        <v>0.2195</v>
      </c>
      <c r="Q54" s="76" t="n">
        <v>0.21875</v>
      </c>
      <c r="R54" s="76" t="n">
        <v>0.20825</v>
      </c>
      <c r="S54" s="76" t="n">
        <v>0.19825</v>
      </c>
      <c r="T54" s="76" t="n">
        <v>0.205</v>
      </c>
      <c r="U54" s="76" t="n">
        <v>0.21125</v>
      </c>
      <c r="V54" s="76" t="n">
        <v>0.21575</v>
      </c>
      <c r="W54" s="76" t="n">
        <v>0.2205</v>
      </c>
      <c r="X54" s="76" t="n">
        <v>0.2205</v>
      </c>
      <c r="Y54" s="76" t="n">
        <v>0.2205</v>
      </c>
      <c r="Z54" s="76" t="n">
        <v>0.20425</v>
      </c>
      <c r="AA54" s="76" t="n">
        <v>0.1895</v>
      </c>
      <c r="AB54" s="76" t="n">
        <v>0.1745</v>
      </c>
      <c r="AC54" s="76" t="n">
        <v>0.1805</v>
      </c>
      <c r="AD54" s="76" t="n">
        <v>0.186</v>
      </c>
      <c r="AE54" s="76" t="n">
        <v>0.1915</v>
      </c>
      <c r="AF54" s="76" t="n">
        <v>0.1965</v>
      </c>
      <c r="AG54" s="76" t="n">
        <v>0.2015</v>
      </c>
      <c r="AH54" s="76" t="n">
        <v>0.20525</v>
      </c>
      <c r="AI54" s="76" t="n">
        <v>0.20925</v>
      </c>
      <c r="AJ54" s="76" t="n">
        <v>0.213</v>
      </c>
      <c r="AK54" s="76" t="n">
        <v>0.21675</v>
      </c>
      <c r="AL54" s="76" t="n">
        <v>0.2205</v>
      </c>
      <c r="AM54" s="76" t="n">
        <v>0.2195</v>
      </c>
      <c r="AN54" s="76" t="n">
        <v>0.21875</v>
      </c>
      <c r="AO54" s="76" t="n">
        <v>0.21775</v>
      </c>
      <c r="AP54" s="76" t="n">
        <v>0.217</v>
      </c>
      <c r="AQ54" s="76" t="n">
        <v>0.21625</v>
      </c>
      <c r="AR54" s="76" t="n">
        <v>0.2117804878048781</v>
      </c>
    </row>
    <row r="55">
      <c r="A55" s="76" t="inlineStr">
        <is>
          <t>AZ</t>
        </is>
      </c>
      <c r="B55" s="76" t="inlineStr">
        <is>
          <t>Gas CCGT</t>
        </is>
      </c>
      <c r="C55" s="76" t="n">
        <v>0.1955</v>
      </c>
      <c r="D55" s="76" t="n">
        <v>0.2245</v>
      </c>
      <c r="E55" s="76" t="n">
        <v>0.253</v>
      </c>
      <c r="F55" s="76" t="n">
        <v>0.272</v>
      </c>
      <c r="G55" s="76" t="n">
        <v>0.2905</v>
      </c>
      <c r="H55" s="76" t="n">
        <v>0.294</v>
      </c>
      <c r="I55" s="76" t="n">
        <v>0.297</v>
      </c>
      <c r="J55" s="76" t="n">
        <v>0.283</v>
      </c>
      <c r="K55" s="76" t="n">
        <v>0.2695</v>
      </c>
      <c r="L55" s="76" t="n">
        <v>0.2705</v>
      </c>
      <c r="M55" s="76" t="n">
        <v>0.272</v>
      </c>
      <c r="N55" s="76" t="n">
        <v>0.2325</v>
      </c>
      <c r="O55" s="76" t="n">
        <v>0.1925</v>
      </c>
      <c r="P55" s="76" t="n">
        <v>0.1725</v>
      </c>
      <c r="Q55" s="76" t="n">
        <v>0.1525</v>
      </c>
      <c r="R55" s="76" t="n">
        <v>0.14</v>
      </c>
      <c r="S55" s="76" t="n">
        <v>0.1285</v>
      </c>
      <c r="T55" s="76" t="n">
        <v>0.119</v>
      </c>
      <c r="U55" s="76" t="n">
        <v>0.11</v>
      </c>
      <c r="V55" s="76" t="n">
        <v>0.1095</v>
      </c>
      <c r="W55" s="76" t="n">
        <v>0.109</v>
      </c>
      <c r="X55" s="76" t="n">
        <v>0.0795</v>
      </c>
      <c r="Y55" s="76" t="n">
        <v>0.0495</v>
      </c>
      <c r="Z55" s="76" t="n">
        <v>0.0475</v>
      </c>
      <c r="AA55" s="76" t="n">
        <v>0.0455</v>
      </c>
      <c r="AB55" s="76" t="n">
        <v>0.0435</v>
      </c>
      <c r="AC55" s="76" t="n">
        <v>0.039</v>
      </c>
      <c r="AD55" s="76" t="n">
        <v>0.0345</v>
      </c>
      <c r="AE55" s="76" t="n">
        <v>0.03</v>
      </c>
      <c r="AF55" s="76" t="n">
        <v>0.026</v>
      </c>
      <c r="AG55" s="76" t="n">
        <v>0.0215</v>
      </c>
      <c r="AH55" s="76" t="n">
        <v>0.0215</v>
      </c>
      <c r="AI55" s="76" t="n">
        <v>0.0215</v>
      </c>
      <c r="AJ55" s="76" t="n">
        <v>0.0215</v>
      </c>
      <c r="AK55" s="76" t="n">
        <v>0.021</v>
      </c>
      <c r="AL55" s="76" t="n">
        <v>0.021</v>
      </c>
      <c r="AM55" s="76" t="n">
        <v>0.0195</v>
      </c>
      <c r="AN55" s="76" t="n">
        <v>0.0175</v>
      </c>
      <c r="AO55" s="76" t="n">
        <v>0.016</v>
      </c>
      <c r="AP55" s="76" t="n">
        <v>0.0145</v>
      </c>
      <c r="AQ55" s="76" t="n">
        <v>0.013</v>
      </c>
      <c r="AR55" s="76" t="n">
        <v>0.1217317073170731</v>
      </c>
    </row>
    <row r="56">
      <c r="A56" s="76" t="inlineStr">
        <is>
          <t>AZ</t>
        </is>
      </c>
      <c r="B56" s="76" t="inlineStr">
        <is>
          <t>Gas CT</t>
        </is>
      </c>
      <c r="C56" s="76" t="n">
        <v>0</v>
      </c>
      <c r="D56" s="76" t="n">
        <v>0</v>
      </c>
      <c r="E56" s="76" t="n">
        <v>0</v>
      </c>
      <c r="F56" s="76" t="n">
        <v>0</v>
      </c>
      <c r="G56" s="76" t="n">
        <v>0</v>
      </c>
      <c r="H56" s="76" t="n">
        <v>0</v>
      </c>
      <c r="I56" s="76" t="n">
        <v>0</v>
      </c>
      <c r="J56" s="76" t="n">
        <v>0</v>
      </c>
      <c r="K56" s="76" t="n">
        <v>0</v>
      </c>
      <c r="L56" s="76" t="n">
        <v>0</v>
      </c>
      <c r="M56" s="76" t="n">
        <v>0</v>
      </c>
      <c r="N56" s="76" t="n">
        <v>0</v>
      </c>
      <c r="O56" s="76" t="n">
        <v>0</v>
      </c>
      <c r="P56" s="76" t="n">
        <v>0</v>
      </c>
      <c r="Q56" s="76" t="n">
        <v>0</v>
      </c>
      <c r="R56" s="76" t="n">
        <v>0</v>
      </c>
      <c r="S56" s="76" t="n">
        <v>0</v>
      </c>
      <c r="T56" s="76" t="n">
        <v>0</v>
      </c>
      <c r="U56" s="76" t="n">
        <v>0</v>
      </c>
      <c r="V56" s="76" t="n">
        <v>0</v>
      </c>
      <c r="W56" s="76" t="n">
        <v>0</v>
      </c>
      <c r="X56" s="76" t="n">
        <v>0</v>
      </c>
      <c r="Y56" s="76" t="n">
        <v>0</v>
      </c>
      <c r="Z56" s="76" t="n">
        <v>0</v>
      </c>
      <c r="AA56" s="76" t="n">
        <v>0</v>
      </c>
      <c r="AB56" s="76" t="n">
        <v>0</v>
      </c>
      <c r="AC56" s="76" t="n">
        <v>0</v>
      </c>
      <c r="AD56" s="76" t="n">
        <v>0</v>
      </c>
      <c r="AE56" s="76" t="n">
        <v>0</v>
      </c>
      <c r="AF56" s="76" t="n">
        <v>0</v>
      </c>
      <c r="AG56" s="76" t="n">
        <v>0</v>
      </c>
      <c r="AH56" s="76" t="n">
        <v>0</v>
      </c>
      <c r="AI56" s="76" t="n">
        <v>0</v>
      </c>
      <c r="AJ56" s="76" t="n">
        <v>0</v>
      </c>
      <c r="AK56" s="76" t="n">
        <v>0</v>
      </c>
      <c r="AL56" s="76" t="n">
        <v>0</v>
      </c>
      <c r="AM56" s="76" t="n">
        <v>0</v>
      </c>
      <c r="AN56" s="76" t="n">
        <v>0</v>
      </c>
      <c r="AO56" s="76" t="n">
        <v>0</v>
      </c>
      <c r="AP56" s="76" t="n">
        <v>0</v>
      </c>
      <c r="AQ56" s="76" t="n">
        <v>0</v>
      </c>
      <c r="AR56" s="76" t="n">
        <v>0</v>
      </c>
    </row>
    <row r="57">
      <c r="A57" s="76" t="inlineStr">
        <is>
          <t>AZ</t>
        </is>
      </c>
      <c r="B57" s="76" t="inlineStr">
        <is>
          <t>Geothermal</t>
        </is>
      </c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</row>
    <row r="58">
      <c r="A58" s="76" t="inlineStr">
        <is>
          <t>AZ</t>
        </is>
      </c>
      <c r="B58" s="76" t="inlineStr">
        <is>
          <t>Hydro</t>
        </is>
      </c>
      <c r="C58" s="76" t="n">
        <v>0.2865</v>
      </c>
      <c r="D58" s="76" t="n">
        <v>0.3165</v>
      </c>
      <c r="E58" s="76" t="n">
        <v>0.347</v>
      </c>
      <c r="F58" s="76" t="n">
        <v>0.3065</v>
      </c>
      <c r="G58" s="76" t="n">
        <v>0.2665</v>
      </c>
      <c r="H58" s="76" t="n">
        <v>0.2825</v>
      </c>
      <c r="I58" s="76" t="n">
        <v>0.298</v>
      </c>
      <c r="J58" s="76" t="n">
        <v>0.298</v>
      </c>
      <c r="K58" s="76" t="n">
        <v>0.298</v>
      </c>
      <c r="L58" s="76" t="n">
        <v>0.304</v>
      </c>
      <c r="M58" s="76" t="n">
        <v>0.3095</v>
      </c>
      <c r="N58" s="76" t="n">
        <v>0.3090000000000001</v>
      </c>
      <c r="O58" s="76" t="n">
        <v>0.3090000000000001</v>
      </c>
      <c r="P58" s="76" t="n">
        <v>0.3095</v>
      </c>
      <c r="Q58" s="76" t="n">
        <v>0.3105</v>
      </c>
      <c r="R58" s="76" t="n">
        <v>0.31</v>
      </c>
      <c r="S58" s="76" t="n">
        <v>0.3095</v>
      </c>
      <c r="T58" s="76" t="n">
        <v>0.3085</v>
      </c>
      <c r="U58" s="76" t="n">
        <v>0.3070000000000001</v>
      </c>
      <c r="V58" s="76" t="n">
        <v>0.3065</v>
      </c>
      <c r="W58" s="76" t="n">
        <v>0.3065</v>
      </c>
      <c r="X58" s="76" t="n">
        <v>0.3065</v>
      </c>
      <c r="Y58" s="76" t="n">
        <v>0.306</v>
      </c>
      <c r="Z58" s="76" t="n">
        <v>0.3065</v>
      </c>
      <c r="AA58" s="76" t="n">
        <v>0.3070000000000001</v>
      </c>
      <c r="AB58" s="76" t="n">
        <v>0.3075</v>
      </c>
      <c r="AC58" s="76" t="n">
        <v>0.3075</v>
      </c>
      <c r="AD58" s="76" t="n">
        <v>0.3075</v>
      </c>
      <c r="AE58" s="76" t="n">
        <v>0.3075</v>
      </c>
      <c r="AF58" s="76" t="n">
        <v>0.3075</v>
      </c>
      <c r="AG58" s="76" t="n">
        <v>0.3080000000000001</v>
      </c>
      <c r="AH58" s="76" t="n">
        <v>0.3075</v>
      </c>
      <c r="AI58" s="76" t="n">
        <v>0.3075</v>
      </c>
      <c r="AJ58" s="76" t="n">
        <v>0.3075</v>
      </c>
      <c r="AK58" s="76" t="n">
        <v>0.3070000000000001</v>
      </c>
      <c r="AL58" s="76" t="n">
        <v>0.3070000000000001</v>
      </c>
      <c r="AM58" s="76" t="n">
        <v>0.3025</v>
      </c>
      <c r="AN58" s="76" t="n">
        <v>0.2985</v>
      </c>
      <c r="AO58" s="76" t="n">
        <v>0.294</v>
      </c>
      <c r="AP58" s="76" t="n">
        <v>0.2905</v>
      </c>
      <c r="AQ58" s="76" t="n">
        <v>0.286</v>
      </c>
      <c r="AR58" s="76" t="n">
        <v>0.3043536585365851</v>
      </c>
    </row>
    <row r="59">
      <c r="A59" s="76" t="inlineStr">
        <is>
          <t>AZ</t>
        </is>
      </c>
      <c r="B59" s="76" t="inlineStr">
        <is>
          <t>Nuclear</t>
        </is>
      </c>
      <c r="C59" s="76" t="n">
        <v>0.902</v>
      </c>
      <c r="D59" s="76" t="n">
        <v>0.902</v>
      </c>
      <c r="E59" s="76" t="n">
        <v>0.902</v>
      </c>
      <c r="F59" s="76" t="n">
        <v>0.902</v>
      </c>
      <c r="G59" s="76" t="n">
        <v>0.902</v>
      </c>
      <c r="H59" s="76" t="n">
        <v>0.902</v>
      </c>
      <c r="I59" s="76" t="n">
        <v>0.902</v>
      </c>
      <c r="J59" s="76" t="n">
        <v>0.902</v>
      </c>
      <c r="K59" s="76" t="n">
        <v>0.902</v>
      </c>
      <c r="L59" s="76" t="n">
        <v>0.902</v>
      </c>
      <c r="M59" s="76" t="n">
        <v>0.902</v>
      </c>
      <c r="N59" s="76" t="n">
        <v>0.902</v>
      </c>
      <c r="O59" s="76" t="n">
        <v>0.902</v>
      </c>
      <c r="P59" s="76" t="n">
        <v>0.902</v>
      </c>
      <c r="Q59" s="76" t="n">
        <v>0.902</v>
      </c>
      <c r="R59" s="76" t="n">
        <v>0.902</v>
      </c>
      <c r="S59" s="76" t="n">
        <v>0.902</v>
      </c>
      <c r="T59" s="76" t="n">
        <v>0.902</v>
      </c>
      <c r="U59" s="76" t="n">
        <v>0.902</v>
      </c>
      <c r="V59" s="76" t="n">
        <v>0.902</v>
      </c>
      <c r="W59" s="76" t="n">
        <v>0.902</v>
      </c>
      <c r="X59" s="76" t="n">
        <v>0.902</v>
      </c>
      <c r="Y59" s="76" t="n">
        <v>0.902</v>
      </c>
      <c r="Z59" s="76" t="n">
        <v>0.902</v>
      </c>
      <c r="AA59" s="76" t="n">
        <v>0.902</v>
      </c>
      <c r="AB59" s="76" t="n">
        <v>0.902</v>
      </c>
      <c r="AC59" s="76" t="n">
        <v>0.877</v>
      </c>
      <c r="AD59" s="76" t="n">
        <v>0.852</v>
      </c>
      <c r="AE59" s="76" t="n">
        <v>0.827</v>
      </c>
      <c r="AF59" s="76" t="n">
        <v>0.802</v>
      </c>
      <c r="AG59" s="76" t="n">
        <v>0.777</v>
      </c>
      <c r="AH59" s="76" t="n">
        <v>0.758</v>
      </c>
      <c r="AI59" s="76" t="n">
        <v>0.738</v>
      </c>
      <c r="AJ59" s="76" t="n">
        <v>0.719</v>
      </c>
      <c r="AK59" s="76" t="n">
        <v>0.699</v>
      </c>
      <c r="AL59" s="76" t="n">
        <v>0.68</v>
      </c>
      <c r="AM59" s="76" t="n">
        <v>0.68</v>
      </c>
      <c r="AN59" s="76" t="n">
        <v>0.68</v>
      </c>
      <c r="AO59" s="76" t="n">
        <v>0.68</v>
      </c>
      <c r="AP59" s="76" t="n">
        <v>0.68</v>
      </c>
      <c r="AQ59" s="76" t="n">
        <v>0.68</v>
      </c>
      <c r="AR59" s="76" t="n">
        <v>0.843439024390244</v>
      </c>
    </row>
    <row r="60">
      <c r="A60" s="76" t="inlineStr">
        <is>
          <t>AZ</t>
        </is>
      </c>
      <c r="B60" s="76" t="inlineStr">
        <is>
          <t>Other</t>
        </is>
      </c>
      <c r="C60" s="76" t="n">
        <v>0</v>
      </c>
      <c r="D60" s="76" t="n">
        <v>0</v>
      </c>
      <c r="E60" s="76" t="n">
        <v>0</v>
      </c>
      <c r="F60" s="76" t="n">
        <v>0</v>
      </c>
      <c r="G60" s="76" t="n">
        <v>0</v>
      </c>
      <c r="H60" s="76" t="n">
        <v>0</v>
      </c>
      <c r="I60" s="76" t="n">
        <v>0</v>
      </c>
      <c r="J60" s="76" t="n">
        <v>0</v>
      </c>
      <c r="K60" s="76" t="n">
        <v>0</v>
      </c>
      <c r="L60" s="76" t="n">
        <v>0</v>
      </c>
      <c r="M60" s="76" t="n">
        <v>0</v>
      </c>
      <c r="N60" s="76" t="n">
        <v>0</v>
      </c>
      <c r="O60" s="76" t="n">
        <v>0</v>
      </c>
      <c r="P60" s="76" t="n">
        <v>0</v>
      </c>
      <c r="Q60" s="76" t="n">
        <v>0</v>
      </c>
      <c r="R60" s="76" t="n">
        <v>0</v>
      </c>
      <c r="S60" s="76" t="n">
        <v>0</v>
      </c>
      <c r="T60" s="76" t="n">
        <v>0</v>
      </c>
      <c r="U60" s="76" t="n">
        <v>0</v>
      </c>
      <c r="V60" s="76" t="n">
        <v>0</v>
      </c>
      <c r="W60" s="76" t="n">
        <v>0</v>
      </c>
      <c r="X60" s="76" t="n">
        <v>0</v>
      </c>
      <c r="Y60" s="76" t="n">
        <v>0</v>
      </c>
      <c r="Z60" s="76" t="n">
        <v>0</v>
      </c>
      <c r="AA60" s="76" t="n">
        <v>0</v>
      </c>
      <c r="AB60" s="76" t="n">
        <v>0</v>
      </c>
      <c r="AC60" s="76" t="n">
        <v>0</v>
      </c>
      <c r="AD60" s="76" t="n">
        <v>0</v>
      </c>
      <c r="AE60" s="76" t="n">
        <v>0</v>
      </c>
      <c r="AF60" s="76" t="n">
        <v>0</v>
      </c>
      <c r="AG60" s="76" t="n">
        <v>0</v>
      </c>
      <c r="AH60" s="76" t="n">
        <v>0</v>
      </c>
      <c r="AI60" s="76" t="n">
        <v>0</v>
      </c>
      <c r="AJ60" s="76" t="n">
        <v>0</v>
      </c>
      <c r="AK60" s="76" t="n">
        <v>0</v>
      </c>
      <c r="AL60" s="76" t="n"/>
      <c r="AM60" s="76" t="n"/>
      <c r="AN60" s="76" t="n"/>
      <c r="AO60" s="76" t="n"/>
      <c r="AP60" s="76" t="n"/>
      <c r="AQ60" s="76" t="n"/>
      <c r="AR60" s="76" t="n">
        <v>0</v>
      </c>
    </row>
    <row r="61">
      <c r="A61" s="76" t="inlineStr">
        <is>
          <t>AZ</t>
        </is>
      </c>
      <c r="B61" s="76" t="inlineStr">
        <is>
          <t>Utility PV</t>
        </is>
      </c>
      <c r="C61" s="76" t="n">
        <v>0.309</v>
      </c>
      <c r="D61" s="76" t="n">
        <v>0.3056666666666667</v>
      </c>
      <c r="E61" s="76" t="n">
        <v>0.3056666666666667</v>
      </c>
      <c r="F61" s="76" t="n">
        <v>0.30675</v>
      </c>
      <c r="G61" s="76" t="n">
        <v>0.30625</v>
      </c>
      <c r="H61" s="76" t="n">
        <v>0.305</v>
      </c>
      <c r="I61" s="76" t="n">
        <v>0.30425</v>
      </c>
      <c r="J61" s="76" t="n">
        <v>0.3035</v>
      </c>
      <c r="K61" s="76" t="n">
        <v>0.30225</v>
      </c>
      <c r="L61" s="76" t="n">
        <v>0.30225</v>
      </c>
      <c r="M61" s="76" t="n">
        <v>0.301</v>
      </c>
      <c r="N61" s="76" t="n">
        <v>0.2985</v>
      </c>
      <c r="O61" s="76" t="n">
        <v>0.2975</v>
      </c>
      <c r="P61" s="76" t="n">
        <v>0.29675</v>
      </c>
      <c r="Q61" s="76" t="n">
        <v>0.29575</v>
      </c>
      <c r="R61" s="76" t="n">
        <v>0.29125</v>
      </c>
      <c r="S61" s="76" t="n">
        <v>0.2885</v>
      </c>
      <c r="T61" s="76" t="n">
        <v>0.2875</v>
      </c>
      <c r="U61" s="76" t="n">
        <v>0.2855</v>
      </c>
      <c r="V61" s="76" t="n">
        <v>0.28325</v>
      </c>
      <c r="W61" s="76" t="n">
        <v>0.28075</v>
      </c>
      <c r="X61" s="76" t="n">
        <v>0.2805</v>
      </c>
      <c r="Y61" s="76" t="n">
        <v>0.2805</v>
      </c>
      <c r="Z61" s="76" t="n">
        <v>0.279</v>
      </c>
      <c r="AA61" s="76" t="n">
        <v>0.27725</v>
      </c>
      <c r="AB61" s="76" t="n">
        <v>0.2757500000000001</v>
      </c>
      <c r="AC61" s="76" t="n">
        <v>0.2745</v>
      </c>
      <c r="AD61" s="76" t="n">
        <v>0.273</v>
      </c>
      <c r="AE61" s="76" t="n">
        <v>0.2715</v>
      </c>
      <c r="AF61" s="76" t="n">
        <v>0.27</v>
      </c>
      <c r="AG61" s="76" t="n">
        <v>0.2685</v>
      </c>
      <c r="AH61" s="76" t="n">
        <v>0.27125</v>
      </c>
      <c r="AI61" s="76" t="n">
        <v>0.273</v>
      </c>
      <c r="AJ61" s="76" t="n">
        <v>0.27425</v>
      </c>
      <c r="AK61" s="76" t="n">
        <v>0.27525</v>
      </c>
      <c r="AL61" s="76" t="n">
        <v>0.27625</v>
      </c>
      <c r="AM61" s="76" t="n">
        <v>0.27625</v>
      </c>
      <c r="AN61" s="76" t="n">
        <v>0.277</v>
      </c>
      <c r="AO61" s="76" t="n">
        <v>0.277</v>
      </c>
      <c r="AP61" s="76" t="n">
        <v>0.27725</v>
      </c>
      <c r="AQ61" s="76" t="n">
        <v>0.278</v>
      </c>
      <c r="AR61" s="76" t="n">
        <v>0.2863875</v>
      </c>
    </row>
    <row r="62">
      <c r="A62" s="76" t="inlineStr">
        <is>
          <t>AZ</t>
        </is>
      </c>
      <c r="B62" s="76" t="inlineStr">
        <is>
          <t>Wind offshore</t>
        </is>
      </c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</row>
    <row r="63">
      <c r="A63" s="76" t="inlineStr">
        <is>
          <t>AZ</t>
        </is>
      </c>
      <c r="B63" s="76" t="inlineStr">
        <is>
          <t>Wind onshore</t>
        </is>
      </c>
      <c r="C63" s="76" t="n">
        <v>0.312</v>
      </c>
      <c r="D63" s="76" t="n">
        <v>0.3285</v>
      </c>
      <c r="E63" s="76" t="n">
        <v>0.3285</v>
      </c>
      <c r="F63" s="76" t="n">
        <v>0.3285</v>
      </c>
      <c r="G63" s="76" t="n">
        <v>0.3285</v>
      </c>
      <c r="H63" s="76" t="n">
        <v>0.3265</v>
      </c>
      <c r="I63" s="76" t="n">
        <v>0.325</v>
      </c>
      <c r="J63" s="76" t="n">
        <v>0.3215</v>
      </c>
      <c r="K63" s="76" t="n">
        <v>0.3175</v>
      </c>
      <c r="L63" s="76" t="n">
        <v>0.334</v>
      </c>
      <c r="M63" s="76" t="n">
        <v>0.3355</v>
      </c>
      <c r="N63" s="76" t="n">
        <v>0.34</v>
      </c>
      <c r="O63" s="76" t="n">
        <v>0.345</v>
      </c>
      <c r="P63" s="76" t="n">
        <v>0.3336666666666666</v>
      </c>
      <c r="Q63" s="76" t="n">
        <v>0.3203333333333334</v>
      </c>
      <c r="R63" s="76" t="n">
        <v>0.33</v>
      </c>
      <c r="S63" s="76" t="n">
        <v>0.331</v>
      </c>
      <c r="T63" s="76" t="n">
        <v>0.3266666666666667</v>
      </c>
      <c r="U63" s="76" t="n">
        <v>0.3246666666666667</v>
      </c>
      <c r="V63" s="76" t="n">
        <v>0.3126666666666666</v>
      </c>
      <c r="W63" s="76" t="n">
        <v>0.3123333333333334</v>
      </c>
      <c r="X63" s="76" t="n">
        <v>0.318</v>
      </c>
      <c r="Y63" s="76" t="n">
        <v>0.3203333333333334</v>
      </c>
      <c r="Z63" s="76" t="n">
        <v>0.3193333333333333</v>
      </c>
      <c r="AA63" s="76" t="n">
        <v>0.318</v>
      </c>
      <c r="AB63" s="76" t="n">
        <v>0.3163333333333334</v>
      </c>
      <c r="AC63" s="76" t="n">
        <v>0.317</v>
      </c>
      <c r="AD63" s="76" t="n">
        <v>0.3173333333333333</v>
      </c>
      <c r="AE63" s="76" t="n">
        <v>0.3173333333333333</v>
      </c>
      <c r="AF63" s="76" t="n">
        <v>0.317</v>
      </c>
      <c r="AG63" s="76" t="n">
        <v>0.3166666666666667</v>
      </c>
      <c r="AH63" s="76" t="n">
        <v>0.3193333333333333</v>
      </c>
      <c r="AI63" s="76" t="n">
        <v>0.3216666666666666</v>
      </c>
      <c r="AJ63" s="76" t="n">
        <v>0.3243333333333334</v>
      </c>
      <c r="AK63" s="76" t="n">
        <v>0.3266666666666667</v>
      </c>
      <c r="AL63" s="76" t="n">
        <v>0.3296666666666666</v>
      </c>
      <c r="AM63" s="76" t="n">
        <v>0.3303333333333334</v>
      </c>
      <c r="AN63" s="76" t="n">
        <v>0.3316666666666666</v>
      </c>
      <c r="AO63" s="76" t="n">
        <v>0.333</v>
      </c>
      <c r="AP63" s="76" t="n">
        <v>0.335</v>
      </c>
      <c r="AQ63" s="76" t="n">
        <v>0.337</v>
      </c>
      <c r="AR63" s="76" t="n">
        <v>0.3247889908256881</v>
      </c>
    </row>
    <row r="64">
      <c r="A64" s="76" t="inlineStr">
        <is>
          <t>CA</t>
        </is>
      </c>
      <c r="B64" s="76" t="inlineStr">
        <is>
          <t>CA</t>
        </is>
      </c>
      <c r="C64" s="76" t="n">
        <v>0.3333714285714285</v>
      </c>
      <c r="D64" s="76" t="n">
        <v>0.2876923076923076</v>
      </c>
      <c r="E64" s="76" t="n">
        <v>0.266</v>
      </c>
      <c r="F64" s="76" t="n">
        <v>0.26345</v>
      </c>
      <c r="G64" s="76" t="n">
        <v>0.2576052631578948</v>
      </c>
      <c r="H64" s="76" t="n">
        <v>0.2550526315789473</v>
      </c>
      <c r="I64" s="76" t="n">
        <v>0.2365675675675675</v>
      </c>
      <c r="J64" s="76" t="n">
        <v>0.2352972972972973</v>
      </c>
      <c r="K64" s="76" t="n">
        <v>0.2343783783783784</v>
      </c>
      <c r="L64" s="76" t="n">
        <v>0.2282702702702703</v>
      </c>
      <c r="M64" s="76" t="n">
        <v>0.2248378378378378</v>
      </c>
      <c r="N64" s="76" t="n">
        <v>0.2170263157894737</v>
      </c>
      <c r="O64" s="76" t="n">
        <v>0.2154999999999999</v>
      </c>
      <c r="P64" s="76" t="n">
        <v>0.2168205128205128</v>
      </c>
      <c r="Q64" s="76" t="n">
        <v>0.216948717948718</v>
      </c>
      <c r="R64" s="76" t="n">
        <v>0.2134102564102564</v>
      </c>
      <c r="S64" s="76" t="n">
        <v>0.1917105263157895</v>
      </c>
      <c r="T64" s="76" t="n">
        <v>0.1894102564102564</v>
      </c>
      <c r="U64" s="76" t="n">
        <v>0.184025641025641</v>
      </c>
      <c r="V64" s="76" t="n">
        <v>0.1832820512820513</v>
      </c>
      <c r="W64" s="76" t="n">
        <v>0.1822051282051282</v>
      </c>
      <c r="X64" s="76" t="n">
        <v>0.19045</v>
      </c>
      <c r="Y64" s="76" t="n">
        <v>0.192275</v>
      </c>
      <c r="Z64" s="76" t="n">
        <v>0.1955</v>
      </c>
      <c r="AA64" s="76" t="n">
        <v>0.19915</v>
      </c>
      <c r="AB64" s="76" t="n">
        <v>0.202775</v>
      </c>
      <c r="AC64" s="76" t="n">
        <v>0.202325</v>
      </c>
      <c r="AD64" s="76" t="n">
        <v>0.2020999999999999</v>
      </c>
      <c r="AE64" s="76" t="n">
        <v>0.202</v>
      </c>
      <c r="AF64" s="76" t="n">
        <v>0.202325</v>
      </c>
      <c r="AG64" s="76" t="n">
        <v>0.2016923076923077</v>
      </c>
      <c r="AH64" s="76" t="n">
        <v>0.2013333333333334</v>
      </c>
      <c r="AI64" s="76" t="n">
        <v>0.2009230769230769</v>
      </c>
      <c r="AJ64" s="76" t="n">
        <v>0.2004871794871795</v>
      </c>
      <c r="AK64" s="76" t="n">
        <v>0.2001282051282051</v>
      </c>
      <c r="AL64" s="76" t="n">
        <v>0.2105405405405406</v>
      </c>
      <c r="AM64" s="76" t="n">
        <v>0.2107837837837838</v>
      </c>
      <c r="AN64" s="76" t="n">
        <v>0.2111621621621621</v>
      </c>
      <c r="AO64" s="76" t="n">
        <v>0.2115135135135136</v>
      </c>
      <c r="AP64" s="76" t="n">
        <v>0.2117297297297298</v>
      </c>
      <c r="AQ64" s="76" t="n">
        <v>0.2121351351351351</v>
      </c>
      <c r="AR64" s="76" t="n">
        <v>0.2164771863117871</v>
      </c>
    </row>
    <row r="65">
      <c r="A65" s="76" t="inlineStr">
        <is>
          <t>CA</t>
        </is>
      </c>
      <c r="B65" s="76" t="inlineStr">
        <is>
          <t>Battery</t>
        </is>
      </c>
      <c r="C65" s="76" t="n"/>
      <c r="D65" s="76" t="n">
        <v>0</v>
      </c>
      <c r="E65" s="76" t="n">
        <v>0</v>
      </c>
      <c r="F65" s="76" t="n">
        <v>0</v>
      </c>
      <c r="G65" s="76" t="n">
        <v>0</v>
      </c>
      <c r="H65" s="76" t="n">
        <v>0</v>
      </c>
      <c r="I65" s="76" t="n">
        <v>0</v>
      </c>
      <c r="J65" s="76" t="n">
        <v>0</v>
      </c>
      <c r="K65" s="76" t="n">
        <v>0</v>
      </c>
      <c r="L65" s="76" t="n">
        <v>-0.004</v>
      </c>
      <c r="M65" s="76" t="n">
        <v>-0.005333333333333333</v>
      </c>
      <c r="N65" s="76" t="n">
        <v>-0.00825</v>
      </c>
      <c r="O65" s="76" t="n">
        <v>-0.008750000000000001</v>
      </c>
      <c r="P65" s="76" t="n">
        <v>-0.0135</v>
      </c>
      <c r="Q65" s="76" t="n">
        <v>-0.016</v>
      </c>
      <c r="R65" s="76" t="n">
        <v>-0.01975</v>
      </c>
      <c r="S65" s="76" t="n">
        <v>-0.023</v>
      </c>
      <c r="T65" s="76" t="n">
        <v>-0.032</v>
      </c>
      <c r="U65" s="76" t="n">
        <v>-0.04</v>
      </c>
      <c r="V65" s="76" t="n">
        <v>-0.04275</v>
      </c>
      <c r="W65" s="76" t="n">
        <v>-0.04525</v>
      </c>
      <c r="X65" s="76" t="n">
        <v>-0.04525</v>
      </c>
      <c r="Y65" s="76" t="n">
        <v>-0.045</v>
      </c>
      <c r="Z65" s="76" t="n">
        <v>-0.044</v>
      </c>
      <c r="AA65" s="76" t="n">
        <v>-0.04225</v>
      </c>
      <c r="AB65" s="76" t="n">
        <v>-0.04125</v>
      </c>
      <c r="AC65" s="76" t="n">
        <v>-0.04125</v>
      </c>
      <c r="AD65" s="76" t="n">
        <v>-0.0415</v>
      </c>
      <c r="AE65" s="76" t="n">
        <v>-0.0415</v>
      </c>
      <c r="AF65" s="76" t="n">
        <v>-0.0415</v>
      </c>
      <c r="AG65" s="76" t="n">
        <v>-0.042</v>
      </c>
      <c r="AH65" s="76" t="n">
        <v>-0.0425</v>
      </c>
      <c r="AI65" s="76" t="n">
        <v>-0.043</v>
      </c>
      <c r="AJ65" s="76" t="n">
        <v>-0.0435</v>
      </c>
      <c r="AK65" s="76" t="n">
        <v>-0.044</v>
      </c>
      <c r="AL65" s="76" t="n">
        <v>-0.04425</v>
      </c>
      <c r="AM65" s="76" t="n">
        <v>-0.04425</v>
      </c>
      <c r="AN65" s="76" t="n">
        <v>-0.044</v>
      </c>
      <c r="AO65" s="76" t="n">
        <v>-0.04375</v>
      </c>
      <c r="AP65" s="76" t="n">
        <v>-0.044</v>
      </c>
      <c r="AQ65" s="76" t="n">
        <v>-0.0435</v>
      </c>
      <c r="AR65" s="76" t="n">
        <v>-0.02982666666666666</v>
      </c>
    </row>
    <row r="66">
      <c r="A66" s="76" t="inlineStr">
        <is>
          <t>CA</t>
        </is>
      </c>
      <c r="B66" s="76" t="inlineStr">
        <is>
          <t>Biopower</t>
        </is>
      </c>
      <c r="C66" s="76" t="n">
        <v>0.27825</v>
      </c>
      <c r="D66" s="76" t="n">
        <v>0.24925</v>
      </c>
      <c r="E66" s="76" t="n">
        <v>0.218</v>
      </c>
      <c r="F66" s="76" t="n">
        <v>0.25125</v>
      </c>
      <c r="G66" s="76" t="n">
        <v>0.28375</v>
      </c>
      <c r="H66" s="76" t="n">
        <v>0.25125</v>
      </c>
      <c r="I66" s="76" t="n">
        <v>0.2185</v>
      </c>
      <c r="J66" s="76" t="n">
        <v>0.21725</v>
      </c>
      <c r="K66" s="76" t="n">
        <v>0.21575</v>
      </c>
      <c r="L66" s="76" t="n">
        <v>0.213</v>
      </c>
      <c r="M66" s="76" t="n">
        <v>0.21</v>
      </c>
      <c r="N66" s="76" t="n">
        <v>0.2125</v>
      </c>
      <c r="O66" s="76" t="n">
        <v>0.215</v>
      </c>
      <c r="P66" s="76" t="n">
        <v>0.215</v>
      </c>
      <c r="Q66" s="76" t="n">
        <v>0.215</v>
      </c>
      <c r="R66" s="76" t="n">
        <v>0.216</v>
      </c>
      <c r="S66" s="76" t="n">
        <v>0.217</v>
      </c>
      <c r="T66" s="76" t="n">
        <v>0.22475</v>
      </c>
      <c r="U66" s="76" t="n">
        <v>0.23225</v>
      </c>
      <c r="V66" s="76" t="n">
        <v>0.24875</v>
      </c>
      <c r="W66" s="76" t="n">
        <v>0.265</v>
      </c>
      <c r="X66" s="76" t="n">
        <v>0.26075</v>
      </c>
      <c r="Y66" s="76" t="n">
        <v>0.25675</v>
      </c>
      <c r="Z66" s="76" t="n">
        <v>0.293</v>
      </c>
      <c r="AA66" s="76" t="n">
        <v>0.33025</v>
      </c>
      <c r="AB66" s="76" t="n">
        <v>0.36775</v>
      </c>
      <c r="AC66" s="76" t="n">
        <v>0.36725</v>
      </c>
      <c r="AD66" s="76" t="n">
        <v>0.36725</v>
      </c>
      <c r="AE66" s="76" t="n">
        <v>0.36925</v>
      </c>
      <c r="AF66" s="76" t="n">
        <v>0.37475</v>
      </c>
      <c r="AG66" s="76" t="n">
        <v>0.428</v>
      </c>
      <c r="AH66" s="76" t="n">
        <v>0.421</v>
      </c>
      <c r="AI66" s="76" t="n">
        <v>0.4136666666666667</v>
      </c>
      <c r="AJ66" s="76" t="n">
        <v>0.406</v>
      </c>
      <c r="AK66" s="76" t="n">
        <v>0.3976666666666667</v>
      </c>
      <c r="AL66" s="76" t="n">
        <v>0.389</v>
      </c>
      <c r="AM66" s="76" t="n">
        <v>0.3806666666666667</v>
      </c>
      <c r="AN66" s="76" t="n">
        <v>0.3723333333333333</v>
      </c>
      <c r="AO66" s="76" t="n">
        <v>0.3636666666666666</v>
      </c>
      <c r="AP66" s="76" t="n">
        <v>0.3543333333333333</v>
      </c>
      <c r="AQ66" s="76" t="n">
        <v>0.3453333333333333</v>
      </c>
      <c r="AR66" s="76" t="n">
        <v>0.2891045751633986</v>
      </c>
    </row>
    <row r="67">
      <c r="A67" s="76" t="inlineStr">
        <is>
          <t>CA</t>
        </is>
      </c>
      <c r="B67" s="76" t="inlineStr">
        <is>
          <t>Coal</t>
        </is>
      </c>
      <c r="C67" s="76" t="n">
        <v>0.846</v>
      </c>
      <c r="D67" s="76" t="n">
        <v>0.6955</v>
      </c>
      <c r="E67" s="76" t="n">
        <v>0.423</v>
      </c>
      <c r="F67" s="76" t="n">
        <v>0.423</v>
      </c>
      <c r="G67" s="76" t="n">
        <v>0.846</v>
      </c>
      <c r="H67" s="76" t="n">
        <v>0.846</v>
      </c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  <c r="AA67" s="76" t="n"/>
      <c r="AB67" s="76" t="n"/>
      <c r="AC67" s="76" t="n"/>
      <c r="AD67" s="76" t="n"/>
      <c r="AE67" s="76" t="n"/>
      <c r="AF67" s="76" t="n"/>
      <c r="AG67" s="76" t="n"/>
      <c r="AH67" s="76" t="n"/>
      <c r="AI67" s="76" t="n"/>
      <c r="AJ67" s="76" t="n"/>
      <c r="AK67" s="76" t="n"/>
      <c r="AL67" s="76" t="n"/>
      <c r="AM67" s="76" t="n"/>
      <c r="AN67" s="76" t="n"/>
      <c r="AO67" s="76" t="n"/>
      <c r="AP67" s="76" t="n"/>
      <c r="AQ67" s="76" t="n"/>
      <c r="AR67" s="76" t="n">
        <v>0.6466999999999999</v>
      </c>
    </row>
    <row r="68">
      <c r="A68" s="76" t="inlineStr">
        <is>
          <t>CA</t>
        </is>
      </c>
      <c r="B68" s="76" t="inlineStr">
        <is>
          <t>CSP</t>
        </is>
      </c>
      <c r="C68" s="76" t="n">
        <v>0</v>
      </c>
      <c r="D68" s="76" t="n">
        <v>0</v>
      </c>
      <c r="E68" s="76" t="n">
        <v>0</v>
      </c>
      <c r="F68" s="76" t="n">
        <v>0</v>
      </c>
      <c r="G68" s="76" t="n">
        <v>0</v>
      </c>
      <c r="H68" s="76" t="n">
        <v>0</v>
      </c>
      <c r="I68" s="76" t="n">
        <v>0</v>
      </c>
      <c r="J68" s="76" t="n">
        <v>0</v>
      </c>
      <c r="K68" s="76" t="n">
        <v>0</v>
      </c>
      <c r="L68" s="76" t="n">
        <v>0</v>
      </c>
      <c r="M68" s="76" t="n">
        <v>0</v>
      </c>
      <c r="N68" s="76" t="n">
        <v>0</v>
      </c>
      <c r="O68" s="76" t="n">
        <v>0</v>
      </c>
      <c r="P68" s="76" t="n">
        <v>0</v>
      </c>
      <c r="Q68" s="76" t="n">
        <v>0</v>
      </c>
      <c r="R68" s="76" t="n">
        <v>0</v>
      </c>
      <c r="S68" s="76" t="n">
        <v>0</v>
      </c>
      <c r="T68" s="76" t="n">
        <v>0</v>
      </c>
      <c r="U68" s="76" t="n">
        <v>0</v>
      </c>
      <c r="V68" s="76" t="n">
        <v>0.032</v>
      </c>
      <c r="W68" s="76" t="n">
        <v>0.05666666666666667</v>
      </c>
      <c r="X68" s="76" t="n">
        <v>0.08400000000000001</v>
      </c>
      <c r="Y68" s="76" t="n">
        <v>0.1046666666666667</v>
      </c>
      <c r="Z68" s="76" t="n">
        <v>0.1096666666666667</v>
      </c>
      <c r="AA68" s="76" t="n">
        <v>0.1146666666666667</v>
      </c>
      <c r="AB68" s="76" t="n">
        <v>0.119</v>
      </c>
      <c r="AC68" s="76" t="n">
        <v>0.1226666666666667</v>
      </c>
      <c r="AD68" s="76" t="n">
        <v>0.127</v>
      </c>
      <c r="AE68" s="76" t="n">
        <v>0.1313333333333333</v>
      </c>
      <c r="AF68" s="76" t="n">
        <v>0.136</v>
      </c>
      <c r="AG68" s="76" t="n">
        <v>0.1406666666666667</v>
      </c>
      <c r="AH68" s="76" t="n">
        <v>0.1613333333333333</v>
      </c>
      <c r="AI68" s="76" t="n">
        <v>0.182</v>
      </c>
      <c r="AJ68" s="76" t="n">
        <v>0.2023333333333333</v>
      </c>
      <c r="AK68" s="76" t="n">
        <v>0.223</v>
      </c>
      <c r="AL68" s="76" t="n">
        <v>0.73</v>
      </c>
      <c r="AM68" s="76" t="n">
        <v>0.73</v>
      </c>
      <c r="AN68" s="76" t="n">
        <v>0.73</v>
      </c>
      <c r="AO68" s="76" t="n">
        <v>0.73</v>
      </c>
      <c r="AP68" s="76" t="n">
        <v>0.73</v>
      </c>
      <c r="AQ68" s="76" t="n">
        <v>0.73</v>
      </c>
      <c r="AR68" s="76" t="n">
        <v>0.09741666666666669</v>
      </c>
    </row>
    <row r="69">
      <c r="A69" s="76" t="inlineStr">
        <is>
          <t>CA</t>
        </is>
      </c>
      <c r="B69" s="76" t="inlineStr">
        <is>
          <t>Dist PV</t>
        </is>
      </c>
      <c r="C69" s="76" t="n">
        <v>0.20275</v>
      </c>
      <c r="D69" s="76" t="n">
        <v>0.20275</v>
      </c>
      <c r="E69" s="76" t="n">
        <v>0.20275</v>
      </c>
      <c r="F69" s="76" t="n">
        <v>0.20275</v>
      </c>
      <c r="G69" s="76" t="n">
        <v>0.20275</v>
      </c>
      <c r="H69" s="76" t="n">
        <v>0.20275</v>
      </c>
      <c r="I69" s="76" t="n">
        <v>0.20275</v>
      </c>
      <c r="J69" s="76" t="n">
        <v>0.20275</v>
      </c>
      <c r="K69" s="76" t="n">
        <v>0.20275</v>
      </c>
      <c r="L69" s="76" t="n">
        <v>0.20275</v>
      </c>
      <c r="M69" s="76" t="n">
        <v>0.20275</v>
      </c>
      <c r="N69" s="76" t="n">
        <v>0.20275</v>
      </c>
      <c r="O69" s="76" t="n">
        <v>0.20275</v>
      </c>
      <c r="P69" s="76" t="n">
        <v>0.20275</v>
      </c>
      <c r="Q69" s="76" t="n">
        <v>0.20275</v>
      </c>
      <c r="R69" s="76" t="n">
        <v>0.20275</v>
      </c>
      <c r="S69" s="76" t="n">
        <v>0.20275</v>
      </c>
      <c r="T69" s="76" t="n">
        <v>0.20275</v>
      </c>
      <c r="U69" s="76" t="n">
        <v>0.20275</v>
      </c>
      <c r="V69" s="76" t="n">
        <v>0.20275</v>
      </c>
      <c r="W69" s="76" t="n">
        <v>0.20275</v>
      </c>
      <c r="X69" s="76" t="n">
        <v>0.201</v>
      </c>
      <c r="Y69" s="76" t="n">
        <v>0.19925</v>
      </c>
      <c r="Z69" s="76" t="n">
        <v>0.196</v>
      </c>
      <c r="AA69" s="76" t="n">
        <v>0.1925</v>
      </c>
      <c r="AB69" s="76" t="n">
        <v>0.189</v>
      </c>
      <c r="AC69" s="76" t="n">
        <v>0.1905</v>
      </c>
      <c r="AD69" s="76" t="n">
        <v>0.19175</v>
      </c>
      <c r="AE69" s="76" t="n">
        <v>0.193</v>
      </c>
      <c r="AF69" s="76" t="n">
        <v>0.19425</v>
      </c>
      <c r="AG69" s="76" t="n">
        <v>0.1955</v>
      </c>
      <c r="AH69" s="76" t="n">
        <v>0.184</v>
      </c>
      <c r="AI69" s="76" t="n">
        <v>0.1725</v>
      </c>
      <c r="AJ69" s="76" t="n">
        <v>0.16125</v>
      </c>
      <c r="AK69" s="76" t="n">
        <v>0.15025</v>
      </c>
      <c r="AL69" s="76" t="n">
        <v>0.1395</v>
      </c>
      <c r="AM69" s="76" t="n">
        <v>0.147</v>
      </c>
      <c r="AN69" s="76" t="n">
        <v>0.154</v>
      </c>
      <c r="AO69" s="76" t="n">
        <v>0.16175</v>
      </c>
      <c r="AP69" s="76" t="n">
        <v>0.16875</v>
      </c>
      <c r="AQ69" s="76" t="n">
        <v>0.17675</v>
      </c>
      <c r="AR69" s="76" t="n">
        <v>0.1906402439024391</v>
      </c>
    </row>
    <row r="70">
      <c r="A70" s="76" t="inlineStr">
        <is>
          <t>CA</t>
        </is>
      </c>
      <c r="B70" s="76" t="inlineStr">
        <is>
          <t>Gas CCGT</t>
        </is>
      </c>
      <c r="C70" s="76" t="n">
        <v>0.7336666666666667</v>
      </c>
      <c r="D70" s="76" t="n">
        <v>0.6713333333333334</v>
      </c>
      <c r="E70" s="76" t="n">
        <v>0.6096666666666667</v>
      </c>
      <c r="F70" s="76" t="n">
        <v>0.6706666666666666</v>
      </c>
      <c r="G70" s="76" t="n">
        <v>0.731</v>
      </c>
      <c r="H70" s="76" t="n">
        <v>0.7103333333333334</v>
      </c>
      <c r="I70" s="76" t="n">
        <v>0.6896666666666667</v>
      </c>
      <c r="J70" s="76" t="n">
        <v>0.6830000000000002</v>
      </c>
      <c r="K70" s="76" t="n">
        <v>0.6766666666666667</v>
      </c>
      <c r="L70" s="76" t="n">
        <v>0.6396666666666667</v>
      </c>
      <c r="M70" s="76" t="n">
        <v>0.6056666666666667</v>
      </c>
      <c r="N70" s="76" t="n">
        <v>0.5833333333333334</v>
      </c>
      <c r="O70" s="76" t="n">
        <v>0.5613333333333334</v>
      </c>
      <c r="P70" s="76" t="n">
        <v>0.5696666666666667</v>
      </c>
      <c r="Q70" s="76" t="n">
        <v>0.578</v>
      </c>
      <c r="R70" s="76" t="n">
        <v>0.5399999999999999</v>
      </c>
      <c r="S70" s="76" t="n">
        <v>0.502</v>
      </c>
      <c r="T70" s="76" t="n">
        <v>0.4436666666666667</v>
      </c>
      <c r="U70" s="76" t="n">
        <v>0.3856666666666667</v>
      </c>
      <c r="V70" s="76" t="n">
        <v>0.348</v>
      </c>
      <c r="W70" s="76" t="n">
        <v>0.3103333333333333</v>
      </c>
      <c r="X70" s="76" t="n">
        <v>0.3256666666666667</v>
      </c>
      <c r="Y70" s="76" t="n">
        <v>0.3403333333333333</v>
      </c>
      <c r="Z70" s="76" t="n">
        <v>0.3423333333333333</v>
      </c>
      <c r="AA70" s="76" t="n">
        <v>0.3436666666666666</v>
      </c>
      <c r="AB70" s="76" t="n">
        <v>0.345</v>
      </c>
      <c r="AC70" s="76" t="n">
        <v>0.332</v>
      </c>
      <c r="AD70" s="76" t="n">
        <v>0.3196666666666667</v>
      </c>
      <c r="AE70" s="76" t="n">
        <v>0.3066666666666666</v>
      </c>
      <c r="AF70" s="76" t="n">
        <v>0.2936666666666667</v>
      </c>
      <c r="AG70" s="76" t="n">
        <v>0.2806666666666667</v>
      </c>
      <c r="AH70" s="76" t="n">
        <v>0.2703333333333334</v>
      </c>
      <c r="AI70" s="76" t="n">
        <v>0.2593333333333334</v>
      </c>
      <c r="AJ70" s="76" t="n">
        <v>0.249</v>
      </c>
      <c r="AK70" s="76" t="n">
        <v>0.238</v>
      </c>
      <c r="AL70" s="76" t="n">
        <v>0.2276666666666667</v>
      </c>
      <c r="AM70" s="76" t="n">
        <v>0.2296666666666667</v>
      </c>
      <c r="AN70" s="76" t="n">
        <v>0.2326666666666667</v>
      </c>
      <c r="AO70" s="76" t="n">
        <v>0.235</v>
      </c>
      <c r="AP70" s="76" t="n">
        <v>0.2376666666666667</v>
      </c>
      <c r="AQ70" s="76" t="n">
        <v>0.2406666666666667</v>
      </c>
      <c r="AR70" s="76" t="n">
        <v>0.4364146341463414</v>
      </c>
    </row>
    <row r="71">
      <c r="A71" s="76" t="inlineStr">
        <is>
          <t>CA</t>
        </is>
      </c>
      <c r="B71" s="76" t="inlineStr">
        <is>
          <t>Gas CT</t>
        </is>
      </c>
      <c r="C71" s="76" t="n">
        <v>0.0045</v>
      </c>
      <c r="D71" s="76" t="n">
        <v>0.003</v>
      </c>
      <c r="E71" s="76" t="n">
        <v>0.00125</v>
      </c>
      <c r="F71" s="76" t="n">
        <v>0.006</v>
      </c>
      <c r="G71" s="76" t="n">
        <v>0.01025</v>
      </c>
      <c r="H71" s="76" t="n">
        <v>0.005</v>
      </c>
      <c r="I71" s="76" t="n">
        <v>0</v>
      </c>
      <c r="J71" s="76" t="n">
        <v>0.00025</v>
      </c>
      <c r="K71" s="76" t="n">
        <v>0.0005</v>
      </c>
      <c r="L71" s="76" t="n">
        <v>0.00025</v>
      </c>
      <c r="M71" s="76" t="n">
        <v>0</v>
      </c>
      <c r="N71" s="76" t="n">
        <v>0</v>
      </c>
      <c r="O71" s="76" t="n">
        <v>0</v>
      </c>
      <c r="P71" s="76" t="n">
        <v>0</v>
      </c>
      <c r="Q71" s="76" t="n">
        <v>0</v>
      </c>
      <c r="R71" s="76" t="n">
        <v>0</v>
      </c>
      <c r="S71" s="76" t="n">
        <v>0</v>
      </c>
      <c r="T71" s="76" t="n">
        <v>0</v>
      </c>
      <c r="U71" s="76" t="n">
        <v>0</v>
      </c>
      <c r="V71" s="76" t="n">
        <v>0</v>
      </c>
      <c r="W71" s="76" t="n">
        <v>0</v>
      </c>
      <c r="X71" s="76" t="n">
        <v>0</v>
      </c>
      <c r="Y71" s="76" t="n">
        <v>0</v>
      </c>
      <c r="Z71" s="76" t="n">
        <v>0</v>
      </c>
      <c r="AA71" s="76" t="n">
        <v>0</v>
      </c>
      <c r="AB71" s="76" t="n">
        <v>0</v>
      </c>
      <c r="AC71" s="76" t="n">
        <v>0</v>
      </c>
      <c r="AD71" s="76" t="n">
        <v>0</v>
      </c>
      <c r="AE71" s="76" t="n">
        <v>0</v>
      </c>
      <c r="AF71" s="76" t="n">
        <v>0</v>
      </c>
      <c r="AG71" s="76" t="n">
        <v>0</v>
      </c>
      <c r="AH71" s="76" t="n">
        <v>0</v>
      </c>
      <c r="AI71" s="76" t="n">
        <v>0</v>
      </c>
      <c r="AJ71" s="76" t="n">
        <v>0</v>
      </c>
      <c r="AK71" s="76" t="n">
        <v>0</v>
      </c>
      <c r="AL71" s="76" t="n">
        <v>0</v>
      </c>
      <c r="AM71" s="76" t="n">
        <v>0</v>
      </c>
      <c r="AN71" s="76" t="n">
        <v>0</v>
      </c>
      <c r="AO71" s="76" t="n">
        <v>0</v>
      </c>
      <c r="AP71" s="76" t="n">
        <v>0</v>
      </c>
      <c r="AQ71" s="76" t="n">
        <v>0</v>
      </c>
      <c r="AR71" s="76" t="n">
        <v>0.0007560975609756099</v>
      </c>
    </row>
    <row r="72">
      <c r="A72" s="76" t="inlineStr">
        <is>
          <t>CA</t>
        </is>
      </c>
      <c r="B72" s="76" t="inlineStr">
        <is>
          <t>Geothermal</t>
        </is>
      </c>
      <c r="C72" s="76" t="n">
        <v>0.75</v>
      </c>
      <c r="D72" s="76" t="n">
        <v>0.75</v>
      </c>
      <c r="E72" s="76" t="n">
        <v>0.75</v>
      </c>
      <c r="F72" s="76" t="n">
        <v>0.75</v>
      </c>
      <c r="G72" s="76" t="n">
        <v>0.75</v>
      </c>
      <c r="H72" s="76" t="n">
        <v>0.75</v>
      </c>
      <c r="I72" s="76" t="n">
        <v>0.75</v>
      </c>
      <c r="J72" s="76" t="n">
        <v>0.75</v>
      </c>
      <c r="K72" s="76" t="n">
        <v>0.75</v>
      </c>
      <c r="L72" s="76" t="n">
        <v>0.75</v>
      </c>
      <c r="M72" s="76" t="n">
        <v>0.75</v>
      </c>
      <c r="N72" s="76" t="n">
        <v>0.75</v>
      </c>
      <c r="O72" s="76" t="n">
        <v>0.75</v>
      </c>
      <c r="P72" s="76" t="n">
        <v>0.75</v>
      </c>
      <c r="Q72" s="76" t="n">
        <v>0.75</v>
      </c>
      <c r="R72" s="76" t="n">
        <v>0.75</v>
      </c>
      <c r="S72" s="76" t="n">
        <v>0.75</v>
      </c>
      <c r="T72" s="76" t="n">
        <v>0.75</v>
      </c>
      <c r="U72" s="76" t="n">
        <v>0.75</v>
      </c>
      <c r="V72" s="76" t="n">
        <v>0.75</v>
      </c>
      <c r="W72" s="76" t="n">
        <v>0.75</v>
      </c>
      <c r="X72" s="76" t="n">
        <v>0.75</v>
      </c>
      <c r="Y72" s="76" t="n">
        <v>0.75</v>
      </c>
      <c r="Z72" s="76" t="n">
        <v>0.75</v>
      </c>
      <c r="AA72" s="76" t="n">
        <v>0.75</v>
      </c>
      <c r="AB72" s="76" t="n">
        <v>0.75</v>
      </c>
      <c r="AC72" s="76" t="n">
        <v>0.7495000000000001</v>
      </c>
      <c r="AD72" s="76" t="n">
        <v>0.7495000000000001</v>
      </c>
      <c r="AE72" s="76" t="n">
        <v>0.749</v>
      </c>
      <c r="AF72" s="76" t="n">
        <v>0.7484999999999999</v>
      </c>
      <c r="AG72" s="76" t="n">
        <v>0.748</v>
      </c>
      <c r="AH72" s="76" t="n">
        <v>0.7484999999999999</v>
      </c>
      <c r="AI72" s="76" t="n">
        <v>0.749</v>
      </c>
      <c r="AJ72" s="76" t="n">
        <v>0.749</v>
      </c>
      <c r="AK72" s="76" t="n">
        <v>0.7495000000000001</v>
      </c>
      <c r="AL72" s="76" t="n">
        <v>0.7495000000000001</v>
      </c>
      <c r="AM72" s="76" t="n">
        <v>0.7495000000000001</v>
      </c>
      <c r="AN72" s="76" t="n">
        <v>0.7495000000000001</v>
      </c>
      <c r="AO72" s="76" t="n">
        <v>0.7495000000000001</v>
      </c>
      <c r="AP72" s="76" t="n">
        <v>0.749</v>
      </c>
      <c r="AQ72" s="76" t="n">
        <v>0.749</v>
      </c>
      <c r="AR72" s="76" t="n">
        <v>0.7496707317073171</v>
      </c>
    </row>
    <row r="73">
      <c r="A73" s="76" t="inlineStr">
        <is>
          <t>CA</t>
        </is>
      </c>
      <c r="B73" s="76" t="inlineStr">
        <is>
          <t>Hydro</t>
        </is>
      </c>
      <c r="C73" s="76" t="n">
        <v>0.256</v>
      </c>
      <c r="D73" s="76" t="n">
        <v>0.229</v>
      </c>
      <c r="E73" s="76" t="n">
        <v>0.236</v>
      </c>
      <c r="F73" s="76" t="n">
        <v>0.19175</v>
      </c>
      <c r="G73" s="76" t="n">
        <v>0.148</v>
      </c>
      <c r="H73" s="76" t="n">
        <v>0.179</v>
      </c>
      <c r="I73" s="76" t="n">
        <v>0.20975</v>
      </c>
      <c r="J73" s="76" t="n">
        <v>0.20975</v>
      </c>
      <c r="K73" s="76" t="n">
        <v>0.20975</v>
      </c>
      <c r="L73" s="76" t="n">
        <v>0.18825</v>
      </c>
      <c r="M73" s="76" t="n">
        <v>0.1875</v>
      </c>
      <c r="N73" s="76" t="n">
        <v>0.1875</v>
      </c>
      <c r="O73" s="76" t="n">
        <v>0.1875</v>
      </c>
      <c r="P73" s="76" t="n">
        <v>0.18525</v>
      </c>
      <c r="Q73" s="76" t="n">
        <v>0.18325</v>
      </c>
      <c r="R73" s="76" t="n">
        <v>0.17925</v>
      </c>
      <c r="S73" s="76" t="n">
        <v>0.1755</v>
      </c>
      <c r="T73" s="76" t="n">
        <v>0.17375</v>
      </c>
      <c r="U73" s="76" t="n">
        <v>0.1715</v>
      </c>
      <c r="V73" s="76" t="n">
        <v>0.17075</v>
      </c>
      <c r="W73" s="76" t="n">
        <v>0.1695</v>
      </c>
      <c r="X73" s="76" t="n">
        <v>0.17025</v>
      </c>
      <c r="Y73" s="76" t="n">
        <v>0.1705</v>
      </c>
      <c r="Z73" s="76" t="n">
        <v>0.1695</v>
      </c>
      <c r="AA73" s="76" t="n">
        <v>0.1685</v>
      </c>
      <c r="AB73" s="76" t="n">
        <v>0.1675</v>
      </c>
      <c r="AC73" s="76" t="n">
        <v>0.16775</v>
      </c>
      <c r="AD73" s="76" t="n">
        <v>0.168</v>
      </c>
      <c r="AE73" s="76" t="n">
        <v>0.1685</v>
      </c>
      <c r="AF73" s="76" t="n">
        <v>0.16875</v>
      </c>
      <c r="AG73" s="76" t="n">
        <v>0.16925</v>
      </c>
      <c r="AH73" s="76" t="n">
        <v>0.1675</v>
      </c>
      <c r="AI73" s="76" t="n">
        <v>0.16575</v>
      </c>
      <c r="AJ73" s="76" t="n">
        <v>0.164</v>
      </c>
      <c r="AK73" s="76" t="n">
        <v>0.1625</v>
      </c>
      <c r="AL73" s="76" t="n">
        <v>0.16075</v>
      </c>
      <c r="AM73" s="76" t="n">
        <v>0.161</v>
      </c>
      <c r="AN73" s="76" t="n">
        <v>0.16125</v>
      </c>
      <c r="AO73" s="76" t="n">
        <v>0.1615</v>
      </c>
      <c r="AP73" s="76" t="n">
        <v>0.162</v>
      </c>
      <c r="AQ73" s="76" t="n">
        <v>0.162</v>
      </c>
      <c r="AR73" s="76" t="n">
        <v>0.1791524390243903</v>
      </c>
    </row>
    <row r="74">
      <c r="A74" s="76" t="inlineStr">
        <is>
          <t>CA</t>
        </is>
      </c>
      <c r="B74" s="76" t="inlineStr">
        <is>
          <t>Nuclear</t>
        </is>
      </c>
      <c r="C74" s="76" t="n">
        <v>0.902</v>
      </c>
      <c r="D74" s="76" t="n">
        <v>0.902</v>
      </c>
      <c r="E74" s="76" t="n">
        <v>0.902</v>
      </c>
      <c r="F74" s="76" t="n">
        <v>0.902</v>
      </c>
      <c r="G74" s="76" t="n">
        <v>0.902</v>
      </c>
      <c r="H74" s="76" t="n">
        <v>0.902</v>
      </c>
      <c r="I74" s="76" t="n">
        <v>0.902</v>
      </c>
      <c r="J74" s="76" t="n">
        <v>0.902</v>
      </c>
      <c r="K74" s="76" t="n">
        <v>0.902</v>
      </c>
      <c r="L74" s="76" t="n">
        <v>0.902</v>
      </c>
      <c r="M74" s="76" t="n">
        <v>0.902</v>
      </c>
      <c r="N74" s="76" t="n">
        <v>0.902</v>
      </c>
      <c r="O74" s="76" t="n">
        <v>0.902</v>
      </c>
      <c r="P74" s="76" t="n">
        <v>0.902</v>
      </c>
      <c r="Q74" s="76" t="n">
        <v>0.902</v>
      </c>
      <c r="R74" s="76" t="n">
        <v>0.902</v>
      </c>
      <c r="S74" s="76" t="n"/>
      <c r="T74" s="76" t="n"/>
      <c r="U74" s="76" t="n"/>
      <c r="V74" s="76" t="n"/>
      <c r="W74" s="76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  <c r="AG74" s="76" t="n"/>
      <c r="AH74" s="76" t="n"/>
      <c r="AI74" s="76" t="n"/>
      <c r="AJ74" s="76" t="n"/>
      <c r="AK74" s="76" t="n"/>
      <c r="AL74" s="76" t="n"/>
      <c r="AM74" s="76" t="n"/>
      <c r="AN74" s="76" t="n"/>
      <c r="AO74" s="76" t="n"/>
      <c r="AP74" s="76" t="n"/>
      <c r="AQ74" s="76" t="n"/>
      <c r="AR74" s="76" t="n">
        <v>0.9019999999999998</v>
      </c>
    </row>
    <row r="75">
      <c r="A75" s="76" t="inlineStr">
        <is>
          <t>CA</t>
        </is>
      </c>
      <c r="B75" s="76" t="inlineStr">
        <is>
          <t>Other</t>
        </is>
      </c>
      <c r="C75" s="76" t="n">
        <v>0</v>
      </c>
      <c r="D75" s="76" t="n">
        <v>0</v>
      </c>
      <c r="E75" s="76" t="n">
        <v>0</v>
      </c>
      <c r="F75" s="76" t="n">
        <v>0</v>
      </c>
      <c r="G75" s="76" t="n">
        <v>0</v>
      </c>
      <c r="H75" s="76" t="n">
        <v>0</v>
      </c>
      <c r="I75" s="76" t="n">
        <v>0</v>
      </c>
      <c r="J75" s="76" t="n">
        <v>0</v>
      </c>
      <c r="K75" s="76" t="n">
        <v>0</v>
      </c>
      <c r="L75" s="76" t="n">
        <v>0</v>
      </c>
      <c r="M75" s="76" t="n">
        <v>0</v>
      </c>
      <c r="N75" s="76" t="n">
        <v>0</v>
      </c>
      <c r="O75" s="76" t="n">
        <v>0</v>
      </c>
      <c r="P75" s="76" t="n">
        <v>0</v>
      </c>
      <c r="Q75" s="76" t="n">
        <v>0</v>
      </c>
      <c r="R75" s="76" t="n">
        <v>0</v>
      </c>
      <c r="S75" s="76" t="n">
        <v>0</v>
      </c>
      <c r="T75" s="76" t="n">
        <v>0</v>
      </c>
      <c r="U75" s="76" t="n">
        <v>0</v>
      </c>
      <c r="V75" s="76" t="n">
        <v>0</v>
      </c>
      <c r="W75" s="76" t="n">
        <v>0</v>
      </c>
      <c r="X75" s="76" t="n">
        <v>0</v>
      </c>
      <c r="Y75" s="76" t="n">
        <v>0</v>
      </c>
      <c r="Z75" s="76" t="n">
        <v>0</v>
      </c>
      <c r="AA75" s="76" t="n">
        <v>0</v>
      </c>
      <c r="AB75" s="76" t="n">
        <v>0</v>
      </c>
      <c r="AC75" s="76" t="n">
        <v>0</v>
      </c>
      <c r="AD75" s="76" t="n">
        <v>0</v>
      </c>
      <c r="AE75" s="76" t="n">
        <v>0</v>
      </c>
      <c r="AF75" s="76" t="n">
        <v>0</v>
      </c>
      <c r="AG75" s="76" t="n">
        <v>0</v>
      </c>
      <c r="AH75" s="76" t="n">
        <v>0</v>
      </c>
      <c r="AI75" s="76" t="n">
        <v>0</v>
      </c>
      <c r="AJ75" s="76" t="n">
        <v>0</v>
      </c>
      <c r="AK75" s="76" t="n">
        <v>0</v>
      </c>
      <c r="AL75" s="76" t="n">
        <v>0</v>
      </c>
      <c r="AM75" s="76" t="n">
        <v>0</v>
      </c>
      <c r="AN75" s="76" t="n">
        <v>0</v>
      </c>
      <c r="AO75" s="76" t="n">
        <v>0</v>
      </c>
      <c r="AP75" s="76" t="n">
        <v>0</v>
      </c>
      <c r="AQ75" s="76" t="n">
        <v>0</v>
      </c>
      <c r="AR75" s="76" t="n">
        <v>0</v>
      </c>
    </row>
    <row r="76">
      <c r="A76" s="76" t="inlineStr">
        <is>
          <t>CA</t>
        </is>
      </c>
      <c r="B76" s="76" t="inlineStr">
        <is>
          <t>Utility PV</t>
        </is>
      </c>
      <c r="C76" s="76" t="n">
        <v>0.303</v>
      </c>
      <c r="D76" s="76" t="n">
        <v>0.3033333333333333</v>
      </c>
      <c r="E76" s="76" t="n">
        <v>0.3033333333333333</v>
      </c>
      <c r="F76" s="76" t="n">
        <v>0.3056666666666667</v>
      </c>
      <c r="G76" s="76" t="n">
        <v>0.306</v>
      </c>
      <c r="H76" s="76" t="n">
        <v>0.3043333333333333</v>
      </c>
      <c r="I76" s="76" t="n">
        <v>0.3036666666666667</v>
      </c>
      <c r="J76" s="76" t="n">
        <v>0.3026666666666666</v>
      </c>
      <c r="K76" s="76" t="n">
        <v>0.3013333333333333</v>
      </c>
      <c r="L76" s="76" t="n">
        <v>0.3</v>
      </c>
      <c r="M76" s="76" t="n">
        <v>0.2986666666666666</v>
      </c>
      <c r="N76" s="76" t="n">
        <v>0.2983333333333333</v>
      </c>
      <c r="O76" s="76" t="n">
        <v>0.2976666666666667</v>
      </c>
      <c r="P76" s="76" t="n">
        <v>0.291</v>
      </c>
      <c r="Q76" s="76" t="n">
        <v>0.2905</v>
      </c>
      <c r="R76" s="76" t="n">
        <v>0.2895</v>
      </c>
      <c r="S76" s="76" t="n">
        <v>0.2885</v>
      </c>
      <c r="T76" s="76" t="n">
        <v>0.286</v>
      </c>
      <c r="U76" s="76" t="n">
        <v>0.2835</v>
      </c>
      <c r="V76" s="76" t="n">
        <v>0.27925</v>
      </c>
      <c r="W76" s="76" t="n">
        <v>0.2755</v>
      </c>
      <c r="X76" s="76" t="n">
        <v>0.276</v>
      </c>
      <c r="Y76" s="76" t="n">
        <v>0.276</v>
      </c>
      <c r="Z76" s="76" t="n">
        <v>0.27375</v>
      </c>
      <c r="AA76" s="76" t="n">
        <v>0.2715</v>
      </c>
      <c r="AB76" s="76" t="n">
        <v>0.2695</v>
      </c>
      <c r="AC76" s="76" t="n">
        <v>0.268</v>
      </c>
      <c r="AD76" s="76" t="n">
        <v>0.26725</v>
      </c>
      <c r="AE76" s="76" t="n">
        <v>0.26575</v>
      </c>
      <c r="AF76" s="76" t="n">
        <v>0.26475</v>
      </c>
      <c r="AG76" s="76" t="n">
        <v>0.26375</v>
      </c>
      <c r="AH76" s="76" t="n">
        <v>0.264</v>
      </c>
      <c r="AI76" s="76" t="n">
        <v>0.2645</v>
      </c>
      <c r="AJ76" s="76" t="n">
        <v>0.26475</v>
      </c>
      <c r="AK76" s="76" t="n">
        <v>0.265</v>
      </c>
      <c r="AL76" s="76" t="n">
        <v>0.265</v>
      </c>
      <c r="AM76" s="76" t="n">
        <v>0.26525</v>
      </c>
      <c r="AN76" s="76" t="n">
        <v>0.2655</v>
      </c>
      <c r="AO76" s="76" t="n">
        <v>0.26575</v>
      </c>
      <c r="AP76" s="76" t="n">
        <v>0.266</v>
      </c>
      <c r="AQ76" s="76" t="n">
        <v>0.26575</v>
      </c>
      <c r="AR76" s="76" t="n">
        <v>0.2800466666666669</v>
      </c>
    </row>
    <row r="77">
      <c r="A77" s="76" t="inlineStr">
        <is>
          <t>CA</t>
        </is>
      </c>
      <c r="B77" s="76" t="inlineStr">
        <is>
          <t>Wind offshore</t>
        </is>
      </c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>
        <v>0.414</v>
      </c>
      <c r="Y77" s="76" t="n">
        <v>0.414</v>
      </c>
      <c r="Z77" s="76" t="n">
        <v>0.397</v>
      </c>
      <c r="AA77" s="76" t="n">
        <v>0.394</v>
      </c>
      <c r="AB77" s="76" t="n">
        <v>0.393</v>
      </c>
      <c r="AC77" s="76" t="n">
        <v>0.389</v>
      </c>
      <c r="AD77" s="76" t="n">
        <v>0.387</v>
      </c>
      <c r="AE77" s="76" t="n">
        <v>0.386</v>
      </c>
      <c r="AF77" s="76" t="n">
        <v>0.386</v>
      </c>
      <c r="AG77" s="76" t="n">
        <v>0.385</v>
      </c>
      <c r="AH77" s="76" t="n">
        <v>0.393</v>
      </c>
      <c r="AI77" s="76" t="n">
        <v>0.399</v>
      </c>
      <c r="AJ77" s="76" t="n">
        <v>0.403</v>
      </c>
      <c r="AK77" s="76" t="n">
        <v>0.407</v>
      </c>
      <c r="AL77" s="76" t="n">
        <v>0.41</v>
      </c>
      <c r="AM77" s="76" t="n">
        <v>0.409</v>
      </c>
      <c r="AN77" s="76" t="n">
        <v>0.408</v>
      </c>
      <c r="AO77" s="76" t="n">
        <v>0.407</v>
      </c>
      <c r="AP77" s="76" t="n">
        <v>0.406</v>
      </c>
      <c r="AQ77" s="76" t="n">
        <v>0.405</v>
      </c>
      <c r="AR77" s="76" t="n">
        <v>0.3996000000000001</v>
      </c>
    </row>
    <row r="78">
      <c r="A78" s="76" t="inlineStr">
        <is>
          <t>CA</t>
        </is>
      </c>
      <c r="B78" s="76" t="inlineStr">
        <is>
          <t>Wind onshore</t>
        </is>
      </c>
      <c r="C78" s="76" t="n">
        <v>0.2996666666666667</v>
      </c>
      <c r="D78" s="76" t="n">
        <v>0.2883333333333333</v>
      </c>
      <c r="E78" s="76" t="n">
        <v>0.2843333333333333</v>
      </c>
      <c r="F78" s="76" t="n">
        <v>0.284</v>
      </c>
      <c r="G78" s="76" t="n">
        <v>0.2836666666666667</v>
      </c>
      <c r="H78" s="76" t="n">
        <v>0.2826666666666666</v>
      </c>
      <c r="I78" s="76" t="n">
        <v>0.2823333333333333</v>
      </c>
      <c r="J78" s="76" t="n">
        <v>0.2756666666666667</v>
      </c>
      <c r="K78" s="76" t="n">
        <v>0.2736666666666667</v>
      </c>
      <c r="L78" s="76" t="n">
        <v>0.2733333333333334</v>
      </c>
      <c r="M78" s="76" t="n">
        <v>0.273</v>
      </c>
      <c r="N78" s="76" t="n">
        <v>0.274</v>
      </c>
      <c r="O78" s="76" t="n">
        <v>0.2746666666666667</v>
      </c>
      <c r="P78" s="76" t="n">
        <v>0.2743333333333333</v>
      </c>
      <c r="Q78" s="76" t="n">
        <v>0.2743333333333333</v>
      </c>
      <c r="R78" s="76" t="n">
        <v>0.2766666666666667</v>
      </c>
      <c r="S78" s="76" t="n">
        <v>0.2786666666666667</v>
      </c>
      <c r="T78" s="76" t="n">
        <v>0.28375</v>
      </c>
      <c r="U78" s="76" t="n">
        <v>0.28</v>
      </c>
      <c r="V78" s="76" t="n">
        <v>0.26825</v>
      </c>
      <c r="W78" s="76" t="n">
        <v>0.25875</v>
      </c>
      <c r="X78" s="76" t="n">
        <v>0.256</v>
      </c>
      <c r="Y78" s="76" t="n">
        <v>0.253</v>
      </c>
      <c r="Z78" s="76" t="n">
        <v>0.2535</v>
      </c>
      <c r="AA78" s="76" t="n">
        <v>0.25375</v>
      </c>
      <c r="AB78" s="76" t="n">
        <v>0.254</v>
      </c>
      <c r="AC78" s="76" t="n">
        <v>0.258</v>
      </c>
      <c r="AD78" s="76" t="n">
        <v>0.26175</v>
      </c>
      <c r="AE78" s="76" t="n">
        <v>0.2655</v>
      </c>
      <c r="AF78" s="76" t="n">
        <v>0.26925</v>
      </c>
      <c r="AG78" s="76" t="n">
        <v>0.27275</v>
      </c>
      <c r="AH78" s="76" t="n">
        <v>0.278</v>
      </c>
      <c r="AI78" s="76" t="n">
        <v>0.28375</v>
      </c>
      <c r="AJ78" s="76" t="n">
        <v>0.29</v>
      </c>
      <c r="AK78" s="76" t="n">
        <v>0.297</v>
      </c>
      <c r="AL78" s="76" t="n">
        <v>0.30425</v>
      </c>
      <c r="AM78" s="76" t="n">
        <v>0.3035</v>
      </c>
      <c r="AN78" s="76" t="n">
        <v>0.3035</v>
      </c>
      <c r="AO78" s="76" t="n">
        <v>0.30325</v>
      </c>
      <c r="AP78" s="76" t="n">
        <v>0.30325</v>
      </c>
      <c r="AQ78" s="76" t="n">
        <v>0.3035</v>
      </c>
      <c r="AR78" s="76" t="n">
        <v>0.2781836734693875</v>
      </c>
    </row>
    <row r="79">
      <c r="A79" s="76" t="inlineStr">
        <is>
          <t>CO</t>
        </is>
      </c>
      <c r="B79" s="76" t="inlineStr">
        <is>
          <t>CO</t>
        </is>
      </c>
      <c r="C79" s="76" t="n">
        <v>0.2174705882352941</v>
      </c>
      <c r="D79" s="76" t="n">
        <v>0.2193333333333333</v>
      </c>
      <c r="E79" s="76" t="n">
        <v>0.2279444444444445</v>
      </c>
      <c r="F79" s="76" t="n">
        <v>0.2264444444444444</v>
      </c>
      <c r="G79" s="76" t="n">
        <v>0.2267222222222222</v>
      </c>
      <c r="H79" s="76" t="n">
        <v>0.2509444444444445</v>
      </c>
      <c r="I79" s="76" t="n">
        <v>0.2698333333333334</v>
      </c>
      <c r="J79" s="76" t="n">
        <v>0.2502631578947369</v>
      </c>
      <c r="K79" s="76" t="n">
        <v>0.2456315789473684</v>
      </c>
      <c r="L79" s="76" t="n">
        <v>0.2433684210526316</v>
      </c>
      <c r="M79" s="76" t="n">
        <v>0.241</v>
      </c>
      <c r="N79" s="76" t="n">
        <v>0.2363157894736843</v>
      </c>
      <c r="O79" s="76" t="n">
        <v>0.2332631578947368</v>
      </c>
      <c r="P79" s="76" t="n">
        <v>0.2217</v>
      </c>
      <c r="Q79" s="76" t="n">
        <v>0.2243</v>
      </c>
      <c r="R79" s="76" t="n">
        <v>0.2241</v>
      </c>
      <c r="S79" s="76" t="n">
        <v>0.2231</v>
      </c>
      <c r="T79" s="76" t="n">
        <v>0.2156</v>
      </c>
      <c r="U79" s="76" t="n">
        <v>0.2082</v>
      </c>
      <c r="V79" s="76" t="n">
        <v>0.20705</v>
      </c>
      <c r="W79" s="76" t="n">
        <v>0.1777894736842106</v>
      </c>
      <c r="X79" s="76" t="n">
        <v>0.1708421052631579</v>
      </c>
      <c r="Y79" s="76" t="n">
        <v>0.1637368421052632</v>
      </c>
      <c r="Z79" s="76" t="n">
        <v>0.1641578947368421</v>
      </c>
      <c r="AA79" s="76" t="n">
        <v>0.1649473684210526</v>
      </c>
      <c r="AB79" s="76" t="n">
        <v>0.1358888888888889</v>
      </c>
      <c r="AC79" s="76" t="n">
        <v>0.1346111111111111</v>
      </c>
      <c r="AD79" s="76" t="n">
        <v>0.1336111111111111</v>
      </c>
      <c r="AE79" s="76" t="n">
        <v>0.1325555555555555</v>
      </c>
      <c r="AF79" s="76" t="n">
        <v>0.1314444444444444</v>
      </c>
      <c r="AG79" s="76" t="n">
        <v>0.1306111111111111</v>
      </c>
      <c r="AH79" s="76" t="n">
        <v>0.1447777777777778</v>
      </c>
      <c r="AI79" s="76" t="n">
        <v>0.1535555555555556</v>
      </c>
      <c r="AJ79" s="76" t="n">
        <v>0.1597777777777778</v>
      </c>
      <c r="AK79" s="76" t="n">
        <v>0.1641666666666667</v>
      </c>
      <c r="AL79" s="76" t="n">
        <v>0.1774117647058823</v>
      </c>
      <c r="AM79" s="76" t="n">
        <v>0.1768823529411765</v>
      </c>
      <c r="AN79" s="76" t="n">
        <v>0.1761176470588235</v>
      </c>
      <c r="AO79" s="76" t="n">
        <v>0.1752941176470588</v>
      </c>
      <c r="AP79" s="76" t="n">
        <v>0.1740588235294118</v>
      </c>
      <c r="AQ79" s="76" t="n">
        <v>0.172764705882353</v>
      </c>
      <c r="AR79" s="76" t="n">
        <v>0.1941349206349207</v>
      </c>
    </row>
    <row r="80">
      <c r="A80" s="76" t="inlineStr">
        <is>
          <t>CO</t>
        </is>
      </c>
      <c r="B80" s="76" t="inlineStr">
        <is>
          <t>Battery</t>
        </is>
      </c>
      <c r="C80" s="76" t="n"/>
      <c r="D80" s="76" t="n"/>
      <c r="E80" s="76" t="n"/>
      <c r="F80" s="76" t="n"/>
      <c r="G80" s="76" t="n"/>
      <c r="H80" s="76" t="n"/>
      <c r="I80" s="76" t="n"/>
      <c r="J80" s="76" t="n">
        <v>0</v>
      </c>
      <c r="K80" s="76" t="n">
        <v>0</v>
      </c>
      <c r="L80" s="76" t="n">
        <v>0</v>
      </c>
      <c r="M80" s="76" t="n">
        <v>0</v>
      </c>
      <c r="N80" s="76" t="n">
        <v>0</v>
      </c>
      <c r="O80" s="76" t="n">
        <v>0</v>
      </c>
      <c r="P80" s="76" t="n">
        <v>-0.0235</v>
      </c>
      <c r="Q80" s="76" t="n">
        <v>-0.0235</v>
      </c>
      <c r="R80" s="76" t="n">
        <v>-0.03</v>
      </c>
      <c r="S80" s="76" t="n">
        <v>-0.03700000000000001</v>
      </c>
      <c r="T80" s="76" t="n">
        <v>-0.048</v>
      </c>
      <c r="U80" s="76" t="n">
        <v>-0.057</v>
      </c>
      <c r="V80" s="76" t="n">
        <v>-0.0575</v>
      </c>
      <c r="W80" s="76" t="n">
        <v>-0.058</v>
      </c>
      <c r="X80" s="76" t="n">
        <v>-0.062</v>
      </c>
      <c r="Y80" s="76" t="n">
        <v>-0.0665</v>
      </c>
      <c r="Z80" s="76" t="n">
        <v>-0.06850000000000001</v>
      </c>
      <c r="AA80" s="76" t="n">
        <v>-0.07000000000000001</v>
      </c>
      <c r="AB80" s="76" t="n">
        <v>-0.07100000000000001</v>
      </c>
      <c r="AC80" s="76" t="n">
        <v>-0.074</v>
      </c>
      <c r="AD80" s="76" t="n">
        <v>-0.0745</v>
      </c>
      <c r="AE80" s="76" t="n">
        <v>-0.074</v>
      </c>
      <c r="AF80" s="76" t="n">
        <v>-0.0735</v>
      </c>
      <c r="AG80" s="76" t="n">
        <v>-0.073</v>
      </c>
      <c r="AH80" s="76" t="n">
        <v>-0.0725</v>
      </c>
      <c r="AI80" s="76" t="n">
        <v>-0.07149999999999999</v>
      </c>
      <c r="AJ80" s="76" t="n">
        <v>-0.07050000000000001</v>
      </c>
      <c r="AK80" s="76" t="n">
        <v>-0.07000000000000001</v>
      </c>
      <c r="AL80" s="76" t="n">
        <v>-0.06850000000000001</v>
      </c>
      <c r="AM80" s="76" t="n">
        <v>-0.06900000000000001</v>
      </c>
      <c r="AN80" s="76" t="n">
        <v>-0.06850000000000001</v>
      </c>
      <c r="AO80" s="76" t="n">
        <v>-0.06850000000000001</v>
      </c>
      <c r="AP80" s="76" t="n">
        <v>-0.06850000000000001</v>
      </c>
      <c r="AQ80" s="76" t="n">
        <v>-0.068</v>
      </c>
      <c r="AR80" s="76" t="n">
        <v>-0.05603225806451614</v>
      </c>
    </row>
    <row r="81">
      <c r="A81" s="76" t="inlineStr">
        <is>
          <t>CO</t>
        </is>
      </c>
      <c r="B81" s="76" t="inlineStr">
        <is>
          <t>Biopower</t>
        </is>
      </c>
      <c r="C81" s="76" t="n">
        <v>0.129</v>
      </c>
      <c r="D81" s="76" t="n">
        <v>0.171</v>
      </c>
      <c r="E81" s="76" t="n">
        <v>0.204</v>
      </c>
      <c r="F81" s="76" t="n">
        <v>0.147</v>
      </c>
      <c r="G81" s="76" t="n">
        <v>0.115</v>
      </c>
      <c r="H81" s="76" t="n">
        <v>0.115</v>
      </c>
      <c r="I81" s="76" t="n">
        <v>0.115</v>
      </c>
      <c r="J81" s="76" t="n">
        <v>0.115</v>
      </c>
      <c r="K81" s="76" t="n">
        <v>0.115</v>
      </c>
      <c r="L81" s="76" t="n">
        <v>0.115</v>
      </c>
      <c r="M81" s="76" t="n">
        <v>0.115</v>
      </c>
      <c r="N81" s="76" t="n">
        <v>0.115</v>
      </c>
      <c r="O81" s="76" t="n">
        <v>0.115</v>
      </c>
      <c r="P81" s="76" t="n">
        <v>0.115</v>
      </c>
      <c r="Q81" s="76" t="n">
        <v>0.115</v>
      </c>
      <c r="R81" s="76" t="n">
        <v>0.115</v>
      </c>
      <c r="S81" s="76" t="n">
        <v>0.115</v>
      </c>
      <c r="T81" s="76" t="n">
        <v>0.115</v>
      </c>
      <c r="U81" s="76" t="n">
        <v>0.115</v>
      </c>
      <c r="V81" s="76" t="n">
        <v>0.115</v>
      </c>
      <c r="W81" s="76" t="n">
        <v>0.115</v>
      </c>
      <c r="X81" s="76" t="n">
        <v>0.115</v>
      </c>
      <c r="Y81" s="76" t="n">
        <v>0.115</v>
      </c>
      <c r="Z81" s="76" t="n">
        <v>0.177</v>
      </c>
      <c r="AA81" s="76" t="n">
        <v>0.246</v>
      </c>
      <c r="AB81" s="76" t="n">
        <v>0.325</v>
      </c>
      <c r="AC81" s="76" t="n">
        <v>0.323</v>
      </c>
      <c r="AD81" s="76" t="n">
        <v>0.32</v>
      </c>
      <c r="AE81" s="76" t="n">
        <v>0.317</v>
      </c>
      <c r="AF81" s="76" t="n">
        <v>0.314</v>
      </c>
      <c r="AG81" s="76" t="n">
        <v>0.312</v>
      </c>
      <c r="AH81" s="76" t="n">
        <v>0.299</v>
      </c>
      <c r="AI81" s="76" t="n">
        <v>0.287</v>
      </c>
      <c r="AJ81" s="76" t="n">
        <v>0.274</v>
      </c>
      <c r="AK81" s="76" t="n">
        <v>0.262</v>
      </c>
      <c r="AL81" s="76" t="n">
        <v>0.249</v>
      </c>
      <c r="AM81" s="76" t="n">
        <v>0.23</v>
      </c>
      <c r="AN81" s="76" t="n">
        <v>0.208</v>
      </c>
      <c r="AO81" s="76" t="n">
        <v>0.185</v>
      </c>
      <c r="AP81" s="76" t="n">
        <v>0.159</v>
      </c>
      <c r="AQ81" s="76" t="n">
        <v>0.131</v>
      </c>
      <c r="AR81" s="76" t="n">
        <v>0.1818048780487806</v>
      </c>
    </row>
    <row r="82">
      <c r="A82" s="76" t="inlineStr">
        <is>
          <t>CO</t>
        </is>
      </c>
      <c r="B82" s="76" t="inlineStr">
        <is>
          <t>Coal</t>
        </is>
      </c>
      <c r="C82" s="76" t="n">
        <v>0.8095</v>
      </c>
      <c r="D82" s="76" t="n">
        <v>0.7755000000000001</v>
      </c>
      <c r="E82" s="76" t="n">
        <v>0.7410000000000001</v>
      </c>
      <c r="F82" s="76" t="n">
        <v>0.788</v>
      </c>
      <c r="G82" s="76" t="n">
        <v>0.8385</v>
      </c>
      <c r="H82" s="76" t="n">
        <v>0.7825</v>
      </c>
      <c r="I82" s="76" t="n">
        <v>0.718</v>
      </c>
      <c r="J82" s="76" t="n">
        <v>0.772</v>
      </c>
      <c r="K82" s="76" t="n">
        <v>0.834</v>
      </c>
      <c r="L82" s="76" t="n">
        <v>0.7444999999999999</v>
      </c>
      <c r="M82" s="76" t="n">
        <v>0.6555</v>
      </c>
      <c r="N82" s="76" t="n">
        <v>0.712</v>
      </c>
      <c r="O82" s="76" t="n">
        <v>0.794</v>
      </c>
      <c r="P82" s="76" t="n">
        <v>0.8105</v>
      </c>
      <c r="Q82" s="76" t="n">
        <v>0.8314999999999999</v>
      </c>
      <c r="R82" s="76" t="n">
        <v>0.832</v>
      </c>
      <c r="S82" s="76" t="n">
        <v>0.8245</v>
      </c>
      <c r="T82" s="76" t="n">
        <v>0.804</v>
      </c>
      <c r="U82" s="76" t="n">
        <v>0.7829999999999999</v>
      </c>
      <c r="V82" s="76" t="n">
        <v>0.782</v>
      </c>
      <c r="W82" s="76" t="n">
        <v>0.82</v>
      </c>
      <c r="X82" s="76" t="n">
        <v>0.766</v>
      </c>
      <c r="Y82" s="76" t="n">
        <v>0.713</v>
      </c>
      <c r="Z82" s="76" t="n">
        <v>0.713</v>
      </c>
      <c r="AA82" s="76" t="n">
        <v>0.713</v>
      </c>
      <c r="AB82" s="76" t="n"/>
      <c r="AC82" s="76" t="n"/>
      <c r="AD82" s="76" t="n"/>
      <c r="AE82" s="76" t="n"/>
      <c r="AF82" s="76" t="n"/>
      <c r="AG82" s="76" t="n"/>
      <c r="AH82" s="76" t="n"/>
      <c r="AI82" s="76" t="n"/>
      <c r="AJ82" s="76" t="n"/>
      <c r="AK82" s="76" t="n"/>
      <c r="AL82" s="76" t="n"/>
      <c r="AM82" s="76" t="n"/>
      <c r="AN82" s="76" t="n"/>
      <c r="AO82" s="76" t="n"/>
      <c r="AP82" s="76" t="n"/>
      <c r="AQ82" s="76" t="n"/>
      <c r="AR82" s="76" t="n">
        <v>0.7775555555555554</v>
      </c>
    </row>
    <row r="83">
      <c r="A83" s="76" t="inlineStr">
        <is>
          <t>CO</t>
        </is>
      </c>
      <c r="B83" s="76" t="inlineStr">
        <is>
          <t>CSP</t>
        </is>
      </c>
      <c r="C83" s="76" t="n"/>
      <c r="D83" s="76" t="n">
        <v>0</v>
      </c>
      <c r="E83" s="76" t="n">
        <v>0</v>
      </c>
      <c r="F83" s="76" t="n">
        <v>0</v>
      </c>
      <c r="G83" s="76" t="n">
        <v>0</v>
      </c>
      <c r="H83" s="76" t="n">
        <v>0</v>
      </c>
      <c r="I83" s="76" t="n">
        <v>0</v>
      </c>
      <c r="J83" s="76" t="n">
        <v>0</v>
      </c>
      <c r="K83" s="76" t="n">
        <v>0</v>
      </c>
      <c r="L83" s="76" t="n">
        <v>0</v>
      </c>
      <c r="M83" s="76" t="n">
        <v>0</v>
      </c>
      <c r="N83" s="76" t="n">
        <v>0</v>
      </c>
      <c r="O83" s="76" t="n">
        <v>0</v>
      </c>
      <c r="P83" s="76" t="n">
        <v>0</v>
      </c>
      <c r="Q83" s="76" t="n">
        <v>0</v>
      </c>
      <c r="R83" s="76" t="n">
        <v>0</v>
      </c>
      <c r="S83" s="76" t="n">
        <v>0</v>
      </c>
      <c r="T83" s="76" t="n">
        <v>0</v>
      </c>
      <c r="U83" s="76" t="n">
        <v>0</v>
      </c>
      <c r="V83" s="76" t="n">
        <v>0</v>
      </c>
      <c r="W83" s="76" t="n">
        <v>0</v>
      </c>
      <c r="X83" s="76" t="n">
        <v>0</v>
      </c>
      <c r="Y83" s="76" t="n">
        <v>0</v>
      </c>
      <c r="Z83" s="76" t="n">
        <v>0</v>
      </c>
      <c r="AA83" s="76" t="n">
        <v>0</v>
      </c>
      <c r="AB83" s="76" t="n">
        <v>0</v>
      </c>
      <c r="AC83" s="76" t="n">
        <v>0</v>
      </c>
      <c r="AD83" s="76" t="n">
        <v>0</v>
      </c>
      <c r="AE83" s="76" t="n">
        <v>0</v>
      </c>
      <c r="AF83" s="76" t="n">
        <v>0</v>
      </c>
      <c r="AG83" s="76" t="n">
        <v>0</v>
      </c>
      <c r="AH83" s="76" t="n">
        <v>0.254</v>
      </c>
      <c r="AI83" s="76" t="n">
        <v>0.412</v>
      </c>
      <c r="AJ83" s="76" t="n">
        <v>0.52</v>
      </c>
      <c r="AK83" s="76" t="n">
        <v>0.598</v>
      </c>
      <c r="AL83" s="76" t="n">
        <v>0.657</v>
      </c>
      <c r="AM83" s="76" t="n">
        <v>0.657</v>
      </c>
      <c r="AN83" s="76" t="n">
        <v>0.657</v>
      </c>
      <c r="AO83" s="76" t="n">
        <v>0.657</v>
      </c>
      <c r="AP83" s="76" t="n">
        <v>0.657</v>
      </c>
      <c r="AQ83" s="76" t="n">
        <v>0.657</v>
      </c>
      <c r="AR83" s="76" t="n">
        <v>0.14315</v>
      </c>
    </row>
    <row r="84">
      <c r="A84" s="76" t="inlineStr">
        <is>
          <t>CO</t>
        </is>
      </c>
      <c r="B84" s="76" t="inlineStr">
        <is>
          <t>Dist PV</t>
        </is>
      </c>
      <c r="C84" s="76" t="n">
        <v>0.2015</v>
      </c>
      <c r="D84" s="76" t="n">
        <v>0.2015</v>
      </c>
      <c r="E84" s="76" t="n">
        <v>0.2015</v>
      </c>
      <c r="F84" s="76" t="n">
        <v>0.2015</v>
      </c>
      <c r="G84" s="76" t="n">
        <v>0.2015</v>
      </c>
      <c r="H84" s="76" t="n">
        <v>0.2015</v>
      </c>
      <c r="I84" s="76" t="n">
        <v>0.2015</v>
      </c>
      <c r="J84" s="76" t="n">
        <v>0.2015</v>
      </c>
      <c r="K84" s="76" t="n">
        <v>0.2015</v>
      </c>
      <c r="L84" s="76" t="n">
        <v>0.2015</v>
      </c>
      <c r="M84" s="76" t="n">
        <v>0.2015</v>
      </c>
      <c r="N84" s="76" t="n">
        <v>0.2015</v>
      </c>
      <c r="O84" s="76" t="n">
        <v>0.2015</v>
      </c>
      <c r="P84" s="76" t="n">
        <v>0.2015</v>
      </c>
      <c r="Q84" s="76" t="n">
        <v>0.2015</v>
      </c>
      <c r="R84" s="76" t="n">
        <v>0.2015</v>
      </c>
      <c r="S84" s="76" t="n">
        <v>0.2015</v>
      </c>
      <c r="T84" s="76" t="n">
        <v>0.2015</v>
      </c>
      <c r="U84" s="76" t="n">
        <v>0.2015</v>
      </c>
      <c r="V84" s="76" t="n">
        <v>0.2015</v>
      </c>
      <c r="W84" s="76" t="n">
        <v>0.2015</v>
      </c>
      <c r="X84" s="76" t="n">
        <v>0.2015</v>
      </c>
      <c r="Y84" s="76" t="n">
        <v>0.2015</v>
      </c>
      <c r="Z84" s="76" t="n">
        <v>0.2015</v>
      </c>
      <c r="AA84" s="76" t="n">
        <v>0.2015</v>
      </c>
      <c r="AB84" s="76" t="n">
        <v>0.2015</v>
      </c>
      <c r="AC84" s="76" t="n">
        <v>0.2015</v>
      </c>
      <c r="AD84" s="76" t="n">
        <v>0.2015</v>
      </c>
      <c r="AE84" s="76" t="n">
        <v>0.2015</v>
      </c>
      <c r="AF84" s="76" t="n">
        <v>0.2015</v>
      </c>
      <c r="AG84" s="76" t="n">
        <v>0.2015</v>
      </c>
      <c r="AH84" s="76" t="n">
        <v>0.2015</v>
      </c>
      <c r="AI84" s="76" t="n">
        <v>0.2015</v>
      </c>
      <c r="AJ84" s="76" t="n">
        <v>0.2015</v>
      </c>
      <c r="AK84" s="76" t="n">
        <v>0.2015</v>
      </c>
      <c r="AL84" s="76" t="n">
        <v>0.2015</v>
      </c>
      <c r="AM84" s="76" t="n">
        <v>0.2015</v>
      </c>
      <c r="AN84" s="76" t="n">
        <v>0.2015</v>
      </c>
      <c r="AO84" s="76" t="n">
        <v>0.2015</v>
      </c>
      <c r="AP84" s="76" t="n">
        <v>0.2015</v>
      </c>
      <c r="AQ84" s="76" t="n">
        <v>0.2015</v>
      </c>
      <c r="AR84" s="76" t="n">
        <v>0.2015000000000001</v>
      </c>
    </row>
    <row r="85">
      <c r="A85" s="76" t="inlineStr">
        <is>
          <t>CO</t>
        </is>
      </c>
      <c r="B85" s="76" t="inlineStr">
        <is>
          <t>Gas CCGT</t>
        </is>
      </c>
      <c r="C85" s="76" t="n">
        <v>0.0185</v>
      </c>
      <c r="D85" s="76" t="n">
        <v>0.1285</v>
      </c>
      <c r="E85" s="76" t="n">
        <v>0.2065</v>
      </c>
      <c r="F85" s="76" t="n">
        <v>0.1985</v>
      </c>
      <c r="G85" s="76" t="n">
        <v>0.19</v>
      </c>
      <c r="H85" s="76" t="n">
        <v>0.445</v>
      </c>
      <c r="I85" s="76" t="n">
        <v>0.6615</v>
      </c>
      <c r="J85" s="76" t="n">
        <v>0.556</v>
      </c>
      <c r="K85" s="76" t="n">
        <v>0.45</v>
      </c>
      <c r="L85" s="76" t="n">
        <v>0.516</v>
      </c>
      <c r="M85" s="76" t="n">
        <v>0.582</v>
      </c>
      <c r="N85" s="76" t="n">
        <v>0.4685</v>
      </c>
      <c r="O85" s="76" t="n">
        <v>0.3545</v>
      </c>
      <c r="P85" s="76" t="n">
        <v>0.3535</v>
      </c>
      <c r="Q85" s="76" t="n">
        <v>0.3525</v>
      </c>
      <c r="R85" s="76" t="n">
        <v>0.358</v>
      </c>
      <c r="S85" s="76" t="n">
        <v>0.3645</v>
      </c>
      <c r="T85" s="76" t="n">
        <v>0.3325</v>
      </c>
      <c r="U85" s="76" t="n">
        <v>0.3005</v>
      </c>
      <c r="V85" s="76" t="n">
        <v>0.2945</v>
      </c>
      <c r="W85" s="76" t="n">
        <v>0.2885</v>
      </c>
      <c r="X85" s="76" t="n">
        <v>0.2535</v>
      </c>
      <c r="Y85" s="76" t="n">
        <v>0.2185</v>
      </c>
      <c r="Z85" s="76" t="n">
        <v>0.19</v>
      </c>
      <c r="AA85" s="76" t="n">
        <v>0.162</v>
      </c>
      <c r="AB85" s="76" t="n">
        <v>0.134</v>
      </c>
      <c r="AC85" s="76" t="n">
        <v>0.119</v>
      </c>
      <c r="AD85" s="76" t="n">
        <v>0.104</v>
      </c>
      <c r="AE85" s="76" t="n">
        <v>0.089</v>
      </c>
      <c r="AF85" s="76" t="n">
        <v>0.07350000000000001</v>
      </c>
      <c r="AG85" s="76" t="n">
        <v>0.059</v>
      </c>
      <c r="AH85" s="76" t="n">
        <v>0.061</v>
      </c>
      <c r="AI85" s="76" t="n">
        <v>0.0635</v>
      </c>
      <c r="AJ85" s="76" t="n">
        <v>0.066</v>
      </c>
      <c r="AK85" s="76" t="n">
        <v>0.06850000000000001</v>
      </c>
      <c r="AL85" s="76" t="n">
        <v>0.07100000000000001</v>
      </c>
      <c r="AM85" s="76" t="n">
        <v>0.065</v>
      </c>
      <c r="AN85" s="76" t="n">
        <v>0.0585</v>
      </c>
      <c r="AO85" s="76" t="n">
        <v>0.0525</v>
      </c>
      <c r="AP85" s="76" t="n">
        <v>0.046</v>
      </c>
      <c r="AQ85" s="76" t="n">
        <v>0.0395</v>
      </c>
      <c r="AR85" s="76" t="n">
        <v>0.2296097560975611</v>
      </c>
    </row>
    <row r="86">
      <c r="A86" s="76" t="inlineStr">
        <is>
          <t>CO</t>
        </is>
      </c>
      <c r="B86" s="76" t="inlineStr">
        <is>
          <t>Gas CT</t>
        </is>
      </c>
      <c r="C86" s="76" t="n">
        <v>0</v>
      </c>
      <c r="D86" s="76" t="n">
        <v>0</v>
      </c>
      <c r="E86" s="76" t="n">
        <v>0</v>
      </c>
      <c r="F86" s="76" t="n">
        <v>0</v>
      </c>
      <c r="G86" s="76" t="n">
        <v>0</v>
      </c>
      <c r="H86" s="76" t="n">
        <v>0</v>
      </c>
      <c r="I86" s="76" t="n">
        <v>0</v>
      </c>
      <c r="J86" s="76" t="n">
        <v>0</v>
      </c>
      <c r="K86" s="76" t="n">
        <v>0</v>
      </c>
      <c r="L86" s="76" t="n">
        <v>0</v>
      </c>
      <c r="M86" s="76" t="n">
        <v>0</v>
      </c>
      <c r="N86" s="76" t="n">
        <v>0</v>
      </c>
      <c r="O86" s="76" t="n">
        <v>0</v>
      </c>
      <c r="P86" s="76" t="n">
        <v>0</v>
      </c>
      <c r="Q86" s="76" t="n">
        <v>0</v>
      </c>
      <c r="R86" s="76" t="n">
        <v>0</v>
      </c>
      <c r="S86" s="76" t="n">
        <v>0</v>
      </c>
      <c r="T86" s="76" t="n">
        <v>0.0005</v>
      </c>
      <c r="U86" s="76" t="n">
        <v>0.0005</v>
      </c>
      <c r="V86" s="76" t="n">
        <v>0.0015</v>
      </c>
      <c r="W86" s="76" t="n">
        <v>0.002</v>
      </c>
      <c r="X86" s="76" t="n">
        <v>0.001</v>
      </c>
      <c r="Y86" s="76" t="n">
        <v>0</v>
      </c>
      <c r="Z86" s="76" t="n">
        <v>0.001</v>
      </c>
      <c r="AA86" s="76" t="n">
        <v>0.002</v>
      </c>
      <c r="AB86" s="76" t="n">
        <v>0.0035</v>
      </c>
      <c r="AC86" s="76" t="n">
        <v>0.0025</v>
      </c>
      <c r="AD86" s="76" t="n">
        <v>0.002</v>
      </c>
      <c r="AE86" s="76" t="n">
        <v>0.0015</v>
      </c>
      <c r="AF86" s="76" t="n">
        <v>0.0005</v>
      </c>
      <c r="AG86" s="76" t="n">
        <v>0</v>
      </c>
      <c r="AH86" s="76" t="n">
        <v>0</v>
      </c>
      <c r="AI86" s="76" t="n">
        <v>0</v>
      </c>
      <c r="AJ86" s="76" t="n">
        <v>0</v>
      </c>
      <c r="AK86" s="76" t="n">
        <v>0</v>
      </c>
      <c r="AL86" s="76" t="n">
        <v>0</v>
      </c>
      <c r="AM86" s="76" t="n">
        <v>0</v>
      </c>
      <c r="AN86" s="76" t="n">
        <v>0</v>
      </c>
      <c r="AO86" s="76" t="n">
        <v>0</v>
      </c>
      <c r="AP86" s="76" t="n">
        <v>0</v>
      </c>
      <c r="AQ86" s="76" t="n">
        <v>0</v>
      </c>
      <c r="AR86" s="76" t="n">
        <v>0.000451219512195122</v>
      </c>
    </row>
    <row r="87">
      <c r="A87" s="76" t="inlineStr">
        <is>
          <t>CO</t>
        </is>
      </c>
      <c r="B87" s="76" t="inlineStr">
        <is>
          <t>Geothermal</t>
        </is>
      </c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  <c r="AA87" s="76" t="n"/>
      <c r="AB87" s="76" t="n"/>
      <c r="AC87" s="76" t="n"/>
      <c r="AD87" s="76" t="n"/>
      <c r="AE87" s="76" t="n"/>
      <c r="AF87" s="76" t="n"/>
      <c r="AG87" s="76" t="n"/>
      <c r="AH87" s="76" t="n"/>
      <c r="AI87" s="76" t="n"/>
      <c r="AJ87" s="76" t="n"/>
      <c r="AK87" s="76" t="n"/>
      <c r="AL87" s="76" t="n"/>
      <c r="AM87" s="76" t="n"/>
      <c r="AN87" s="76" t="n"/>
      <c r="AO87" s="76" t="n"/>
      <c r="AP87" s="76" t="n"/>
      <c r="AQ87" s="76" t="n"/>
      <c r="AR87" s="76" t="n"/>
    </row>
    <row r="88">
      <c r="A88" s="76" t="inlineStr">
        <is>
          <t>CO</t>
        </is>
      </c>
      <c r="B88" s="76" t="inlineStr">
        <is>
          <t>Hydro</t>
        </is>
      </c>
      <c r="C88" s="76" t="n">
        <v>0.168</v>
      </c>
      <c r="D88" s="76" t="n">
        <v>0.179</v>
      </c>
      <c r="E88" s="76" t="n">
        <v>0.1895</v>
      </c>
      <c r="F88" s="76" t="n">
        <v>0.1645</v>
      </c>
      <c r="G88" s="76" t="n">
        <v>0.14</v>
      </c>
      <c r="H88" s="76" t="n">
        <v>0.159</v>
      </c>
      <c r="I88" s="76" t="n">
        <v>0.1785</v>
      </c>
      <c r="J88" s="76" t="n">
        <v>0.1785</v>
      </c>
      <c r="K88" s="76" t="n">
        <v>0.1785</v>
      </c>
      <c r="L88" s="76" t="n">
        <v>0.1785</v>
      </c>
      <c r="M88" s="76" t="n">
        <v>0.1785</v>
      </c>
      <c r="N88" s="76" t="n">
        <v>0.1775</v>
      </c>
      <c r="O88" s="76" t="n">
        <v>0.176</v>
      </c>
      <c r="P88" s="76" t="n">
        <v>0.175</v>
      </c>
      <c r="Q88" s="76" t="n">
        <v>0.1735</v>
      </c>
      <c r="R88" s="76" t="n">
        <v>0.1725</v>
      </c>
      <c r="S88" s="76" t="n">
        <v>0.1715</v>
      </c>
      <c r="T88" s="76" t="n">
        <v>0.164</v>
      </c>
      <c r="U88" s="76" t="n">
        <v>0.1565</v>
      </c>
      <c r="V88" s="76" t="n">
        <v>0.156</v>
      </c>
      <c r="W88" s="76" t="n">
        <v>0.1565</v>
      </c>
      <c r="X88" s="76" t="n">
        <v>0.158</v>
      </c>
      <c r="Y88" s="76" t="n">
        <v>0.1595</v>
      </c>
      <c r="Z88" s="76" t="n">
        <v>0.1625</v>
      </c>
      <c r="AA88" s="76" t="n">
        <v>0.1655</v>
      </c>
      <c r="AB88" s="76" t="n">
        <v>0.1685</v>
      </c>
      <c r="AC88" s="76" t="n">
        <v>0.1675</v>
      </c>
      <c r="AD88" s="76" t="n">
        <v>0.1665</v>
      </c>
      <c r="AE88" s="76" t="n">
        <v>0.1655</v>
      </c>
      <c r="AF88" s="76" t="n">
        <v>0.1645</v>
      </c>
      <c r="AG88" s="76" t="n">
        <v>0.1635</v>
      </c>
      <c r="AH88" s="76" t="n">
        <v>0.1625</v>
      </c>
      <c r="AI88" s="76" t="n">
        <v>0.161</v>
      </c>
      <c r="AJ88" s="76" t="n">
        <v>0.16</v>
      </c>
      <c r="AK88" s="76" t="n">
        <v>0.1585</v>
      </c>
      <c r="AL88" s="76" t="n">
        <v>0.157</v>
      </c>
      <c r="AM88" s="76" t="n">
        <v>0.1615</v>
      </c>
      <c r="AN88" s="76" t="n">
        <v>0.166</v>
      </c>
      <c r="AO88" s="76" t="n">
        <v>0.171</v>
      </c>
      <c r="AP88" s="76" t="n">
        <v>0.1755</v>
      </c>
      <c r="AQ88" s="76" t="n">
        <v>0.18</v>
      </c>
      <c r="AR88" s="76" t="n">
        <v>0.1674634146341463</v>
      </c>
    </row>
    <row r="89">
      <c r="A89" s="76" t="inlineStr">
        <is>
          <t>CO</t>
        </is>
      </c>
      <c r="B89" s="76" t="inlineStr">
        <is>
          <t>Nuclear</t>
        </is>
      </c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  <c r="AA89" s="76" t="n"/>
      <c r="AB89" s="76" t="n"/>
      <c r="AC89" s="76" t="n"/>
      <c r="AD89" s="76" t="n"/>
      <c r="AE89" s="76" t="n"/>
      <c r="AF89" s="76" t="n"/>
      <c r="AG89" s="76" t="n"/>
      <c r="AH89" s="76" t="n"/>
      <c r="AI89" s="76" t="n"/>
      <c r="AJ89" s="76" t="n"/>
      <c r="AK89" s="76" t="n"/>
      <c r="AL89" s="76" t="n"/>
      <c r="AM89" s="76" t="n"/>
      <c r="AN89" s="76" t="n"/>
      <c r="AO89" s="76" t="n"/>
      <c r="AP89" s="76" t="n"/>
      <c r="AQ89" s="76" t="n"/>
      <c r="AR89" s="76" t="n"/>
    </row>
    <row r="90">
      <c r="A90" s="76" t="inlineStr">
        <is>
          <t>CO</t>
        </is>
      </c>
      <c r="B90" s="76" t="inlineStr">
        <is>
          <t>Other</t>
        </is>
      </c>
      <c r="C90" s="76" t="n">
        <v>0</v>
      </c>
      <c r="D90" s="76" t="n">
        <v>0</v>
      </c>
      <c r="E90" s="76" t="n">
        <v>0</v>
      </c>
      <c r="F90" s="76" t="n">
        <v>0</v>
      </c>
      <c r="G90" s="76" t="n">
        <v>0</v>
      </c>
      <c r="H90" s="76" t="n">
        <v>0</v>
      </c>
      <c r="I90" s="76" t="n">
        <v>0</v>
      </c>
      <c r="J90" s="76" t="n">
        <v>0</v>
      </c>
      <c r="K90" s="76" t="n">
        <v>0</v>
      </c>
      <c r="L90" s="76" t="n">
        <v>0</v>
      </c>
      <c r="M90" s="76" t="n">
        <v>0</v>
      </c>
      <c r="N90" s="76" t="n">
        <v>0</v>
      </c>
      <c r="O90" s="76" t="n">
        <v>0</v>
      </c>
      <c r="P90" s="76" t="n">
        <v>0</v>
      </c>
      <c r="Q90" s="76" t="n">
        <v>0</v>
      </c>
      <c r="R90" s="76" t="n">
        <v>0</v>
      </c>
      <c r="S90" s="76" t="n">
        <v>0</v>
      </c>
      <c r="T90" s="76" t="n">
        <v>0</v>
      </c>
      <c r="U90" s="76" t="n">
        <v>0</v>
      </c>
      <c r="V90" s="76" t="n">
        <v>0</v>
      </c>
      <c r="W90" s="76" t="n">
        <v>0</v>
      </c>
      <c r="X90" s="76" t="n">
        <v>0</v>
      </c>
      <c r="Y90" s="76" t="n">
        <v>0</v>
      </c>
      <c r="Z90" s="76" t="n">
        <v>0</v>
      </c>
      <c r="AA90" s="76" t="n">
        <v>0</v>
      </c>
      <c r="AB90" s="76" t="n">
        <v>0</v>
      </c>
      <c r="AC90" s="76" t="n">
        <v>0</v>
      </c>
      <c r="AD90" s="76" t="n">
        <v>0</v>
      </c>
      <c r="AE90" s="76" t="n">
        <v>0</v>
      </c>
      <c r="AF90" s="76" t="n">
        <v>0</v>
      </c>
      <c r="AG90" s="76" t="n">
        <v>0</v>
      </c>
      <c r="AH90" s="76" t="n">
        <v>0</v>
      </c>
      <c r="AI90" s="76" t="n">
        <v>0</v>
      </c>
      <c r="AJ90" s="76" t="n">
        <v>0</v>
      </c>
      <c r="AK90" s="76" t="n">
        <v>0</v>
      </c>
      <c r="AL90" s="76" t="n">
        <v>0</v>
      </c>
      <c r="AM90" s="76" t="n">
        <v>0</v>
      </c>
      <c r="AN90" s="76" t="n">
        <v>0</v>
      </c>
      <c r="AO90" s="76" t="n">
        <v>0</v>
      </c>
      <c r="AP90" s="76" t="n">
        <v>0</v>
      </c>
      <c r="AQ90" s="76" t="n">
        <v>0</v>
      </c>
      <c r="AR90" s="76" t="n">
        <v>0</v>
      </c>
    </row>
    <row r="91">
      <c r="A91" s="76" t="inlineStr">
        <is>
          <t>CO</t>
        </is>
      </c>
      <c r="B91" s="76" t="inlineStr">
        <is>
          <t>Utility PV</t>
        </is>
      </c>
      <c r="C91" s="76" t="n">
        <v>0.28</v>
      </c>
      <c r="D91" s="76" t="n">
        <v>0.279</v>
      </c>
      <c r="E91" s="76" t="n">
        <v>0.2785</v>
      </c>
      <c r="F91" s="76" t="n">
        <v>0.2775</v>
      </c>
      <c r="G91" s="76" t="n">
        <v>0.2765</v>
      </c>
      <c r="H91" s="76" t="n">
        <v>0.278</v>
      </c>
      <c r="I91" s="76" t="n">
        <v>0.278</v>
      </c>
      <c r="J91" s="76" t="n">
        <v>0.277</v>
      </c>
      <c r="K91" s="76" t="n">
        <v>0.2765</v>
      </c>
      <c r="L91" s="76" t="n">
        <v>0.2755</v>
      </c>
      <c r="M91" s="76" t="n">
        <v>0.2735</v>
      </c>
      <c r="N91" s="76" t="n">
        <v>0.2825</v>
      </c>
      <c r="O91" s="76" t="n">
        <v>0.2835</v>
      </c>
      <c r="P91" s="76" t="n">
        <v>0.283</v>
      </c>
      <c r="Q91" s="76" t="n">
        <v>0.282</v>
      </c>
      <c r="R91" s="76" t="n">
        <v>0.281</v>
      </c>
      <c r="S91" s="76" t="n">
        <v>0.2795</v>
      </c>
      <c r="T91" s="76" t="n">
        <v>0.278</v>
      </c>
      <c r="U91" s="76" t="n">
        <v>0.277</v>
      </c>
      <c r="V91" s="76" t="n">
        <v>0.275</v>
      </c>
      <c r="W91" s="76" t="n">
        <v>0.274</v>
      </c>
      <c r="X91" s="76" t="n">
        <v>0.273</v>
      </c>
      <c r="Y91" s="76" t="n">
        <v>0.2715</v>
      </c>
      <c r="Z91" s="76" t="n">
        <v>0.271</v>
      </c>
      <c r="AA91" s="76" t="n">
        <v>0.2705</v>
      </c>
      <c r="AB91" s="76" t="n">
        <v>0.2695</v>
      </c>
      <c r="AC91" s="76" t="n">
        <v>0.268</v>
      </c>
      <c r="AD91" s="76" t="n">
        <v>0.267</v>
      </c>
      <c r="AE91" s="76" t="n">
        <v>0.2655</v>
      </c>
      <c r="AF91" s="76" t="n">
        <v>0.264</v>
      </c>
      <c r="AG91" s="76" t="n">
        <v>0.263</v>
      </c>
      <c r="AH91" s="76" t="n">
        <v>0.262</v>
      </c>
      <c r="AI91" s="76" t="n">
        <v>0.26</v>
      </c>
      <c r="AJ91" s="76" t="n">
        <v>0.259</v>
      </c>
      <c r="AK91" s="76" t="n">
        <v>0.258</v>
      </c>
      <c r="AL91" s="76" t="n">
        <v>0.257</v>
      </c>
      <c r="AM91" s="76" t="n">
        <v>0.256</v>
      </c>
      <c r="AN91" s="76" t="n">
        <v>0.2555</v>
      </c>
      <c r="AO91" s="76" t="n">
        <v>0.255</v>
      </c>
      <c r="AP91" s="76" t="n">
        <v>0.2545</v>
      </c>
      <c r="AQ91" s="76" t="n">
        <v>0.2545</v>
      </c>
      <c r="AR91" s="76" t="n">
        <v>0.2707317073170732</v>
      </c>
    </row>
    <row r="92">
      <c r="A92" s="76" t="inlineStr">
        <is>
          <t>CO</t>
        </is>
      </c>
      <c r="B92" s="76" t="inlineStr">
        <is>
          <t>Wind offshore</t>
        </is>
      </c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  <c r="AG92" s="76" t="n"/>
      <c r="AH92" s="76" t="n"/>
      <c r="AI92" s="76" t="n"/>
      <c r="AJ92" s="76" t="n"/>
      <c r="AK92" s="76" t="n"/>
      <c r="AL92" s="76" t="n"/>
      <c r="AM92" s="76" t="n"/>
      <c r="AN92" s="76" t="n"/>
      <c r="AO92" s="76" t="n"/>
      <c r="AP92" s="76" t="n"/>
      <c r="AQ92" s="76" t="n"/>
      <c r="AR92" s="76" t="n"/>
    </row>
    <row r="93">
      <c r="A93" s="76" t="inlineStr">
        <is>
          <t>CO</t>
        </is>
      </c>
      <c r="B93" s="76" t="inlineStr">
        <is>
          <t>Wind onshore</t>
        </is>
      </c>
      <c r="C93" s="76" t="n">
        <v>0.3065</v>
      </c>
      <c r="D93" s="76" t="n">
        <v>0.325</v>
      </c>
      <c r="E93" s="76" t="n">
        <v>0.3325</v>
      </c>
      <c r="F93" s="76" t="n">
        <v>0.3345</v>
      </c>
      <c r="G93" s="76" t="n">
        <v>0.3365</v>
      </c>
      <c r="H93" s="76" t="n">
        <v>0.335</v>
      </c>
      <c r="I93" s="76" t="n">
        <v>0.3335</v>
      </c>
      <c r="J93" s="76" t="n">
        <v>0.335</v>
      </c>
      <c r="K93" s="76" t="n">
        <v>0.3355</v>
      </c>
      <c r="L93" s="76" t="n">
        <v>0.3385</v>
      </c>
      <c r="M93" s="76" t="n">
        <v>0.341</v>
      </c>
      <c r="N93" s="76" t="n">
        <v>0.3455</v>
      </c>
      <c r="O93" s="76" t="n">
        <v>0.349</v>
      </c>
      <c r="P93" s="76" t="n">
        <v>0.3595</v>
      </c>
      <c r="Q93" s="76" t="n">
        <v>0.368</v>
      </c>
      <c r="R93" s="76" t="n">
        <v>0.3685</v>
      </c>
      <c r="S93" s="76" t="n">
        <v>0.369</v>
      </c>
      <c r="T93" s="76" t="n">
        <v>0.366</v>
      </c>
      <c r="U93" s="76" t="n">
        <v>0.3625</v>
      </c>
      <c r="V93" s="76" t="n">
        <v>0.36</v>
      </c>
      <c r="W93" s="76" t="n">
        <v>0.357</v>
      </c>
      <c r="X93" s="76" t="n">
        <v>0.3575</v>
      </c>
      <c r="Y93" s="76" t="n">
        <v>0.357</v>
      </c>
      <c r="Z93" s="76" t="n">
        <v>0.357</v>
      </c>
      <c r="AA93" s="76" t="n">
        <v>0.356</v>
      </c>
      <c r="AB93" s="76" t="n">
        <v>0.3545</v>
      </c>
      <c r="AC93" s="76" t="n">
        <v>0.3655</v>
      </c>
      <c r="AD93" s="76" t="n">
        <v>0.376</v>
      </c>
      <c r="AE93" s="76" t="n">
        <v>0.3855</v>
      </c>
      <c r="AF93" s="76" t="n">
        <v>0.3955</v>
      </c>
      <c r="AG93" s="76" t="n">
        <v>0.4055</v>
      </c>
      <c r="AH93" s="76" t="n">
        <v>0.412</v>
      </c>
      <c r="AI93" s="76" t="n">
        <v>0.418</v>
      </c>
      <c r="AJ93" s="76" t="n">
        <v>0.425</v>
      </c>
      <c r="AK93" s="76" t="n">
        <v>0.431</v>
      </c>
      <c r="AL93" s="76" t="n">
        <v>0.437</v>
      </c>
      <c r="AM93" s="76" t="n">
        <v>0.445</v>
      </c>
      <c r="AN93" s="76" t="n">
        <v>0.4515</v>
      </c>
      <c r="AO93" s="76" t="n">
        <v>0.4575</v>
      </c>
      <c r="AP93" s="76" t="n">
        <v>0.4625</v>
      </c>
      <c r="AQ93" s="76" t="n">
        <v>0.467</v>
      </c>
      <c r="AR93" s="76" t="n">
        <v>0.3750000000000001</v>
      </c>
    </row>
    <row r="94">
      <c r="A94" s="76" t="inlineStr">
        <is>
          <t>CT</t>
        </is>
      </c>
      <c r="B94" s="76" t="inlineStr">
        <is>
          <t>CT</t>
        </is>
      </c>
      <c r="C94" s="76" t="n">
        <v>0.38175</v>
      </c>
      <c r="D94" s="76" t="n">
        <v>0.363375</v>
      </c>
      <c r="E94" s="76" t="n">
        <v>0.336</v>
      </c>
      <c r="F94" s="76" t="n">
        <v>0.3206666666666667</v>
      </c>
      <c r="G94" s="76" t="n">
        <v>0.3188888888888889</v>
      </c>
      <c r="H94" s="76" t="n">
        <v>0.2956363636363636</v>
      </c>
      <c r="I94" s="76" t="n">
        <v>0.2944545454545455</v>
      </c>
      <c r="J94" s="76" t="n">
        <v>0.2906363636363637</v>
      </c>
      <c r="K94" s="76" t="n">
        <v>0.2877272727272728</v>
      </c>
      <c r="L94" s="76" t="n">
        <v>0.2859090909090909</v>
      </c>
      <c r="M94" s="76" t="n">
        <v>0.2840909090909091</v>
      </c>
      <c r="N94" s="76" t="n">
        <v>0.2871818181818182</v>
      </c>
      <c r="O94" s="76" t="n">
        <v>0.313</v>
      </c>
      <c r="P94" s="76" t="n">
        <v>0.3272727272727273</v>
      </c>
      <c r="Q94" s="76" t="n">
        <v>0.3303636363636364</v>
      </c>
      <c r="R94" s="76" t="n">
        <v>0.3252727272727273</v>
      </c>
      <c r="S94" s="76" t="n">
        <v>0.3200909090909091</v>
      </c>
      <c r="T94" s="76" t="n">
        <v>0.3123636363636363</v>
      </c>
      <c r="U94" s="76" t="n">
        <v>0.3056363636363637</v>
      </c>
      <c r="V94" s="76" t="n">
        <v>0.2971818181818182</v>
      </c>
      <c r="W94" s="76" t="n">
        <v>0.2926363636363636</v>
      </c>
      <c r="X94" s="76" t="n">
        <v>0.2815454545454546</v>
      </c>
      <c r="Y94" s="76" t="n">
        <v>0.2702727272727273</v>
      </c>
      <c r="Z94" s="76" t="n">
        <v>0.2759090909090909</v>
      </c>
      <c r="AA94" s="76" t="n">
        <v>0.2759090909090909</v>
      </c>
      <c r="AB94" s="76" t="n">
        <v>0.2748181818181819</v>
      </c>
      <c r="AC94" s="76" t="n">
        <v>0.271090909090909</v>
      </c>
      <c r="AD94" s="76" t="n">
        <v>0.2679090909090909</v>
      </c>
      <c r="AE94" s="76" t="n">
        <v>0.2641818181818182</v>
      </c>
      <c r="AF94" s="76" t="n">
        <v>0.2593636363636364</v>
      </c>
      <c r="AG94" s="76" t="n">
        <v>0.2528181818181818</v>
      </c>
      <c r="AH94" s="76" t="n">
        <v>0.2519090909090909</v>
      </c>
      <c r="AI94" s="76" t="n">
        <v>0.2505454545454545</v>
      </c>
      <c r="AJ94" s="76" t="n">
        <v>0.2485454545454546</v>
      </c>
      <c r="AK94" s="76" t="n">
        <v>0.2455454545454545</v>
      </c>
      <c r="AL94" s="76" t="n">
        <v>0.2401818181818182</v>
      </c>
      <c r="AM94" s="76" t="n">
        <v>0.2417272727272727</v>
      </c>
      <c r="AN94" s="76" t="n">
        <v>0.2429090909090909</v>
      </c>
      <c r="AO94" s="76" t="n">
        <v>0.2442727272727273</v>
      </c>
      <c r="AP94" s="76" t="n">
        <v>0.2453636363636363</v>
      </c>
      <c r="AQ94" s="76" t="n">
        <v>0.1808</v>
      </c>
      <c r="AR94" s="76" t="n">
        <v>0.2825619266055046</v>
      </c>
    </row>
    <row r="95">
      <c r="A95" s="76" t="inlineStr">
        <is>
          <t>CT</t>
        </is>
      </c>
      <c r="B95" s="76" t="inlineStr">
        <is>
          <t>Battery</t>
        </is>
      </c>
      <c r="C95" s="76" t="n"/>
      <c r="D95" s="76" t="n"/>
      <c r="E95" s="76" t="n"/>
      <c r="F95" s="76" t="n"/>
      <c r="G95" s="76" t="n"/>
      <c r="H95" s="76" t="n">
        <v>-0.001</v>
      </c>
      <c r="I95" s="76" t="n">
        <v>-0.001</v>
      </c>
      <c r="J95" s="76" t="n">
        <v>-0.001</v>
      </c>
      <c r="K95" s="76" t="n">
        <v>-0.001</v>
      </c>
      <c r="L95" s="76" t="n">
        <v>0</v>
      </c>
      <c r="M95" s="76" t="n">
        <v>0</v>
      </c>
      <c r="N95" s="76" t="n">
        <v>0</v>
      </c>
      <c r="O95" s="76" t="n">
        <v>0</v>
      </c>
      <c r="P95" s="76" t="n">
        <v>0</v>
      </c>
      <c r="Q95" s="76" t="n">
        <v>0</v>
      </c>
      <c r="R95" s="76" t="n">
        <v>0</v>
      </c>
      <c r="S95" s="76" t="n">
        <v>0</v>
      </c>
      <c r="T95" s="76" t="n">
        <v>-0.03</v>
      </c>
      <c r="U95" s="76" t="n">
        <v>-0.061</v>
      </c>
      <c r="V95" s="76" t="n">
        <v>-0.06900000000000001</v>
      </c>
      <c r="W95" s="76" t="n">
        <v>-0.078</v>
      </c>
      <c r="X95" s="76" t="n">
        <v>-0.078</v>
      </c>
      <c r="Y95" s="76" t="n">
        <v>-0.079</v>
      </c>
      <c r="Z95" s="76" t="n">
        <v>-0.058</v>
      </c>
      <c r="AA95" s="76" t="n">
        <v>-0.057</v>
      </c>
      <c r="AB95" s="76" t="n">
        <v>-0.057</v>
      </c>
      <c r="AC95" s="76" t="n">
        <v>-0.07000000000000001</v>
      </c>
      <c r="AD95" s="76" t="n">
        <v>-0.07099999999999999</v>
      </c>
      <c r="AE95" s="76" t="n">
        <v>-0.07099999999999999</v>
      </c>
      <c r="AF95" s="76" t="n">
        <v>-0.07099999999999999</v>
      </c>
      <c r="AG95" s="76" t="n">
        <v>-0.07099999999999999</v>
      </c>
      <c r="AH95" s="76" t="n">
        <v>-0.07000000000000001</v>
      </c>
      <c r="AI95" s="76" t="n">
        <v>-0.07000000000000001</v>
      </c>
      <c r="AJ95" s="76" t="n">
        <v>-0.06900000000000001</v>
      </c>
      <c r="AK95" s="76" t="n">
        <v>-0.068</v>
      </c>
      <c r="AL95" s="76" t="n">
        <v>-0.068</v>
      </c>
      <c r="AM95" s="76" t="n">
        <v>-0.055</v>
      </c>
      <c r="AN95" s="76" t="n">
        <v>-0.043</v>
      </c>
      <c r="AO95" s="76" t="n">
        <v>-0.03</v>
      </c>
      <c r="AP95" s="76" t="n">
        <v>-0.017</v>
      </c>
      <c r="AQ95" s="76" t="n">
        <v>-0.004</v>
      </c>
      <c r="AR95" s="76" t="n">
        <v>-0.03941666666666666</v>
      </c>
    </row>
    <row r="96">
      <c r="A96" s="76" t="inlineStr">
        <is>
          <t>CT</t>
        </is>
      </c>
      <c r="B96" s="76" t="inlineStr">
        <is>
          <t>Biopower</t>
        </is>
      </c>
      <c r="C96" s="76" t="n">
        <v>0.471</v>
      </c>
      <c r="D96" s="76" t="n">
        <v>0.463</v>
      </c>
      <c r="E96" s="76" t="n">
        <v>0.454</v>
      </c>
      <c r="F96" s="76" t="n">
        <v>0.426</v>
      </c>
      <c r="G96" s="76" t="n">
        <v>0.402</v>
      </c>
      <c r="H96" s="76" t="n">
        <v>0.394</v>
      </c>
      <c r="I96" s="76" t="n">
        <v>0.385</v>
      </c>
      <c r="J96" s="76" t="n">
        <v>0.385</v>
      </c>
      <c r="K96" s="76" t="n">
        <v>0.385</v>
      </c>
      <c r="L96" s="76" t="n">
        <v>0.385</v>
      </c>
      <c r="M96" s="76" t="n">
        <v>0.385</v>
      </c>
      <c r="N96" s="76" t="n">
        <v>0.383</v>
      </c>
      <c r="O96" s="76" t="n">
        <v>0.38</v>
      </c>
      <c r="P96" s="76" t="n">
        <v>0.38</v>
      </c>
      <c r="Q96" s="76" t="n">
        <v>0.38</v>
      </c>
      <c r="R96" s="76" t="n">
        <v>0.38</v>
      </c>
      <c r="S96" s="76" t="n">
        <v>0.38</v>
      </c>
      <c r="T96" s="76" t="n">
        <v>0.38</v>
      </c>
      <c r="U96" s="76" t="n">
        <v>0.38</v>
      </c>
      <c r="V96" s="76" t="n">
        <v>0.38</v>
      </c>
      <c r="W96" s="76" t="n">
        <v>0.38</v>
      </c>
      <c r="X96" s="76" t="n">
        <v>0.38</v>
      </c>
      <c r="Y96" s="76" t="n">
        <v>0.38</v>
      </c>
      <c r="Z96" s="76" t="n">
        <v>0.387</v>
      </c>
      <c r="AA96" s="76" t="n">
        <v>0.395</v>
      </c>
      <c r="AB96" s="76" t="n">
        <v>0.402</v>
      </c>
      <c r="AC96" s="76" t="n">
        <v>0.386</v>
      </c>
      <c r="AD96" s="76" t="n">
        <v>0.366</v>
      </c>
      <c r="AE96" s="76" t="n">
        <v>0.339</v>
      </c>
      <c r="AF96" s="76" t="n">
        <v>0.301</v>
      </c>
      <c r="AG96" s="76" t="n">
        <v>0.242</v>
      </c>
      <c r="AH96" s="76" t="n">
        <v>0.225</v>
      </c>
      <c r="AI96" s="76" t="n">
        <v>0.203</v>
      </c>
      <c r="AJ96" s="76" t="n">
        <v>0.174</v>
      </c>
      <c r="AK96" s="76" t="n">
        <v>0.132</v>
      </c>
      <c r="AL96" s="76" t="n">
        <v>0.067</v>
      </c>
      <c r="AM96" s="76" t="n">
        <v>0.061</v>
      </c>
      <c r="AN96" s="76" t="n">
        <v>0.054</v>
      </c>
      <c r="AO96" s="76" t="n">
        <v>0.047</v>
      </c>
      <c r="AP96" s="76" t="n">
        <v>0.04</v>
      </c>
      <c r="AQ96" s="76" t="n">
        <v>0.032</v>
      </c>
      <c r="AR96" s="76" t="n">
        <v>0.3158780487804878</v>
      </c>
    </row>
    <row r="97">
      <c r="A97" s="76" t="inlineStr">
        <is>
          <t>CT</t>
        </is>
      </c>
      <c r="B97" s="76" t="inlineStr">
        <is>
          <t>Coal</t>
        </is>
      </c>
      <c r="C97" s="76" t="n">
        <v>0.354</v>
      </c>
      <c r="D97" s="76" t="n">
        <v>0.211</v>
      </c>
      <c r="E97" s="76" t="n">
        <v>0</v>
      </c>
      <c r="F97" s="76" t="n">
        <v>0.015</v>
      </c>
      <c r="G97" s="76" t="n">
        <v>0.03</v>
      </c>
      <c r="H97" s="76" t="n">
        <v>0.015</v>
      </c>
      <c r="I97" s="76" t="n">
        <v>0</v>
      </c>
      <c r="J97" s="76" t="n">
        <v>0</v>
      </c>
      <c r="K97" s="76" t="n">
        <v>0</v>
      </c>
      <c r="L97" s="76" t="n">
        <v>0</v>
      </c>
      <c r="M97" s="76" t="n">
        <v>0</v>
      </c>
      <c r="N97" s="76" t="n">
        <v>0</v>
      </c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  <c r="AA97" s="76" t="n"/>
      <c r="AB97" s="76" t="n"/>
      <c r="AC97" s="76" t="n"/>
      <c r="AD97" s="76" t="n"/>
      <c r="AE97" s="76" t="n"/>
      <c r="AF97" s="76" t="n"/>
      <c r="AG97" s="76" t="n"/>
      <c r="AH97" s="76" t="n"/>
      <c r="AI97" s="76" t="n"/>
      <c r="AJ97" s="76" t="n"/>
      <c r="AK97" s="76" t="n"/>
      <c r="AL97" s="76" t="n"/>
      <c r="AM97" s="76" t="n"/>
      <c r="AN97" s="76" t="n"/>
      <c r="AO97" s="76" t="n"/>
      <c r="AP97" s="76" t="n"/>
      <c r="AQ97" s="76" t="n"/>
      <c r="AR97" s="76" t="n">
        <v>0.05208333333333334</v>
      </c>
    </row>
    <row r="98">
      <c r="A98" s="76" t="inlineStr">
        <is>
          <t>CT</t>
        </is>
      </c>
      <c r="B98" s="76" t="inlineStr">
        <is>
          <t>CSP</t>
        </is>
      </c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  <c r="AG98" s="76" t="n"/>
      <c r="AH98" s="76" t="n"/>
      <c r="AI98" s="76" t="n"/>
      <c r="AJ98" s="76" t="n"/>
      <c r="AK98" s="76" t="n"/>
      <c r="AL98" s="76" t="n"/>
      <c r="AM98" s="76" t="n"/>
      <c r="AN98" s="76" t="n"/>
      <c r="AO98" s="76" t="n"/>
      <c r="AP98" s="76" t="n"/>
      <c r="AQ98" s="76" t="n"/>
      <c r="AR98" s="76" t="n"/>
    </row>
    <row r="99">
      <c r="A99" s="76" t="inlineStr">
        <is>
          <t>CT</t>
        </is>
      </c>
      <c r="B99" s="76" t="inlineStr">
        <is>
          <t>Dist PV</t>
        </is>
      </c>
      <c r="C99" s="76" t="n">
        <v>0.156</v>
      </c>
      <c r="D99" s="76" t="n">
        <v>0.156</v>
      </c>
      <c r="E99" s="76" t="n">
        <v>0.156</v>
      </c>
      <c r="F99" s="76" t="n">
        <v>0.156</v>
      </c>
      <c r="G99" s="76" t="n">
        <v>0.156</v>
      </c>
      <c r="H99" s="76" t="n">
        <v>0.156</v>
      </c>
      <c r="I99" s="76" t="n">
        <v>0.156</v>
      </c>
      <c r="J99" s="76" t="n">
        <v>0.156</v>
      </c>
      <c r="K99" s="76" t="n">
        <v>0.156</v>
      </c>
      <c r="L99" s="76" t="n">
        <v>0.156</v>
      </c>
      <c r="M99" s="76" t="n">
        <v>0.156</v>
      </c>
      <c r="N99" s="76" t="n">
        <v>0.156</v>
      </c>
      <c r="O99" s="76" t="n">
        <v>0.156</v>
      </c>
      <c r="P99" s="76" t="n">
        <v>0.156</v>
      </c>
      <c r="Q99" s="76" t="n">
        <v>0.156</v>
      </c>
      <c r="R99" s="76" t="n">
        <v>0.156</v>
      </c>
      <c r="S99" s="76" t="n">
        <v>0.156</v>
      </c>
      <c r="T99" s="76" t="n">
        <v>0.156</v>
      </c>
      <c r="U99" s="76" t="n">
        <v>0.156</v>
      </c>
      <c r="V99" s="76" t="n">
        <v>0.156</v>
      </c>
      <c r="W99" s="76" t="n">
        <v>0.156</v>
      </c>
      <c r="X99" s="76" t="n">
        <v>0.156</v>
      </c>
      <c r="Y99" s="76" t="n">
        <v>0.156</v>
      </c>
      <c r="Z99" s="76" t="n">
        <v>0.156</v>
      </c>
      <c r="AA99" s="76" t="n">
        <v>0.156</v>
      </c>
      <c r="AB99" s="76" t="n">
        <v>0.156</v>
      </c>
      <c r="AC99" s="76" t="n">
        <v>0.156</v>
      </c>
      <c r="AD99" s="76" t="n">
        <v>0.156</v>
      </c>
      <c r="AE99" s="76" t="n">
        <v>0.156</v>
      </c>
      <c r="AF99" s="76" t="n">
        <v>0.156</v>
      </c>
      <c r="AG99" s="76" t="n">
        <v>0.156</v>
      </c>
      <c r="AH99" s="76" t="n">
        <v>0.156</v>
      </c>
      <c r="AI99" s="76" t="n">
        <v>0.156</v>
      </c>
      <c r="AJ99" s="76" t="n">
        <v>0.156</v>
      </c>
      <c r="AK99" s="76" t="n">
        <v>0.156</v>
      </c>
      <c r="AL99" s="76" t="n">
        <v>0.156</v>
      </c>
      <c r="AM99" s="76" t="n">
        <v>0.156</v>
      </c>
      <c r="AN99" s="76" t="n">
        <v>0.156</v>
      </c>
      <c r="AO99" s="76" t="n">
        <v>0.156</v>
      </c>
      <c r="AP99" s="76" t="n">
        <v>0.156</v>
      </c>
      <c r="AQ99" s="76" t="n">
        <v>0.156</v>
      </c>
      <c r="AR99" s="76" t="n">
        <v>0.1559999999999999</v>
      </c>
    </row>
    <row r="100">
      <c r="A100" s="76" t="inlineStr">
        <is>
          <t>CT</t>
        </is>
      </c>
      <c r="B100" s="76" t="inlineStr">
        <is>
          <t>Gas CCGT</t>
        </is>
      </c>
      <c r="C100" s="76" t="n">
        <v>0.839</v>
      </c>
      <c r="D100" s="76" t="n">
        <v>0.848</v>
      </c>
      <c r="E100" s="76" t="n">
        <v>0.854</v>
      </c>
      <c r="F100" s="76" t="n">
        <v>0.855</v>
      </c>
      <c r="G100" s="76" t="n">
        <v>0.855</v>
      </c>
      <c r="H100" s="76" t="n">
        <v>0.855</v>
      </c>
      <c r="I100" s="76" t="n">
        <v>0.855</v>
      </c>
      <c r="J100" s="76" t="n">
        <v>0.8110000000000001</v>
      </c>
      <c r="K100" s="76" t="n">
        <v>0.778</v>
      </c>
      <c r="L100" s="76" t="n">
        <v>0.755</v>
      </c>
      <c r="M100" s="76" t="n">
        <v>0.736</v>
      </c>
      <c r="N100" s="76" t="n">
        <v>0.709</v>
      </c>
      <c r="O100" s="76" t="n">
        <v>0.6830000000000001</v>
      </c>
      <c r="P100" s="76" t="n">
        <v>0.719</v>
      </c>
      <c r="Q100" s="76" t="n">
        <v>0.755</v>
      </c>
      <c r="R100" s="76" t="n">
        <v>0.699</v>
      </c>
      <c r="S100" s="76" t="n">
        <v>0.643</v>
      </c>
      <c r="T100" s="76" t="n">
        <v>0.5659999999999999</v>
      </c>
      <c r="U100" s="76" t="n">
        <v>0.489</v>
      </c>
      <c r="V100" s="76" t="n">
        <v>0.463</v>
      </c>
      <c r="W100" s="76" t="n">
        <v>0.436</v>
      </c>
      <c r="X100" s="76" t="n">
        <v>0.348</v>
      </c>
      <c r="Y100" s="76" t="n">
        <v>0.26</v>
      </c>
      <c r="Z100" s="76" t="n">
        <v>0.236</v>
      </c>
      <c r="AA100" s="76" t="n">
        <v>0.212</v>
      </c>
      <c r="AB100" s="76" t="n">
        <v>0.188</v>
      </c>
      <c r="AC100" s="76" t="n">
        <v>0.182</v>
      </c>
      <c r="AD100" s="76" t="n">
        <v>0.175</v>
      </c>
      <c r="AE100" s="76" t="n">
        <v>0.169</v>
      </c>
      <c r="AF100" s="76" t="n">
        <v>0.162</v>
      </c>
      <c r="AG100" s="76" t="n">
        <v>0.156</v>
      </c>
      <c r="AH100" s="76" t="n">
        <v>0.157</v>
      </c>
      <c r="AI100" s="76" t="n">
        <v>0.159</v>
      </c>
      <c r="AJ100" s="76" t="n">
        <v>0.16</v>
      </c>
      <c r="AK100" s="76" t="n">
        <v>0.162</v>
      </c>
      <c r="AL100" s="76" t="n">
        <v>0.163</v>
      </c>
      <c r="AM100" s="76" t="n">
        <v>0.164</v>
      </c>
      <c r="AN100" s="76" t="n">
        <v>0.164</v>
      </c>
      <c r="AO100" s="76" t="n">
        <v>0.164</v>
      </c>
      <c r="AP100" s="76" t="n">
        <v>0.164</v>
      </c>
      <c r="AQ100" s="76" t="n">
        <v>0.164</v>
      </c>
      <c r="AR100" s="76" t="n">
        <v>0.461268292682927</v>
      </c>
    </row>
    <row r="101">
      <c r="A101" s="76" t="inlineStr">
        <is>
          <t>CT</t>
        </is>
      </c>
      <c r="B101" s="76" t="inlineStr">
        <is>
          <t>Gas CT</t>
        </is>
      </c>
      <c r="C101" s="76" t="n">
        <v>0.004</v>
      </c>
      <c r="D101" s="76" t="n">
        <v>0.004</v>
      </c>
      <c r="E101" s="76" t="n">
        <v>0.004</v>
      </c>
      <c r="F101" s="76" t="n">
        <v>0.004</v>
      </c>
      <c r="G101" s="76" t="n">
        <v>0.004</v>
      </c>
      <c r="H101" s="76" t="n">
        <v>0.004</v>
      </c>
      <c r="I101" s="76" t="n">
        <v>0.004</v>
      </c>
      <c r="J101" s="76" t="n">
        <v>0.004</v>
      </c>
      <c r="K101" s="76" t="n">
        <v>0.004</v>
      </c>
      <c r="L101" s="76" t="n">
        <v>0.004</v>
      </c>
      <c r="M101" s="76" t="n">
        <v>0.003</v>
      </c>
      <c r="N101" s="76" t="n">
        <v>0.003</v>
      </c>
      <c r="O101" s="76" t="n">
        <v>0.003</v>
      </c>
      <c r="P101" s="76" t="n">
        <v>0.003</v>
      </c>
      <c r="Q101" s="76" t="n">
        <v>0.003</v>
      </c>
      <c r="R101" s="76" t="n">
        <v>0.003</v>
      </c>
      <c r="S101" s="76" t="n">
        <v>0.003</v>
      </c>
      <c r="T101" s="76" t="n">
        <v>0.001</v>
      </c>
      <c r="U101" s="76" t="n">
        <v>0</v>
      </c>
      <c r="V101" s="76" t="n">
        <v>0</v>
      </c>
      <c r="W101" s="76" t="n">
        <v>0</v>
      </c>
      <c r="X101" s="76" t="n">
        <v>0</v>
      </c>
      <c r="Y101" s="76" t="n">
        <v>0</v>
      </c>
      <c r="Z101" s="76" t="n">
        <v>0</v>
      </c>
      <c r="AA101" s="76" t="n">
        <v>0</v>
      </c>
      <c r="AB101" s="76" t="n">
        <v>0</v>
      </c>
      <c r="AC101" s="76" t="n">
        <v>0</v>
      </c>
      <c r="AD101" s="76" t="n">
        <v>0</v>
      </c>
      <c r="AE101" s="76" t="n">
        <v>0</v>
      </c>
      <c r="AF101" s="76" t="n">
        <v>0</v>
      </c>
      <c r="AG101" s="76" t="n">
        <v>0</v>
      </c>
      <c r="AH101" s="76" t="n">
        <v>0</v>
      </c>
      <c r="AI101" s="76" t="n">
        <v>0</v>
      </c>
      <c r="AJ101" s="76" t="n">
        <v>0</v>
      </c>
      <c r="AK101" s="76" t="n">
        <v>0</v>
      </c>
      <c r="AL101" s="76" t="n">
        <v>0</v>
      </c>
      <c r="AM101" s="76" t="n">
        <v>0</v>
      </c>
      <c r="AN101" s="76" t="n">
        <v>0</v>
      </c>
      <c r="AO101" s="76" t="n">
        <v>0</v>
      </c>
      <c r="AP101" s="76" t="n">
        <v>0</v>
      </c>
      <c r="AQ101" s="76" t="n">
        <v>0</v>
      </c>
      <c r="AR101" s="76" t="n">
        <v>0.00151219512195122</v>
      </c>
    </row>
    <row r="102">
      <c r="A102" s="76" t="inlineStr">
        <is>
          <t>CT</t>
        </is>
      </c>
      <c r="B102" s="76" t="inlineStr">
        <is>
          <t>Geothermal</t>
        </is>
      </c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  <c r="AA102" s="76" t="n"/>
      <c r="AB102" s="76" t="n"/>
      <c r="AC102" s="76" t="n"/>
      <c r="AD102" s="76" t="n"/>
      <c r="AE102" s="76" t="n"/>
      <c r="AF102" s="76" t="n"/>
      <c r="AG102" s="76" t="n"/>
      <c r="AH102" s="76" t="n"/>
      <c r="AI102" s="76" t="n"/>
      <c r="AJ102" s="76" t="n"/>
      <c r="AK102" s="76" t="n"/>
      <c r="AL102" s="76" t="n"/>
      <c r="AM102" s="76" t="n"/>
      <c r="AN102" s="76" t="n"/>
      <c r="AO102" s="76" t="n"/>
      <c r="AP102" s="76" t="n"/>
      <c r="AQ102" s="76" t="n"/>
      <c r="AR102" s="76" t="n"/>
    </row>
    <row r="103">
      <c r="A103" s="76" t="inlineStr">
        <is>
          <t>CT</t>
        </is>
      </c>
      <c r="B103" s="76" t="inlineStr">
        <is>
          <t>Hydro</t>
        </is>
      </c>
      <c r="C103" s="76" t="n">
        <v>0.328</v>
      </c>
      <c r="D103" s="76" t="n">
        <v>0.323</v>
      </c>
      <c r="E103" s="76" t="n">
        <v>0.318</v>
      </c>
      <c r="F103" s="76" t="n">
        <v>0.311</v>
      </c>
      <c r="G103" s="76" t="n">
        <v>0.304</v>
      </c>
      <c r="H103" s="76" t="n">
        <v>0.316</v>
      </c>
      <c r="I103" s="76" t="n">
        <v>0.328</v>
      </c>
      <c r="J103" s="76" t="n">
        <v>0.33</v>
      </c>
      <c r="K103" s="76" t="n">
        <v>0.331</v>
      </c>
      <c r="L103" s="76" t="n">
        <v>0.332</v>
      </c>
      <c r="M103" s="76" t="n">
        <v>0.332</v>
      </c>
      <c r="N103" s="76" t="n">
        <v>0.332</v>
      </c>
      <c r="O103" s="76" t="n">
        <v>0.332</v>
      </c>
      <c r="P103" s="76" t="n">
        <v>0.332</v>
      </c>
      <c r="Q103" s="76" t="n">
        <v>0.331</v>
      </c>
      <c r="R103" s="76" t="n">
        <v>0.332</v>
      </c>
      <c r="S103" s="76" t="n">
        <v>0.332</v>
      </c>
      <c r="T103" s="76" t="n">
        <v>0.363</v>
      </c>
      <c r="U103" s="76" t="n">
        <v>0.401</v>
      </c>
      <c r="V103" s="76" t="n">
        <v>0.405</v>
      </c>
      <c r="W103" s="76" t="n">
        <v>0.409</v>
      </c>
      <c r="X103" s="76" t="n">
        <v>0.409</v>
      </c>
      <c r="Y103" s="76" t="n">
        <v>0.409</v>
      </c>
      <c r="Z103" s="76" t="n">
        <v>0.409</v>
      </c>
      <c r="AA103" s="76" t="n">
        <v>0.409</v>
      </c>
      <c r="AB103" s="76" t="n">
        <v>0.409</v>
      </c>
      <c r="AC103" s="76" t="n">
        <v>0.409</v>
      </c>
      <c r="AD103" s="76" t="n">
        <v>0.409</v>
      </c>
      <c r="AE103" s="76" t="n">
        <v>0.409</v>
      </c>
      <c r="AF103" s="76" t="n">
        <v>0.409</v>
      </c>
      <c r="AG103" s="76" t="n">
        <v>0.409</v>
      </c>
      <c r="AH103" s="76" t="n">
        <v>0.409</v>
      </c>
      <c r="AI103" s="76" t="n">
        <v>0.409</v>
      </c>
      <c r="AJ103" s="76" t="n">
        <v>0.409</v>
      </c>
      <c r="AK103" s="76" t="n">
        <v>0.409</v>
      </c>
      <c r="AL103" s="76" t="n">
        <v>0.409</v>
      </c>
      <c r="AM103" s="76" t="n">
        <v>0.409</v>
      </c>
      <c r="AN103" s="76" t="n">
        <v>0.409</v>
      </c>
      <c r="AO103" s="76" t="n">
        <v>0.409</v>
      </c>
      <c r="AP103" s="76" t="n">
        <v>0.409</v>
      </c>
      <c r="AQ103" s="76" t="n">
        <v>0.409</v>
      </c>
      <c r="AR103" s="76" t="n">
        <v>0.3732195121951222</v>
      </c>
    </row>
    <row r="104">
      <c r="A104" s="76" t="inlineStr">
        <is>
          <t>CT</t>
        </is>
      </c>
      <c r="B104" s="76" t="inlineStr">
        <is>
          <t>Nuclear</t>
        </is>
      </c>
      <c r="C104" s="76" t="n">
        <v>0.902</v>
      </c>
      <c r="D104" s="76" t="n">
        <v>0.902</v>
      </c>
      <c r="E104" s="76" t="n">
        <v>0.902</v>
      </c>
      <c r="F104" s="76" t="n">
        <v>0.902</v>
      </c>
      <c r="G104" s="76" t="n">
        <v>0.902</v>
      </c>
      <c r="H104" s="76" t="n">
        <v>0.902</v>
      </c>
      <c r="I104" s="76" t="n">
        <v>0.902</v>
      </c>
      <c r="J104" s="76" t="n">
        <v>0.902</v>
      </c>
      <c r="K104" s="76" t="n">
        <v>0.902</v>
      </c>
      <c r="L104" s="76" t="n">
        <v>0.902</v>
      </c>
      <c r="M104" s="76" t="n">
        <v>0.902</v>
      </c>
      <c r="N104" s="76" t="n">
        <v>0.902</v>
      </c>
      <c r="O104" s="76" t="n">
        <v>0.902</v>
      </c>
      <c r="P104" s="76" t="n">
        <v>0.902</v>
      </c>
      <c r="Q104" s="76" t="n">
        <v>0.902</v>
      </c>
      <c r="R104" s="76" t="n">
        <v>0.902</v>
      </c>
      <c r="S104" s="76" t="n">
        <v>0.902</v>
      </c>
      <c r="T104" s="76" t="n">
        <v>0.902</v>
      </c>
      <c r="U104" s="76" t="n">
        <v>0.902</v>
      </c>
      <c r="V104" s="76" t="n">
        <v>0.902</v>
      </c>
      <c r="W104" s="76" t="n">
        <v>0.902</v>
      </c>
      <c r="X104" s="76" t="n">
        <v>0.902</v>
      </c>
      <c r="Y104" s="76" t="n">
        <v>0.902</v>
      </c>
      <c r="Z104" s="76" t="n">
        <v>0.902</v>
      </c>
      <c r="AA104" s="76" t="n">
        <v>0.902</v>
      </c>
      <c r="AB104" s="76" t="n">
        <v>0.902</v>
      </c>
      <c r="AC104" s="76" t="n">
        <v>0.902</v>
      </c>
      <c r="AD104" s="76" t="n">
        <v>0.902</v>
      </c>
      <c r="AE104" s="76" t="n">
        <v>0.902</v>
      </c>
      <c r="AF104" s="76" t="n">
        <v>0.902</v>
      </c>
      <c r="AG104" s="76" t="n">
        <v>0.902</v>
      </c>
      <c r="AH104" s="76" t="n">
        <v>0.902</v>
      </c>
      <c r="AI104" s="76" t="n">
        <v>0.902</v>
      </c>
      <c r="AJ104" s="76" t="n">
        <v>0.902</v>
      </c>
      <c r="AK104" s="76" t="n">
        <v>0.902</v>
      </c>
      <c r="AL104" s="76" t="n">
        <v>0.902</v>
      </c>
      <c r="AM104" s="76" t="n">
        <v>0.902</v>
      </c>
      <c r="AN104" s="76" t="n">
        <v>0.902</v>
      </c>
      <c r="AO104" s="76" t="n">
        <v>0.902</v>
      </c>
      <c r="AP104" s="76" t="n">
        <v>0.902</v>
      </c>
      <c r="AQ104" s="76" t="n"/>
      <c r="AR104" s="76" t="n">
        <v>0.9020000000000004</v>
      </c>
    </row>
    <row r="105">
      <c r="A105" s="76" t="inlineStr">
        <is>
          <t>CT</t>
        </is>
      </c>
      <c r="B105" s="76" t="inlineStr">
        <is>
          <t>Other</t>
        </is>
      </c>
      <c r="C105" s="76" t="n">
        <v>0</v>
      </c>
      <c r="D105" s="76" t="n">
        <v>0</v>
      </c>
      <c r="E105" s="76" t="n">
        <v>0</v>
      </c>
      <c r="F105" s="76" t="n">
        <v>0</v>
      </c>
      <c r="G105" s="76" t="n">
        <v>0</v>
      </c>
      <c r="H105" s="76" t="n">
        <v>0</v>
      </c>
      <c r="I105" s="76" t="n">
        <v>0</v>
      </c>
      <c r="J105" s="76" t="n">
        <v>0</v>
      </c>
      <c r="K105" s="76" t="n">
        <v>0</v>
      </c>
      <c r="L105" s="76" t="n">
        <v>0</v>
      </c>
      <c r="M105" s="76" t="n">
        <v>0</v>
      </c>
      <c r="N105" s="76" t="n">
        <v>0</v>
      </c>
      <c r="O105" s="76" t="n">
        <v>0</v>
      </c>
      <c r="P105" s="76" t="n">
        <v>0</v>
      </c>
      <c r="Q105" s="76" t="n">
        <v>0</v>
      </c>
      <c r="R105" s="76" t="n">
        <v>0</v>
      </c>
      <c r="S105" s="76" t="n">
        <v>0</v>
      </c>
      <c r="T105" s="76" t="n">
        <v>0</v>
      </c>
      <c r="U105" s="76" t="n">
        <v>0</v>
      </c>
      <c r="V105" s="76" t="n">
        <v>0</v>
      </c>
      <c r="W105" s="76" t="n">
        <v>0</v>
      </c>
      <c r="X105" s="76" t="n">
        <v>0</v>
      </c>
      <c r="Y105" s="76" t="n">
        <v>0</v>
      </c>
      <c r="Z105" s="76" t="n">
        <v>0</v>
      </c>
      <c r="AA105" s="76" t="n">
        <v>0</v>
      </c>
      <c r="AB105" s="76" t="n">
        <v>0</v>
      </c>
      <c r="AC105" s="76" t="n">
        <v>0</v>
      </c>
      <c r="AD105" s="76" t="n">
        <v>0</v>
      </c>
      <c r="AE105" s="76" t="n">
        <v>0</v>
      </c>
      <c r="AF105" s="76" t="n">
        <v>0</v>
      </c>
      <c r="AG105" s="76" t="n">
        <v>0</v>
      </c>
      <c r="AH105" s="76" t="n">
        <v>0</v>
      </c>
      <c r="AI105" s="76" t="n">
        <v>0</v>
      </c>
      <c r="AJ105" s="76" t="n">
        <v>0</v>
      </c>
      <c r="AK105" s="76" t="n">
        <v>0</v>
      </c>
      <c r="AL105" s="76" t="n">
        <v>0</v>
      </c>
      <c r="AM105" s="76" t="n">
        <v>0</v>
      </c>
      <c r="AN105" s="76" t="n">
        <v>0</v>
      </c>
      <c r="AO105" s="76" t="n">
        <v>0</v>
      </c>
      <c r="AP105" s="76" t="n">
        <v>0</v>
      </c>
      <c r="AQ105" s="76" t="n">
        <v>0</v>
      </c>
      <c r="AR105" s="76" t="n">
        <v>0</v>
      </c>
    </row>
    <row r="106">
      <c r="A106" s="76" t="inlineStr">
        <is>
          <t>CT</t>
        </is>
      </c>
      <c r="B106" s="76" t="inlineStr">
        <is>
          <t>Utility PV</t>
        </is>
      </c>
      <c r="C106" s="76" t="n"/>
      <c r="D106" s="76" t="n"/>
      <c r="E106" s="76" t="n"/>
      <c r="F106" s="76" t="n">
        <v>0.217</v>
      </c>
      <c r="G106" s="76" t="n">
        <v>0.217</v>
      </c>
      <c r="H106" s="76" t="n">
        <v>0.217</v>
      </c>
      <c r="I106" s="76" t="n">
        <v>0.216</v>
      </c>
      <c r="J106" s="76" t="n">
        <v>0.216</v>
      </c>
      <c r="K106" s="76" t="n">
        <v>0.216</v>
      </c>
      <c r="L106" s="76" t="n">
        <v>0.217</v>
      </c>
      <c r="M106" s="76" t="n">
        <v>0.217</v>
      </c>
      <c r="N106" s="76" t="n">
        <v>0.216</v>
      </c>
      <c r="O106" s="76" t="n">
        <v>0.215</v>
      </c>
      <c r="P106" s="76" t="n">
        <v>0.214</v>
      </c>
      <c r="Q106" s="76" t="n">
        <v>0.213</v>
      </c>
      <c r="R106" s="76" t="n">
        <v>0.212</v>
      </c>
      <c r="S106" s="76" t="n">
        <v>0.211</v>
      </c>
      <c r="T106" s="76" t="n">
        <v>0.21</v>
      </c>
      <c r="U106" s="76" t="n">
        <v>0.209</v>
      </c>
      <c r="V106" s="76" t="n">
        <v>0.207</v>
      </c>
      <c r="W106" s="76" t="n">
        <v>0.206</v>
      </c>
      <c r="X106" s="76" t="n">
        <v>0.205</v>
      </c>
      <c r="Y106" s="76" t="n">
        <v>0.204</v>
      </c>
      <c r="Z106" s="76" t="n">
        <v>0.204</v>
      </c>
      <c r="AA106" s="76" t="n">
        <v>0.204</v>
      </c>
      <c r="AB106" s="76" t="n">
        <v>0.204</v>
      </c>
      <c r="AC106" s="76" t="n">
        <v>0.206</v>
      </c>
      <c r="AD106" s="76" t="n">
        <v>0.208</v>
      </c>
      <c r="AE106" s="76" t="n">
        <v>0.209</v>
      </c>
      <c r="AF106" s="76" t="n">
        <v>0.21</v>
      </c>
      <c r="AG106" s="76" t="n">
        <v>0.21</v>
      </c>
      <c r="AH106" s="76" t="n">
        <v>0.209</v>
      </c>
      <c r="AI106" s="76" t="n">
        <v>0.208</v>
      </c>
      <c r="AJ106" s="76" t="n">
        <v>0.207</v>
      </c>
      <c r="AK106" s="76" t="n">
        <v>0.206</v>
      </c>
      <c r="AL106" s="76" t="n">
        <v>0.205</v>
      </c>
      <c r="AM106" s="76" t="n">
        <v>0.205</v>
      </c>
      <c r="AN106" s="76" t="n">
        <v>0.205</v>
      </c>
      <c r="AO106" s="76" t="n">
        <v>0.206</v>
      </c>
      <c r="AP106" s="76" t="n">
        <v>0.206</v>
      </c>
      <c r="AQ106" s="76" t="n">
        <v>0.206</v>
      </c>
      <c r="AR106" s="76" t="n">
        <v>0.2098157894736842</v>
      </c>
    </row>
    <row r="107">
      <c r="A107" s="76" t="inlineStr">
        <is>
          <t>CT</t>
        </is>
      </c>
      <c r="B107" s="76" t="inlineStr">
        <is>
          <t>Wind offshore</t>
        </is>
      </c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>
        <v>0.435</v>
      </c>
      <c r="Q107" s="76" t="n">
        <v>0.435</v>
      </c>
      <c r="R107" s="76" t="n">
        <v>0.435</v>
      </c>
      <c r="S107" s="76" t="n">
        <v>0.435</v>
      </c>
      <c r="T107" s="76" t="n">
        <v>0.435</v>
      </c>
      <c r="U107" s="76" t="n">
        <v>0.435</v>
      </c>
      <c r="V107" s="76" t="n">
        <v>0.385</v>
      </c>
      <c r="W107" s="76" t="n">
        <v>0.378</v>
      </c>
      <c r="X107" s="76" t="n">
        <v>0.386</v>
      </c>
      <c r="Y107" s="76" t="n">
        <v>0.393</v>
      </c>
      <c r="Z107" s="76" t="n">
        <v>0.394</v>
      </c>
      <c r="AA107" s="76" t="n">
        <v>0.395</v>
      </c>
      <c r="AB107" s="76" t="n">
        <v>0.395</v>
      </c>
      <c r="AC107" s="76" t="n">
        <v>0.395</v>
      </c>
      <c r="AD107" s="76" t="n">
        <v>0.394</v>
      </c>
      <c r="AE107" s="76" t="n">
        <v>0.393</v>
      </c>
      <c r="AF107" s="76" t="n">
        <v>0.392</v>
      </c>
      <c r="AG107" s="76" t="n">
        <v>0.392</v>
      </c>
      <c r="AH107" s="76" t="n">
        <v>0.393</v>
      </c>
      <c r="AI107" s="76" t="n">
        <v>0.394</v>
      </c>
      <c r="AJ107" s="76" t="n">
        <v>0.395</v>
      </c>
      <c r="AK107" s="76" t="n">
        <v>0.396</v>
      </c>
      <c r="AL107" s="76" t="n">
        <v>0.397</v>
      </c>
      <c r="AM107" s="76" t="n">
        <v>0.397</v>
      </c>
      <c r="AN107" s="76" t="n">
        <v>0.397</v>
      </c>
      <c r="AO107" s="76" t="n">
        <v>0.397</v>
      </c>
      <c r="AP107" s="76" t="n">
        <v>0.397</v>
      </c>
      <c r="AQ107" s="76" t="n">
        <v>0.397</v>
      </c>
      <c r="AR107" s="76" t="n">
        <v>0.4022142857142858</v>
      </c>
    </row>
    <row r="108">
      <c r="A108" s="76" t="inlineStr">
        <is>
          <t>CT</t>
        </is>
      </c>
      <c r="B108" s="76" t="inlineStr">
        <is>
          <t>Wind onshore</t>
        </is>
      </c>
      <c r="C108" s="76" t="n"/>
      <c r="D108" s="76" t="n"/>
      <c r="E108" s="76" t="n"/>
      <c r="F108" s="76" t="n"/>
      <c r="G108" s="76" t="n"/>
      <c r="H108" s="76" t="n">
        <v>0.394</v>
      </c>
      <c r="I108" s="76" t="n">
        <v>0.394</v>
      </c>
      <c r="J108" s="76" t="n">
        <v>0.394</v>
      </c>
      <c r="K108" s="76" t="n">
        <v>0.394</v>
      </c>
      <c r="L108" s="76" t="n">
        <v>0.394</v>
      </c>
      <c r="M108" s="76" t="n">
        <v>0.394</v>
      </c>
      <c r="N108" s="76" t="n">
        <v>0.458</v>
      </c>
      <c r="O108" s="76" t="n">
        <v>0.459</v>
      </c>
      <c r="P108" s="76" t="n">
        <v>0.459</v>
      </c>
      <c r="Q108" s="76" t="n">
        <v>0.459</v>
      </c>
      <c r="R108" s="76" t="n">
        <v>0.459</v>
      </c>
      <c r="S108" s="76" t="n">
        <v>0.459</v>
      </c>
      <c r="T108" s="76" t="n">
        <v>0.453</v>
      </c>
      <c r="U108" s="76" t="n">
        <v>0.451</v>
      </c>
      <c r="V108" s="76" t="n">
        <v>0.44</v>
      </c>
      <c r="W108" s="76" t="n">
        <v>0.43</v>
      </c>
      <c r="X108" s="76" t="n">
        <v>0.389</v>
      </c>
      <c r="Y108" s="76" t="n">
        <v>0.348</v>
      </c>
      <c r="Z108" s="76" t="n">
        <v>0.405</v>
      </c>
      <c r="AA108" s="76" t="n">
        <v>0.419</v>
      </c>
      <c r="AB108" s="76" t="n">
        <v>0.424</v>
      </c>
      <c r="AC108" s="76" t="n">
        <v>0.416</v>
      </c>
      <c r="AD108" s="76" t="n">
        <v>0.408</v>
      </c>
      <c r="AE108" s="76" t="n">
        <v>0.4</v>
      </c>
      <c r="AF108" s="76" t="n">
        <v>0.392</v>
      </c>
      <c r="AG108" s="76" t="n">
        <v>0.385</v>
      </c>
      <c r="AH108" s="76" t="n">
        <v>0.39</v>
      </c>
      <c r="AI108" s="76" t="n">
        <v>0.395</v>
      </c>
      <c r="AJ108" s="76" t="n">
        <v>0.4</v>
      </c>
      <c r="AK108" s="76" t="n">
        <v>0.406</v>
      </c>
      <c r="AL108" s="76" t="n">
        <v>0.411</v>
      </c>
      <c r="AM108" s="76" t="n">
        <v>0.42</v>
      </c>
      <c r="AN108" s="76" t="n">
        <v>0.428</v>
      </c>
      <c r="AO108" s="76" t="n">
        <v>0.436</v>
      </c>
      <c r="AP108" s="76" t="n">
        <v>0.442</v>
      </c>
      <c r="AQ108" s="76" t="n">
        <v>0.448</v>
      </c>
      <c r="AR108" s="76" t="n">
        <v>0.4181388888888889</v>
      </c>
    </row>
    <row r="109">
      <c r="A109" s="76" t="inlineStr">
        <is>
          <t>DE</t>
        </is>
      </c>
      <c r="B109" s="76" t="inlineStr">
        <is>
          <t>DE</t>
        </is>
      </c>
      <c r="C109" s="76" t="n">
        <v>0.2668333333333333</v>
      </c>
      <c r="D109" s="76" t="n">
        <v>0.257</v>
      </c>
      <c r="E109" s="76" t="n">
        <v>0.2325714285714286</v>
      </c>
      <c r="F109" s="76" t="n">
        <v>0.2162857142857143</v>
      </c>
      <c r="G109" s="76" t="n">
        <v>0.1997142857142857</v>
      </c>
      <c r="H109" s="76" t="n">
        <v>0.2144285714285714</v>
      </c>
      <c r="I109" s="76" t="n">
        <v>0.2268571428571429</v>
      </c>
      <c r="J109" s="76" t="n">
        <v>0.2107142857142857</v>
      </c>
      <c r="K109" s="76" t="n">
        <v>0.1947142857142858</v>
      </c>
      <c r="L109" s="76" t="n">
        <v>0.2031428571428572</v>
      </c>
      <c r="M109" s="76" t="n">
        <v>0.2115714285714286</v>
      </c>
      <c r="N109" s="76" t="n">
        <v>0.236</v>
      </c>
      <c r="O109" s="76" t="n">
        <v>0.2655714285714286</v>
      </c>
      <c r="P109" s="76" t="n">
        <v>0.2551428571428572</v>
      </c>
      <c r="Q109" s="76" t="n">
        <v>0.2445714285714286</v>
      </c>
      <c r="R109" s="76" t="n">
        <v>0.2277142857142857</v>
      </c>
      <c r="S109" s="76" t="n">
        <v>0.2135714285714286</v>
      </c>
      <c r="T109" s="76" t="n">
        <v>0.2097142857142857</v>
      </c>
      <c r="U109" s="76" t="n">
        <v>0.204</v>
      </c>
      <c r="V109" s="76" t="n">
        <v>0.16375</v>
      </c>
      <c r="W109" s="76" t="n">
        <v>0.158875</v>
      </c>
      <c r="X109" s="76" t="n">
        <v>0.158</v>
      </c>
      <c r="Y109" s="76" t="n">
        <v>0.157375</v>
      </c>
      <c r="Z109" s="76" t="n">
        <v>0.1555</v>
      </c>
      <c r="AA109" s="76" t="n">
        <v>0.154125</v>
      </c>
      <c r="AB109" s="76" t="n">
        <v>0.15275</v>
      </c>
      <c r="AC109" s="76" t="n">
        <v>0.15175</v>
      </c>
      <c r="AD109" s="76" t="n">
        <v>0.150875</v>
      </c>
      <c r="AE109" s="76" t="n">
        <v>0.149875</v>
      </c>
      <c r="AF109" s="76" t="n">
        <v>0.149</v>
      </c>
      <c r="AG109" s="76" t="n">
        <v>0.148125</v>
      </c>
      <c r="AH109" s="76" t="n">
        <v>0.1704444444444445</v>
      </c>
      <c r="AI109" s="76" t="n">
        <v>0.1711111111111111</v>
      </c>
      <c r="AJ109" s="76" t="n">
        <v>0.1718888888888889</v>
      </c>
      <c r="AK109" s="76" t="n">
        <v>0.1726666666666667</v>
      </c>
      <c r="AL109" s="76" t="n">
        <v>0.1732222222222222</v>
      </c>
      <c r="AM109" s="76" t="n">
        <v>0.1737777777777778</v>
      </c>
      <c r="AN109" s="76" t="n">
        <v>0.1735555555555556</v>
      </c>
      <c r="AO109" s="76" t="n">
        <v>0.1732222222222222</v>
      </c>
      <c r="AP109" s="76" t="n">
        <v>0.1725555555555555</v>
      </c>
      <c r="AQ109" s="76" t="n">
        <v>0.1718888888888889</v>
      </c>
      <c r="AR109" s="76" t="n">
        <v>0.1890877742946708</v>
      </c>
    </row>
    <row r="110">
      <c r="A110" s="76" t="inlineStr">
        <is>
          <t>DE</t>
        </is>
      </c>
      <c r="B110" s="76" t="inlineStr">
        <is>
          <t>Battery</t>
        </is>
      </c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>
        <v>-0.07000000000000001</v>
      </c>
      <c r="W110" s="76" t="n">
        <v>-0.07000000000000001</v>
      </c>
      <c r="X110" s="76" t="n">
        <v>-0.066</v>
      </c>
      <c r="Y110" s="76" t="n">
        <v>-0.065</v>
      </c>
      <c r="Z110" s="76" t="n">
        <v>-0.062</v>
      </c>
      <c r="AA110" s="76" t="n">
        <v>-0.059</v>
      </c>
      <c r="AB110" s="76" t="n">
        <v>-0.057</v>
      </c>
      <c r="AC110" s="76" t="n">
        <v>-0.059</v>
      </c>
      <c r="AD110" s="76" t="n">
        <v>-0.061</v>
      </c>
      <c r="AE110" s="76" t="n">
        <v>-0.063</v>
      </c>
      <c r="AF110" s="76" t="n">
        <v>-0.064</v>
      </c>
      <c r="AG110" s="76" t="n">
        <v>-0.066</v>
      </c>
      <c r="AH110" s="76" t="n">
        <v>-0.065</v>
      </c>
      <c r="AI110" s="76" t="n">
        <v>-0.065</v>
      </c>
      <c r="AJ110" s="76" t="n">
        <v>-0.064</v>
      </c>
      <c r="AK110" s="76" t="n">
        <v>-0.064</v>
      </c>
      <c r="AL110" s="76" t="n">
        <v>-0.064</v>
      </c>
      <c r="AM110" s="76" t="n">
        <v>-0.064</v>
      </c>
      <c r="AN110" s="76" t="n">
        <v>-0.063</v>
      </c>
      <c r="AO110" s="76" t="n">
        <v>-0.063</v>
      </c>
      <c r="AP110" s="76" t="n">
        <v>-0.063</v>
      </c>
      <c r="AQ110" s="76" t="n">
        <v>-0.063</v>
      </c>
      <c r="AR110" s="76" t="n">
        <v>-0.06363636363636363</v>
      </c>
    </row>
    <row r="111">
      <c r="A111" s="76" t="inlineStr">
        <is>
          <t>DE</t>
        </is>
      </c>
      <c r="B111" s="76" t="inlineStr">
        <is>
          <t>Biopower</t>
        </is>
      </c>
      <c r="C111" s="76" t="n">
        <v>0.522</v>
      </c>
      <c r="D111" s="76" t="n">
        <v>0.522</v>
      </c>
      <c r="E111" s="76" t="n">
        <v>0.522</v>
      </c>
      <c r="F111" s="76" t="n">
        <v>0.522</v>
      </c>
      <c r="G111" s="76" t="n">
        <v>0.522</v>
      </c>
      <c r="H111" s="76" t="n">
        <v>0.522</v>
      </c>
      <c r="I111" s="76" t="n">
        <v>0.522</v>
      </c>
      <c r="J111" s="76" t="n">
        <v>0.522</v>
      </c>
      <c r="K111" s="76" t="n">
        <v>0.522</v>
      </c>
      <c r="L111" s="76" t="n">
        <v>0.522</v>
      </c>
      <c r="M111" s="76" t="n">
        <v>0.522</v>
      </c>
      <c r="N111" s="76" t="n">
        <v>0.522</v>
      </c>
      <c r="O111" s="76" t="n">
        <v>0.522</v>
      </c>
      <c r="P111" s="76" t="n">
        <v>0.522</v>
      </c>
      <c r="Q111" s="76" t="n">
        <v>0.522</v>
      </c>
      <c r="R111" s="76" t="n">
        <v>0.522</v>
      </c>
      <c r="S111" s="76" t="n">
        <v>0.522</v>
      </c>
      <c r="T111" s="76" t="n">
        <v>0.522</v>
      </c>
      <c r="U111" s="76" t="n">
        <v>0.522</v>
      </c>
      <c r="V111" s="76" t="n">
        <v>0.522</v>
      </c>
      <c r="W111" s="76" t="n">
        <v>0.522</v>
      </c>
      <c r="X111" s="76" t="n">
        <v>0.522</v>
      </c>
      <c r="Y111" s="76" t="n">
        <v>0.522</v>
      </c>
      <c r="Z111" s="76" t="n">
        <v>0.522</v>
      </c>
      <c r="AA111" s="76" t="n">
        <v>0.522</v>
      </c>
      <c r="AB111" s="76" t="n">
        <v>0.522</v>
      </c>
      <c r="AC111" s="76" t="n">
        <v>0.522</v>
      </c>
      <c r="AD111" s="76" t="n">
        <v>0.522</v>
      </c>
      <c r="AE111" s="76" t="n">
        <v>0.522</v>
      </c>
      <c r="AF111" s="76" t="n">
        <v>0.522</v>
      </c>
      <c r="AG111" s="76" t="n">
        <v>0.522</v>
      </c>
      <c r="AH111" s="76" t="n">
        <v>0.522</v>
      </c>
      <c r="AI111" s="76" t="n">
        <v>0.522</v>
      </c>
      <c r="AJ111" s="76" t="n">
        <v>0.522</v>
      </c>
      <c r="AK111" s="76" t="n">
        <v>0.522</v>
      </c>
      <c r="AL111" s="76" t="n">
        <v>0.522</v>
      </c>
      <c r="AM111" s="76" t="n">
        <v>0.509</v>
      </c>
      <c r="AN111" s="76" t="n">
        <v>0.496</v>
      </c>
      <c r="AO111" s="76" t="n">
        <v>0.483</v>
      </c>
      <c r="AP111" s="76" t="n">
        <v>0.47</v>
      </c>
      <c r="AQ111" s="76" t="n">
        <v>0.456</v>
      </c>
      <c r="AR111" s="76" t="n">
        <v>0.5172195121951219</v>
      </c>
    </row>
    <row r="112">
      <c r="A112" s="76" t="inlineStr">
        <is>
          <t>DE</t>
        </is>
      </c>
      <c r="B112" s="76" t="inlineStr">
        <is>
          <t>Coal</t>
        </is>
      </c>
      <c r="C112" s="76" t="n">
        <v>0.622</v>
      </c>
      <c r="D112" s="76" t="n">
        <v>0.383</v>
      </c>
      <c r="E112" s="76" t="n">
        <v>0.012</v>
      </c>
      <c r="F112" s="76" t="n">
        <v>0.01</v>
      </c>
      <c r="G112" s="76" t="n">
        <v>0.006</v>
      </c>
      <c r="H112" s="76" t="n">
        <v>0.003</v>
      </c>
      <c r="I112" s="76" t="n">
        <v>0</v>
      </c>
      <c r="J112" s="76" t="n">
        <v>0</v>
      </c>
      <c r="K112" s="76" t="n">
        <v>0</v>
      </c>
      <c r="L112" s="76" t="n">
        <v>0</v>
      </c>
      <c r="M112" s="76" t="n">
        <v>0</v>
      </c>
      <c r="N112" s="76" t="n">
        <v>0</v>
      </c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  <c r="AA112" s="76" t="n"/>
      <c r="AB112" s="76" t="n"/>
      <c r="AC112" s="76" t="n"/>
      <c r="AD112" s="76" t="n"/>
      <c r="AE112" s="76" t="n"/>
      <c r="AF112" s="76" t="n"/>
      <c r="AG112" s="76" t="n"/>
      <c r="AH112" s="76" t="n"/>
      <c r="AI112" s="76" t="n"/>
      <c r="AJ112" s="76" t="n"/>
      <c r="AK112" s="76" t="n"/>
      <c r="AL112" s="76" t="n"/>
      <c r="AM112" s="76" t="n"/>
      <c r="AN112" s="76" t="n"/>
      <c r="AO112" s="76" t="n"/>
      <c r="AP112" s="76" t="n"/>
      <c r="AQ112" s="76" t="n"/>
      <c r="AR112" s="76" t="n">
        <v>0.08633333333333332</v>
      </c>
    </row>
    <row r="113">
      <c r="A113" s="76" t="inlineStr">
        <is>
          <t>DE</t>
        </is>
      </c>
      <c r="B113" s="76" t="inlineStr">
        <is>
          <t>CSP</t>
        </is>
      </c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76" t="n"/>
      <c r="AF113" s="76" t="n"/>
      <c r="AG113" s="76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</row>
    <row r="114">
      <c r="A114" s="76" t="inlineStr">
        <is>
          <t>DE</t>
        </is>
      </c>
      <c r="B114" s="76" t="inlineStr">
        <is>
          <t>Dist PV</t>
        </is>
      </c>
      <c r="C114" s="76" t="n">
        <v>0.168</v>
      </c>
      <c r="D114" s="76" t="n">
        <v>0.168</v>
      </c>
      <c r="E114" s="76" t="n">
        <v>0.168</v>
      </c>
      <c r="F114" s="76" t="n">
        <v>0.168</v>
      </c>
      <c r="G114" s="76" t="n">
        <v>0.168</v>
      </c>
      <c r="H114" s="76" t="n">
        <v>0.168</v>
      </c>
      <c r="I114" s="76" t="n">
        <v>0.168</v>
      </c>
      <c r="J114" s="76" t="n">
        <v>0.168</v>
      </c>
      <c r="K114" s="76" t="n">
        <v>0.168</v>
      </c>
      <c r="L114" s="76" t="n">
        <v>0.168</v>
      </c>
      <c r="M114" s="76" t="n">
        <v>0.168</v>
      </c>
      <c r="N114" s="76" t="n">
        <v>0.168</v>
      </c>
      <c r="O114" s="76" t="n">
        <v>0.168</v>
      </c>
      <c r="P114" s="76" t="n">
        <v>0.168</v>
      </c>
      <c r="Q114" s="76" t="n">
        <v>0.168</v>
      </c>
      <c r="R114" s="76" t="n">
        <v>0.168</v>
      </c>
      <c r="S114" s="76" t="n">
        <v>0.168</v>
      </c>
      <c r="T114" s="76" t="n">
        <v>0.168</v>
      </c>
      <c r="U114" s="76" t="n">
        <v>0.168</v>
      </c>
      <c r="V114" s="76" t="n">
        <v>0.168</v>
      </c>
      <c r="W114" s="76" t="n">
        <v>0.168</v>
      </c>
      <c r="X114" s="76" t="n">
        <v>0.168</v>
      </c>
      <c r="Y114" s="76" t="n">
        <v>0.168</v>
      </c>
      <c r="Z114" s="76" t="n">
        <v>0.168</v>
      </c>
      <c r="AA114" s="76" t="n">
        <v>0.168</v>
      </c>
      <c r="AB114" s="76" t="n">
        <v>0.168</v>
      </c>
      <c r="AC114" s="76" t="n">
        <v>0.168</v>
      </c>
      <c r="AD114" s="76" t="n">
        <v>0.168</v>
      </c>
      <c r="AE114" s="76" t="n">
        <v>0.168</v>
      </c>
      <c r="AF114" s="76" t="n">
        <v>0.168</v>
      </c>
      <c r="AG114" s="76" t="n">
        <v>0.168</v>
      </c>
      <c r="AH114" s="76" t="n">
        <v>0.168</v>
      </c>
      <c r="AI114" s="76" t="n">
        <v>0.168</v>
      </c>
      <c r="AJ114" s="76" t="n">
        <v>0.168</v>
      </c>
      <c r="AK114" s="76" t="n">
        <v>0.168</v>
      </c>
      <c r="AL114" s="76" t="n">
        <v>0.168</v>
      </c>
      <c r="AM114" s="76" t="n">
        <v>0.168</v>
      </c>
      <c r="AN114" s="76" t="n">
        <v>0.168</v>
      </c>
      <c r="AO114" s="76" t="n">
        <v>0.168</v>
      </c>
      <c r="AP114" s="76" t="n">
        <v>0.168</v>
      </c>
      <c r="AQ114" s="76" t="n">
        <v>0.168</v>
      </c>
      <c r="AR114" s="76" t="n">
        <v>0.1680000000000001</v>
      </c>
    </row>
    <row r="115">
      <c r="A115" s="76" t="inlineStr">
        <is>
          <t>DE</t>
        </is>
      </c>
      <c r="B115" s="76" t="inlineStr">
        <is>
          <t>Gas CCGT</t>
        </is>
      </c>
      <c r="C115" s="76" t="n">
        <v>0.285</v>
      </c>
      <c r="D115" s="76" t="n">
        <v>0.485</v>
      </c>
      <c r="E115" s="76" t="n">
        <v>0.6850000000000001</v>
      </c>
      <c r="F115" s="76" t="n">
        <v>0.574</v>
      </c>
      <c r="G115" s="76" t="n">
        <v>0.463</v>
      </c>
      <c r="H115" s="76" t="n">
        <v>0.57</v>
      </c>
      <c r="I115" s="76" t="n">
        <v>0.661</v>
      </c>
      <c r="J115" s="76" t="n">
        <v>0.549</v>
      </c>
      <c r="K115" s="76" t="n">
        <v>0.438</v>
      </c>
      <c r="L115" s="76" t="n">
        <v>0.498</v>
      </c>
      <c r="M115" s="76" t="n">
        <v>0.5580000000000001</v>
      </c>
      <c r="N115" s="76" t="n">
        <v>0.531</v>
      </c>
      <c r="O115" s="76" t="n">
        <v>0.503</v>
      </c>
      <c r="P115" s="76" t="n">
        <v>0.431</v>
      </c>
      <c r="Q115" s="76" t="n">
        <v>0.359</v>
      </c>
      <c r="R115" s="76" t="n">
        <v>0.263</v>
      </c>
      <c r="S115" s="76" t="n">
        <v>0.168</v>
      </c>
      <c r="T115" s="76" t="n">
        <v>0.128</v>
      </c>
      <c r="U115" s="76" t="n">
        <v>0.08799999999999999</v>
      </c>
      <c r="V115" s="76" t="n">
        <v>0.059</v>
      </c>
      <c r="W115" s="76" t="n">
        <v>0.029</v>
      </c>
      <c r="X115" s="76" t="n">
        <v>0.029</v>
      </c>
      <c r="Y115" s="76" t="n">
        <v>0.028</v>
      </c>
      <c r="Z115" s="76" t="n">
        <v>0.023</v>
      </c>
      <c r="AA115" s="76" t="n">
        <v>0.017</v>
      </c>
      <c r="AB115" s="76" t="n">
        <v>0.011</v>
      </c>
      <c r="AC115" s="76" t="n">
        <v>0.008999999999999999</v>
      </c>
      <c r="AD115" s="76" t="n">
        <v>0.007</v>
      </c>
      <c r="AE115" s="76" t="n">
        <v>0.005</v>
      </c>
      <c r="AF115" s="76" t="n">
        <v>0.002</v>
      </c>
      <c r="AG115" s="76" t="n">
        <v>0</v>
      </c>
      <c r="AH115" s="76" t="n">
        <v>0</v>
      </c>
      <c r="AI115" s="76" t="n">
        <v>0</v>
      </c>
      <c r="AJ115" s="76" t="n">
        <v>0</v>
      </c>
      <c r="AK115" s="76" t="n">
        <v>0</v>
      </c>
      <c r="AL115" s="76" t="n">
        <v>0</v>
      </c>
      <c r="AM115" s="76" t="n">
        <v>0.004</v>
      </c>
      <c r="AN115" s="76" t="n">
        <v>0.008</v>
      </c>
      <c r="AO115" s="76" t="n">
        <v>0.012</v>
      </c>
      <c r="AP115" s="76" t="n">
        <v>0.016</v>
      </c>
      <c r="AQ115" s="76" t="n">
        <v>0.021</v>
      </c>
      <c r="AR115" s="76" t="n">
        <v>0.2077317073170731</v>
      </c>
    </row>
    <row r="116">
      <c r="A116" s="76" t="inlineStr">
        <is>
          <t>DE</t>
        </is>
      </c>
      <c r="B116" s="76" t="inlineStr">
        <is>
          <t>Gas CT</t>
        </is>
      </c>
      <c r="C116" s="76" t="n">
        <v>0.004</v>
      </c>
      <c r="D116" s="76" t="n">
        <v>0.004</v>
      </c>
      <c r="E116" s="76" t="n">
        <v>0.004</v>
      </c>
      <c r="F116" s="76" t="n">
        <v>0.004</v>
      </c>
      <c r="G116" s="76" t="n">
        <v>0.004</v>
      </c>
      <c r="H116" s="76" t="n">
        <v>0.004</v>
      </c>
      <c r="I116" s="76" t="n">
        <v>0.004</v>
      </c>
      <c r="J116" s="76" t="n">
        <v>0.004</v>
      </c>
      <c r="K116" s="76" t="n">
        <v>0.004</v>
      </c>
      <c r="L116" s="76" t="n">
        <v>0.004</v>
      </c>
      <c r="M116" s="76" t="n">
        <v>0.004</v>
      </c>
      <c r="N116" s="76" t="n">
        <v>0.004</v>
      </c>
      <c r="O116" s="76" t="n">
        <v>0.004</v>
      </c>
      <c r="P116" s="76" t="n">
        <v>0.004</v>
      </c>
      <c r="Q116" s="76" t="n">
        <v>0.003</v>
      </c>
      <c r="R116" s="76" t="n">
        <v>0.002</v>
      </c>
      <c r="S116" s="76" t="n">
        <v>0</v>
      </c>
      <c r="T116" s="76" t="n">
        <v>0</v>
      </c>
      <c r="U116" s="76" t="n">
        <v>0</v>
      </c>
      <c r="V116" s="76" t="n">
        <v>0</v>
      </c>
      <c r="W116" s="76" t="n">
        <v>0</v>
      </c>
      <c r="X116" s="76" t="n">
        <v>0</v>
      </c>
      <c r="Y116" s="76" t="n">
        <v>0</v>
      </c>
      <c r="Z116" s="76" t="n">
        <v>0</v>
      </c>
      <c r="AA116" s="76" t="n">
        <v>0</v>
      </c>
      <c r="AB116" s="76" t="n">
        <v>0</v>
      </c>
      <c r="AC116" s="76" t="n">
        <v>0</v>
      </c>
      <c r="AD116" s="76" t="n">
        <v>0</v>
      </c>
      <c r="AE116" s="76" t="n">
        <v>0</v>
      </c>
      <c r="AF116" s="76" t="n">
        <v>0</v>
      </c>
      <c r="AG116" s="76" t="n">
        <v>0</v>
      </c>
      <c r="AH116" s="76" t="n">
        <v>0</v>
      </c>
      <c r="AI116" s="76" t="n">
        <v>0</v>
      </c>
      <c r="AJ116" s="76" t="n">
        <v>0</v>
      </c>
      <c r="AK116" s="76" t="n">
        <v>0</v>
      </c>
      <c r="AL116" s="76" t="n">
        <v>0</v>
      </c>
      <c r="AM116" s="76" t="n">
        <v>0</v>
      </c>
      <c r="AN116" s="76" t="n">
        <v>0</v>
      </c>
      <c r="AO116" s="76" t="n">
        <v>0</v>
      </c>
      <c r="AP116" s="76" t="n">
        <v>0</v>
      </c>
      <c r="AQ116" s="76" t="n">
        <v>0</v>
      </c>
      <c r="AR116" s="76" t="n">
        <v>0.001487804878048781</v>
      </c>
    </row>
    <row r="117">
      <c r="A117" s="76" t="inlineStr">
        <is>
          <t>DE</t>
        </is>
      </c>
      <c r="B117" s="76" t="inlineStr">
        <is>
          <t>Geothermal</t>
        </is>
      </c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  <c r="AA117" s="76" t="n"/>
      <c r="AB117" s="76" t="n"/>
      <c r="AC117" s="76" t="n"/>
      <c r="AD117" s="76" t="n"/>
      <c r="AE117" s="76" t="n"/>
      <c r="AF117" s="76" t="n"/>
      <c r="AG117" s="76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</row>
    <row r="118">
      <c r="A118" s="76" t="inlineStr">
        <is>
          <t>DE</t>
        </is>
      </c>
      <c r="B118" s="76" t="inlineStr">
        <is>
          <t>Hydro</t>
        </is>
      </c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</row>
    <row r="119">
      <c r="A119" s="76" t="inlineStr">
        <is>
          <t>DE</t>
        </is>
      </c>
      <c r="B119" s="76" t="inlineStr">
        <is>
          <t>Nuclear</t>
        </is>
      </c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76" t="n"/>
      <c r="AE119" s="76" t="n"/>
      <c r="AF119" s="76" t="n"/>
      <c r="AG119" s="76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</row>
    <row r="120">
      <c r="A120" s="76" t="inlineStr">
        <is>
          <t>DE</t>
        </is>
      </c>
      <c r="B120" s="76" t="inlineStr">
        <is>
          <t>Other</t>
        </is>
      </c>
      <c r="C120" s="76" t="n">
        <v>0</v>
      </c>
      <c r="D120" s="76" t="n">
        <v>0</v>
      </c>
      <c r="E120" s="76" t="n">
        <v>0</v>
      </c>
      <c r="F120" s="76" t="n">
        <v>0</v>
      </c>
      <c r="G120" s="76" t="n">
        <v>0</v>
      </c>
      <c r="H120" s="76" t="n">
        <v>0</v>
      </c>
      <c r="I120" s="76" t="n">
        <v>0</v>
      </c>
      <c r="J120" s="76" t="n">
        <v>0</v>
      </c>
      <c r="K120" s="76" t="n">
        <v>0</v>
      </c>
      <c r="L120" s="76" t="n">
        <v>0</v>
      </c>
      <c r="M120" s="76" t="n">
        <v>0</v>
      </c>
      <c r="N120" s="76" t="n">
        <v>0</v>
      </c>
      <c r="O120" s="76" t="n">
        <v>0</v>
      </c>
      <c r="P120" s="76" t="n">
        <v>0</v>
      </c>
      <c r="Q120" s="76" t="n">
        <v>0</v>
      </c>
      <c r="R120" s="76" t="n">
        <v>0</v>
      </c>
      <c r="S120" s="76" t="n">
        <v>0</v>
      </c>
      <c r="T120" s="76" t="n">
        <v>0</v>
      </c>
      <c r="U120" s="76" t="n">
        <v>0</v>
      </c>
      <c r="V120" s="76" t="n">
        <v>0</v>
      </c>
      <c r="W120" s="76" t="n">
        <v>0</v>
      </c>
      <c r="X120" s="76" t="n">
        <v>0</v>
      </c>
      <c r="Y120" s="76" t="n">
        <v>0</v>
      </c>
      <c r="Z120" s="76" t="n">
        <v>0</v>
      </c>
      <c r="AA120" s="76" t="n">
        <v>0</v>
      </c>
      <c r="AB120" s="76" t="n">
        <v>0</v>
      </c>
      <c r="AC120" s="76" t="n">
        <v>0</v>
      </c>
      <c r="AD120" s="76" t="n">
        <v>0</v>
      </c>
      <c r="AE120" s="76" t="n">
        <v>0</v>
      </c>
      <c r="AF120" s="76" t="n">
        <v>0</v>
      </c>
      <c r="AG120" s="76" t="n">
        <v>0</v>
      </c>
      <c r="AH120" s="76" t="n">
        <v>0</v>
      </c>
      <c r="AI120" s="76" t="n">
        <v>0</v>
      </c>
      <c r="AJ120" s="76" t="n">
        <v>0</v>
      </c>
      <c r="AK120" s="76" t="n">
        <v>0</v>
      </c>
      <c r="AL120" s="76" t="n">
        <v>0</v>
      </c>
      <c r="AM120" s="76" t="n">
        <v>0</v>
      </c>
      <c r="AN120" s="76" t="n">
        <v>0</v>
      </c>
      <c r="AO120" s="76" t="n">
        <v>0</v>
      </c>
      <c r="AP120" s="76" t="n">
        <v>0</v>
      </c>
      <c r="AQ120" s="76" t="n">
        <v>0</v>
      </c>
      <c r="AR120" s="76" t="n">
        <v>0</v>
      </c>
    </row>
    <row r="121">
      <c r="A121" s="76" t="inlineStr">
        <is>
          <t>DE</t>
        </is>
      </c>
      <c r="B121" s="76" t="inlineStr">
        <is>
          <t>Utility PV</t>
        </is>
      </c>
      <c r="C121" s="76" t="n"/>
      <c r="D121" s="76" t="n">
        <v>0.237</v>
      </c>
      <c r="E121" s="76" t="n">
        <v>0.237</v>
      </c>
      <c r="F121" s="76" t="n">
        <v>0.236</v>
      </c>
      <c r="G121" s="76" t="n">
        <v>0.235</v>
      </c>
      <c r="H121" s="76" t="n">
        <v>0.234</v>
      </c>
      <c r="I121" s="76" t="n">
        <v>0.233</v>
      </c>
      <c r="J121" s="76" t="n">
        <v>0.232</v>
      </c>
      <c r="K121" s="76" t="n">
        <v>0.231</v>
      </c>
      <c r="L121" s="76" t="n">
        <v>0.23</v>
      </c>
      <c r="M121" s="76" t="n">
        <v>0.229</v>
      </c>
      <c r="N121" s="76" t="n">
        <v>0.228</v>
      </c>
      <c r="O121" s="76" t="n">
        <v>0.227</v>
      </c>
      <c r="P121" s="76" t="n">
        <v>0.226</v>
      </c>
      <c r="Q121" s="76" t="n">
        <v>0.225</v>
      </c>
      <c r="R121" s="76" t="n">
        <v>0.224</v>
      </c>
      <c r="S121" s="76" t="n">
        <v>0.222</v>
      </c>
      <c r="T121" s="76" t="n">
        <v>0.235</v>
      </c>
      <c r="U121" s="76" t="n">
        <v>0.236</v>
      </c>
      <c r="V121" s="76" t="n">
        <v>0.235</v>
      </c>
      <c r="W121" s="76" t="n">
        <v>0.234</v>
      </c>
      <c r="X121" s="76" t="n">
        <v>0.228</v>
      </c>
      <c r="Y121" s="76" t="n">
        <v>0.226</v>
      </c>
      <c r="Z121" s="76" t="n">
        <v>0.228</v>
      </c>
      <c r="AA121" s="76" t="n">
        <v>0.231</v>
      </c>
      <c r="AB121" s="76" t="n">
        <v>0.233</v>
      </c>
      <c r="AC121" s="76" t="n">
        <v>0.231</v>
      </c>
      <c r="AD121" s="76" t="n">
        <v>0.23</v>
      </c>
      <c r="AE121" s="76" t="n">
        <v>0.229</v>
      </c>
      <c r="AF121" s="76" t="n">
        <v>0.228</v>
      </c>
      <c r="AG121" s="76" t="n">
        <v>0.227</v>
      </c>
      <c r="AH121" s="76" t="n">
        <v>0.226</v>
      </c>
      <c r="AI121" s="76" t="n">
        <v>0.225</v>
      </c>
      <c r="AJ121" s="76" t="n">
        <v>0.224</v>
      </c>
      <c r="AK121" s="76" t="n">
        <v>0.223</v>
      </c>
      <c r="AL121" s="76" t="n">
        <v>0.221</v>
      </c>
      <c r="AM121" s="76" t="n">
        <v>0.222</v>
      </c>
      <c r="AN121" s="76" t="n">
        <v>0.222</v>
      </c>
      <c r="AO121" s="76" t="n">
        <v>0.223</v>
      </c>
      <c r="AP121" s="76" t="n">
        <v>0.223</v>
      </c>
      <c r="AQ121" s="76" t="n">
        <v>0.223</v>
      </c>
      <c r="AR121" s="76" t="n">
        <v>0.228725</v>
      </c>
    </row>
    <row r="122">
      <c r="A122" s="76" t="inlineStr">
        <is>
          <t>DE</t>
        </is>
      </c>
      <c r="B122" s="76" t="inlineStr">
        <is>
          <t>Wind offshore</t>
        </is>
      </c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  <c r="AH122" s="76" t="n">
        <v>0.342</v>
      </c>
      <c r="AI122" s="76" t="n">
        <v>0.342</v>
      </c>
      <c r="AJ122" s="76" t="n">
        <v>0.342</v>
      </c>
      <c r="AK122" s="76" t="n">
        <v>0.342</v>
      </c>
      <c r="AL122" s="76" t="n">
        <v>0.342</v>
      </c>
      <c r="AM122" s="76" t="n">
        <v>0.355</v>
      </c>
      <c r="AN122" s="76" t="n">
        <v>0.362</v>
      </c>
      <c r="AO122" s="76" t="n">
        <v>0.367</v>
      </c>
      <c r="AP122" s="76" t="n">
        <v>0.37</v>
      </c>
      <c r="AQ122" s="76" t="n">
        <v>0.373</v>
      </c>
      <c r="AR122" s="76" t="n">
        <v>0.3537000000000001</v>
      </c>
    </row>
    <row r="123">
      <c r="A123" s="76" t="inlineStr">
        <is>
          <t>DE</t>
        </is>
      </c>
      <c r="B123" s="76" t="inlineStr">
        <is>
          <t>Wind onshore</t>
        </is>
      </c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>
        <v>0.435</v>
      </c>
      <c r="O123" s="76" t="n">
        <v>0.435</v>
      </c>
      <c r="P123" s="76" t="n">
        <v>0.435</v>
      </c>
      <c r="Q123" s="76" t="n">
        <v>0.435</v>
      </c>
      <c r="R123" s="76" t="n">
        <v>0.415</v>
      </c>
      <c r="S123" s="76" t="n">
        <v>0.415</v>
      </c>
      <c r="T123" s="76" t="n">
        <v>0.415</v>
      </c>
      <c r="U123" s="76" t="n">
        <v>0.414</v>
      </c>
      <c r="V123" s="76" t="n">
        <v>0.396</v>
      </c>
      <c r="W123" s="76" t="n">
        <v>0.388</v>
      </c>
      <c r="X123" s="76" t="n">
        <v>0.383</v>
      </c>
      <c r="Y123" s="76" t="n">
        <v>0.38</v>
      </c>
      <c r="Z123" s="76" t="n">
        <v>0.365</v>
      </c>
      <c r="AA123" s="76" t="n">
        <v>0.354</v>
      </c>
      <c r="AB123" s="76" t="n">
        <v>0.345</v>
      </c>
      <c r="AC123" s="76" t="n">
        <v>0.343</v>
      </c>
      <c r="AD123" s="76" t="n">
        <v>0.341</v>
      </c>
      <c r="AE123" s="76" t="n">
        <v>0.338</v>
      </c>
      <c r="AF123" s="76" t="n">
        <v>0.336</v>
      </c>
      <c r="AG123" s="76" t="n">
        <v>0.334</v>
      </c>
      <c r="AH123" s="76" t="n">
        <v>0.341</v>
      </c>
      <c r="AI123" s="76" t="n">
        <v>0.348</v>
      </c>
      <c r="AJ123" s="76" t="n">
        <v>0.355</v>
      </c>
      <c r="AK123" s="76" t="n">
        <v>0.363</v>
      </c>
      <c r="AL123" s="76" t="n">
        <v>0.37</v>
      </c>
      <c r="AM123" s="76" t="n">
        <v>0.37</v>
      </c>
      <c r="AN123" s="76" t="n">
        <v>0.369</v>
      </c>
      <c r="AO123" s="76" t="n">
        <v>0.369</v>
      </c>
      <c r="AP123" s="76" t="n">
        <v>0.369</v>
      </c>
      <c r="AQ123" s="76" t="n">
        <v>0.369</v>
      </c>
      <c r="AR123" s="76" t="n">
        <v>0.3774999999999999</v>
      </c>
    </row>
    <row r="124">
      <c r="A124" s="76" t="inlineStr">
        <is>
          <t>FL</t>
        </is>
      </c>
      <c r="B124" s="76" t="inlineStr">
        <is>
          <t>FL</t>
        </is>
      </c>
      <c r="C124" s="76" t="n">
        <v>0.3069565217391304</v>
      </c>
      <c r="D124" s="76" t="n">
        <v>0.2955652173913044</v>
      </c>
      <c r="E124" s="76" t="n">
        <v>0.2831304347826087</v>
      </c>
      <c r="F124" s="76" t="n">
        <v>0.2979130434782609</v>
      </c>
      <c r="G124" s="76" t="n">
        <v>0.2854999999999999</v>
      </c>
      <c r="H124" s="76" t="n">
        <v>0.2805909090909091</v>
      </c>
      <c r="I124" s="76" t="n">
        <v>0.2693636363636364</v>
      </c>
      <c r="J124" s="76" t="n">
        <v>0.2619166666666666</v>
      </c>
      <c r="K124" s="76" t="n">
        <v>0.2680416666666666</v>
      </c>
      <c r="L124" s="76" t="n">
        <v>0.2619166666666666</v>
      </c>
      <c r="M124" s="76" t="n">
        <v>0.2670869565217391</v>
      </c>
      <c r="N124" s="76" t="n">
        <v>0.2628260869565217</v>
      </c>
      <c r="O124" s="76" t="n">
        <v>0.2585217391304347</v>
      </c>
      <c r="P124" s="76" t="n">
        <v>0.2433913043478261</v>
      </c>
      <c r="Q124" s="76" t="n">
        <v>0.2281304347826087</v>
      </c>
      <c r="R124" s="76" t="n">
        <v>0.2275217391304347</v>
      </c>
      <c r="S124" s="76" t="n">
        <v>0.2300434782608696</v>
      </c>
      <c r="T124" s="76" t="n">
        <v>0.2183333333333334</v>
      </c>
      <c r="U124" s="76" t="n">
        <v>0.2193333333333334</v>
      </c>
      <c r="V124" s="76" t="n">
        <v>0.2101538461538461</v>
      </c>
      <c r="W124" s="76" t="n">
        <v>0.2079615384615385</v>
      </c>
      <c r="X124" s="76" t="n">
        <v>0.2097407407407408</v>
      </c>
      <c r="Y124" s="76" t="n">
        <v>0.2135384615384615</v>
      </c>
      <c r="Z124" s="76" t="n">
        <v>0.2097142857142857</v>
      </c>
      <c r="AA124" s="76" t="n">
        <v>0.2059285714285715</v>
      </c>
      <c r="AB124" s="76" t="n">
        <v>0.1960740740740741</v>
      </c>
      <c r="AC124" s="76" t="n">
        <v>0.1958148148148149</v>
      </c>
      <c r="AD124" s="76" t="n">
        <v>0.1956666666666667</v>
      </c>
      <c r="AE124" s="76" t="n">
        <v>0.1956296296296296</v>
      </c>
      <c r="AF124" s="76" t="n">
        <v>0.1957407407407408</v>
      </c>
      <c r="AG124" s="76" t="n">
        <v>0.1957777777777778</v>
      </c>
      <c r="AH124" s="76" t="n">
        <v>0.1964074074074074</v>
      </c>
      <c r="AI124" s="76" t="n">
        <v>0.1965925925925926</v>
      </c>
      <c r="AJ124" s="76" t="n">
        <v>0.1965925925925926</v>
      </c>
      <c r="AK124" s="76" t="n">
        <v>0.1962222222222222</v>
      </c>
      <c r="AL124" s="76" t="n">
        <v>0.2028461538461539</v>
      </c>
      <c r="AM124" s="76" t="n">
        <v>0.2029230769230769</v>
      </c>
      <c r="AN124" s="76" t="n">
        <v>0.2030384615384615</v>
      </c>
      <c r="AO124" s="76" t="n">
        <v>0.2032692307692308</v>
      </c>
      <c r="AP124" s="76" t="n">
        <v>0.2036923076923077</v>
      </c>
      <c r="AQ124" s="76" t="n">
        <v>0.2124</v>
      </c>
      <c r="AR124" s="76" t="n">
        <v>0.2273092682926829</v>
      </c>
    </row>
    <row r="125">
      <c r="A125" s="76" t="inlineStr">
        <is>
          <t>FL</t>
        </is>
      </c>
      <c r="B125" s="76" t="inlineStr">
        <is>
          <t>Battery</t>
        </is>
      </c>
      <c r="C125" s="76" t="n"/>
      <c r="D125" s="76" t="n"/>
      <c r="E125" s="76" t="n"/>
      <c r="F125" s="76" t="n"/>
      <c r="G125" s="76" t="n"/>
      <c r="H125" s="76" t="n"/>
      <c r="I125" s="76" t="n"/>
      <c r="J125" s="76" t="n">
        <v>0</v>
      </c>
      <c r="K125" s="76" t="n">
        <v>0</v>
      </c>
      <c r="L125" s="76" t="n">
        <v>0</v>
      </c>
      <c r="M125" s="76" t="n">
        <v>0</v>
      </c>
      <c r="N125" s="76" t="n">
        <v>0</v>
      </c>
      <c r="O125" s="76" t="n">
        <v>0</v>
      </c>
      <c r="P125" s="76" t="n">
        <v>-0.005</v>
      </c>
      <c r="Q125" s="76" t="n">
        <v>-0.008999999999999999</v>
      </c>
      <c r="R125" s="76" t="n">
        <v>-0.046</v>
      </c>
      <c r="S125" s="76" t="n">
        <v>-0.049</v>
      </c>
      <c r="T125" s="76" t="n">
        <v>-0.0515</v>
      </c>
      <c r="U125" s="76" t="n">
        <v>-0.0515</v>
      </c>
      <c r="V125" s="76" t="n">
        <v>-0.04433333333333334</v>
      </c>
      <c r="W125" s="76" t="n">
        <v>-0.044</v>
      </c>
      <c r="X125" s="76" t="n">
        <v>-0.04466666666666667</v>
      </c>
      <c r="Y125" s="76" t="n">
        <v>-0.04466666666666667</v>
      </c>
      <c r="Z125" s="76" t="n">
        <v>-0.04566666666666667</v>
      </c>
      <c r="AA125" s="76" t="n">
        <v>-0.04666666666666666</v>
      </c>
      <c r="AB125" s="76" t="n">
        <v>-0.04799999999999999</v>
      </c>
      <c r="AC125" s="76" t="n">
        <v>-0.05033333333333333</v>
      </c>
      <c r="AD125" s="76" t="n">
        <v>-0.05233333333333334</v>
      </c>
      <c r="AE125" s="76" t="n">
        <v>-0.054</v>
      </c>
      <c r="AF125" s="76" t="n">
        <v>-0.05533333333333332</v>
      </c>
      <c r="AG125" s="76" t="n">
        <v>-0.05633333333333333</v>
      </c>
      <c r="AH125" s="76" t="n">
        <v>-0.05533333333333332</v>
      </c>
      <c r="AI125" s="76" t="n">
        <v>-0.05433333333333334</v>
      </c>
      <c r="AJ125" s="76" t="n">
        <v>-0.05366666666666667</v>
      </c>
      <c r="AK125" s="76" t="n">
        <v>-0.05266666666666667</v>
      </c>
      <c r="AL125" s="76" t="n">
        <v>-0.05233333333333334</v>
      </c>
      <c r="AM125" s="76" t="n">
        <v>-0.05000000000000001</v>
      </c>
      <c r="AN125" s="76" t="n">
        <v>-0.04800000000000001</v>
      </c>
      <c r="AO125" s="76" t="n">
        <v>-0.04633333333333334</v>
      </c>
      <c r="AP125" s="76" t="n">
        <v>-0.04466666666666667</v>
      </c>
      <c r="AQ125" s="76" t="n">
        <v>-0.04333333333333333</v>
      </c>
      <c r="AR125" s="76" t="n">
        <v>-0.0447</v>
      </c>
    </row>
    <row r="126">
      <c r="A126" s="76" t="inlineStr">
        <is>
          <t>FL</t>
        </is>
      </c>
      <c r="B126" s="76" t="inlineStr">
        <is>
          <t>Biopower</t>
        </is>
      </c>
      <c r="C126" s="76" t="n">
        <v>0.4193333333333333</v>
      </c>
      <c r="D126" s="76" t="n">
        <v>0.4153333333333333</v>
      </c>
      <c r="E126" s="76" t="n">
        <v>0.4113333333333333</v>
      </c>
      <c r="F126" s="76" t="n">
        <v>0.426</v>
      </c>
      <c r="G126" s="76" t="n">
        <v>0.4376666666666666</v>
      </c>
      <c r="H126" s="76" t="n">
        <v>0.4143333333333333</v>
      </c>
      <c r="I126" s="76" t="n">
        <v>0.3906666666666667</v>
      </c>
      <c r="J126" s="76" t="n">
        <v>0.3983333333333334</v>
      </c>
      <c r="K126" s="76" t="n">
        <v>0.4066666666666667</v>
      </c>
      <c r="L126" s="76" t="n">
        <v>0.4066666666666667</v>
      </c>
      <c r="M126" s="76" t="n">
        <v>0.407</v>
      </c>
      <c r="N126" s="76" t="n">
        <v>0.407</v>
      </c>
      <c r="O126" s="76" t="n">
        <v>0.407</v>
      </c>
      <c r="P126" s="76" t="n">
        <v>0.407</v>
      </c>
      <c r="Q126" s="76" t="n">
        <v>0.407</v>
      </c>
      <c r="R126" s="76" t="n">
        <v>0.407</v>
      </c>
      <c r="S126" s="76" t="n">
        <v>0.407</v>
      </c>
      <c r="T126" s="76" t="n">
        <v>0.4083333333333334</v>
      </c>
      <c r="U126" s="76" t="n">
        <v>0.4096666666666667</v>
      </c>
      <c r="V126" s="76" t="n">
        <v>0.411</v>
      </c>
      <c r="W126" s="76" t="n">
        <v>0.4126666666666667</v>
      </c>
      <c r="X126" s="76" t="n">
        <v>0.4136666666666667</v>
      </c>
      <c r="Y126" s="76" t="n">
        <v>0.413</v>
      </c>
      <c r="Z126" s="76" t="n">
        <v>0.4263333333333333</v>
      </c>
      <c r="AA126" s="76" t="n">
        <v>0.4413333333333334</v>
      </c>
      <c r="AB126" s="76" t="n">
        <v>0.4573333333333333</v>
      </c>
      <c r="AC126" s="76" t="n">
        <v>0.458</v>
      </c>
      <c r="AD126" s="76" t="n">
        <v>0.4586666666666667</v>
      </c>
      <c r="AE126" s="76" t="n">
        <v>0.4586666666666667</v>
      </c>
      <c r="AF126" s="76" t="n">
        <v>0.4596666666666667</v>
      </c>
      <c r="AG126" s="76" t="n">
        <v>0.46</v>
      </c>
      <c r="AH126" s="76" t="n">
        <v>0.453</v>
      </c>
      <c r="AI126" s="76" t="n">
        <v>0.4443333333333333</v>
      </c>
      <c r="AJ126" s="76" t="n">
        <v>0.4350000000000001</v>
      </c>
      <c r="AK126" s="76" t="n">
        <v>0.424</v>
      </c>
      <c r="AL126" s="76" t="n">
        <v>0.4103333333333334</v>
      </c>
      <c r="AM126" s="76" t="n">
        <v>0.397</v>
      </c>
      <c r="AN126" s="76" t="n">
        <v>0.385</v>
      </c>
      <c r="AO126" s="76" t="n">
        <v>0.3743333333333334</v>
      </c>
      <c r="AP126" s="76" t="n">
        <v>0.3659999999999999</v>
      </c>
      <c r="AQ126" s="76" t="n">
        <v>0.36</v>
      </c>
      <c r="AR126" s="76" t="n">
        <v>0.4173821138211378</v>
      </c>
    </row>
    <row r="127">
      <c r="A127" s="76" t="inlineStr">
        <is>
          <t>FL</t>
        </is>
      </c>
      <c r="B127" s="76" t="inlineStr">
        <is>
          <t>Coal</t>
        </is>
      </c>
      <c r="C127" s="76" t="n">
        <v>0.4226666666666667</v>
      </c>
      <c r="D127" s="76" t="n">
        <v>0.2473333333333333</v>
      </c>
      <c r="E127" s="76" t="n">
        <v>0.06799999999999999</v>
      </c>
      <c r="F127" s="76" t="n">
        <v>0.2613333333333334</v>
      </c>
      <c r="G127" s="76" t="n">
        <v>0.4583333333333333</v>
      </c>
      <c r="H127" s="76" t="n">
        <v>0.3173333333333333</v>
      </c>
      <c r="I127" s="76" t="n">
        <v>0.1093333333333333</v>
      </c>
      <c r="J127" s="76" t="n">
        <v>0.1696666666666667</v>
      </c>
      <c r="K127" s="76" t="n">
        <v>0.2416666666666667</v>
      </c>
      <c r="L127" s="76" t="n">
        <v>0.1726666666666667</v>
      </c>
      <c r="M127" s="76" t="n">
        <v>0.156</v>
      </c>
      <c r="N127" s="76" t="n">
        <v>0.1525</v>
      </c>
      <c r="O127" s="76" t="n">
        <v>0.1495</v>
      </c>
      <c r="P127" s="76" t="n">
        <v>0.172</v>
      </c>
      <c r="Q127" s="76" t="n">
        <v>0.196</v>
      </c>
      <c r="R127" s="76" t="n">
        <v>0.234</v>
      </c>
      <c r="S127" s="76" t="n">
        <v>0.2885</v>
      </c>
      <c r="T127" s="76" t="n">
        <v>0.3015</v>
      </c>
      <c r="U127" s="76" t="n">
        <v>0.3215</v>
      </c>
      <c r="V127" s="76" t="n">
        <v>0.2885</v>
      </c>
      <c r="W127" s="76" t="n">
        <v>0.2355</v>
      </c>
      <c r="X127" s="76" t="n">
        <v>0.2295</v>
      </c>
      <c r="Y127" s="76" t="n">
        <v>0.37</v>
      </c>
      <c r="Z127" s="76" t="n">
        <v>0.37</v>
      </c>
      <c r="AA127" s="76" t="n">
        <v>0.37</v>
      </c>
      <c r="AB127" s="76" t="n"/>
      <c r="AC127" s="76" t="n"/>
      <c r="AD127" s="76" t="n"/>
      <c r="AE127" s="76" t="n"/>
      <c r="AF127" s="76" t="n"/>
      <c r="AG127" s="76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>
        <v>0.245</v>
      </c>
    </row>
    <row r="128">
      <c r="A128" s="76" t="inlineStr">
        <is>
          <t>FL</t>
        </is>
      </c>
      <c r="B128" s="76" t="inlineStr">
        <is>
          <t>CSP</t>
        </is>
      </c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</row>
    <row r="129">
      <c r="A129" s="76" t="inlineStr">
        <is>
          <t>FL</t>
        </is>
      </c>
      <c r="B129" s="76" t="inlineStr">
        <is>
          <t>Dist PV</t>
        </is>
      </c>
      <c r="C129" s="76" t="n">
        <v>0.1833333333333333</v>
      </c>
      <c r="D129" s="76" t="n">
        <v>0.1833333333333333</v>
      </c>
      <c r="E129" s="76" t="n">
        <v>0.1833333333333333</v>
      </c>
      <c r="F129" s="76" t="n">
        <v>0.1833333333333333</v>
      </c>
      <c r="G129" s="76" t="n">
        <v>0.1833333333333333</v>
      </c>
      <c r="H129" s="76" t="n">
        <v>0.1833333333333333</v>
      </c>
      <c r="I129" s="76" t="n">
        <v>0.1833333333333333</v>
      </c>
      <c r="J129" s="76" t="n">
        <v>0.1833333333333333</v>
      </c>
      <c r="K129" s="76" t="n">
        <v>0.1833333333333333</v>
      </c>
      <c r="L129" s="76" t="n">
        <v>0.1833333333333333</v>
      </c>
      <c r="M129" s="76" t="n">
        <v>0.1833333333333333</v>
      </c>
      <c r="N129" s="76" t="n">
        <v>0.1833333333333333</v>
      </c>
      <c r="O129" s="76" t="n">
        <v>0.1833333333333333</v>
      </c>
      <c r="P129" s="76" t="n">
        <v>0.1833333333333333</v>
      </c>
      <c r="Q129" s="76" t="n">
        <v>0.1833333333333333</v>
      </c>
      <c r="R129" s="76" t="n">
        <v>0.1833333333333333</v>
      </c>
      <c r="S129" s="76" t="n">
        <v>0.1833333333333333</v>
      </c>
      <c r="T129" s="76" t="n">
        <v>0.176</v>
      </c>
      <c r="U129" s="76" t="n">
        <v>0.1713333333333333</v>
      </c>
      <c r="V129" s="76" t="n">
        <v>0.17</v>
      </c>
      <c r="W129" s="76" t="n">
        <v>0.169</v>
      </c>
      <c r="X129" s="76" t="n">
        <v>0.1723333333333333</v>
      </c>
      <c r="Y129" s="76" t="n">
        <v>0.1746666666666667</v>
      </c>
      <c r="Z129" s="76" t="n">
        <v>0.178</v>
      </c>
      <c r="AA129" s="76" t="n">
        <v>0.1806666666666667</v>
      </c>
      <c r="AB129" s="76" t="n">
        <v>0.1833333333333333</v>
      </c>
      <c r="AC129" s="76" t="n">
        <v>0.1833333333333333</v>
      </c>
      <c r="AD129" s="76" t="n">
        <v>0.1833333333333333</v>
      </c>
      <c r="AE129" s="76" t="n">
        <v>0.1833333333333333</v>
      </c>
      <c r="AF129" s="76" t="n">
        <v>0.1833333333333333</v>
      </c>
      <c r="AG129" s="76" t="n">
        <v>0.1833333333333333</v>
      </c>
      <c r="AH129" s="76" t="n">
        <v>0.1833333333333333</v>
      </c>
      <c r="AI129" s="76" t="n">
        <v>0.1833333333333333</v>
      </c>
      <c r="AJ129" s="76" t="n">
        <v>0.1833333333333333</v>
      </c>
      <c r="AK129" s="76" t="n">
        <v>0.1833333333333333</v>
      </c>
      <c r="AL129" s="76" t="n">
        <v>0.1833333333333333</v>
      </c>
      <c r="AM129" s="76" t="n">
        <v>0.1833333333333333</v>
      </c>
      <c r="AN129" s="76" t="n">
        <v>0.1833333333333333</v>
      </c>
      <c r="AO129" s="76" t="n">
        <v>0.1833333333333333</v>
      </c>
      <c r="AP129" s="76" t="n">
        <v>0.1833333333333333</v>
      </c>
      <c r="AQ129" s="76" t="n">
        <v>0.1833333333333333</v>
      </c>
      <c r="AR129" s="76" t="n">
        <v>0.181512195121951</v>
      </c>
    </row>
    <row r="130">
      <c r="A130" s="76" t="inlineStr">
        <is>
          <t>FL</t>
        </is>
      </c>
      <c r="B130" s="76" t="inlineStr">
        <is>
          <t>Gas CCGT</t>
        </is>
      </c>
      <c r="C130" s="76" t="n">
        <v>0.403</v>
      </c>
      <c r="D130" s="76" t="n">
        <v>0.511</v>
      </c>
      <c r="E130" s="76" t="n">
        <v>0.6163333333333333</v>
      </c>
      <c r="F130" s="76" t="n">
        <v>0.5026666666666667</v>
      </c>
      <c r="G130" s="76" t="n">
        <v>0.3853333333333334</v>
      </c>
      <c r="H130" s="76" t="n">
        <v>0.5273333333333333</v>
      </c>
      <c r="I130" s="76" t="n">
        <v>0.6850000000000001</v>
      </c>
      <c r="J130" s="76" t="n">
        <v>0.6536666666666666</v>
      </c>
      <c r="K130" s="76" t="n">
        <v>0.6236666666666667</v>
      </c>
      <c r="L130" s="76" t="n">
        <v>0.6443333333333333</v>
      </c>
      <c r="M130" s="76" t="n">
        <v>0.6649999999999999</v>
      </c>
      <c r="N130" s="76" t="n">
        <v>0.637</v>
      </c>
      <c r="O130" s="76" t="n">
        <v>0.609</v>
      </c>
      <c r="P130" s="76" t="n">
        <v>0.4783333333333333</v>
      </c>
      <c r="Q130" s="76" t="n">
        <v>0.3476666666666667</v>
      </c>
      <c r="R130" s="76" t="n">
        <v>0.336</v>
      </c>
      <c r="S130" s="76" t="n">
        <v>0.3246666666666667</v>
      </c>
      <c r="T130" s="76" t="n">
        <v>0.3263333333333333</v>
      </c>
      <c r="U130" s="76" t="n">
        <v>0.328</v>
      </c>
      <c r="V130" s="76" t="n">
        <v>0.342</v>
      </c>
      <c r="W130" s="76" t="n">
        <v>0.356</v>
      </c>
      <c r="X130" s="76" t="n">
        <v>0.3456666666666666</v>
      </c>
      <c r="Y130" s="76" t="n">
        <v>0.3356666666666666</v>
      </c>
      <c r="Z130" s="76" t="n">
        <v>0.286</v>
      </c>
      <c r="AA130" s="76" t="n">
        <v>0.2366666666666667</v>
      </c>
      <c r="AB130" s="76" t="n">
        <v>0.1866666666666667</v>
      </c>
      <c r="AC130" s="76" t="n">
        <v>0.1913333333333334</v>
      </c>
      <c r="AD130" s="76" t="n">
        <v>0.196</v>
      </c>
      <c r="AE130" s="76" t="n">
        <v>0.201</v>
      </c>
      <c r="AF130" s="76" t="n">
        <v>0.2056666666666667</v>
      </c>
      <c r="AG130" s="76" t="n">
        <v>0.2106666666666667</v>
      </c>
      <c r="AH130" s="76" t="n">
        <v>0.2106666666666667</v>
      </c>
      <c r="AI130" s="76" t="n">
        <v>0.2103333333333333</v>
      </c>
      <c r="AJ130" s="76" t="n">
        <v>0.2096666666666667</v>
      </c>
      <c r="AK130" s="76" t="n">
        <v>0.2083333333333333</v>
      </c>
      <c r="AL130" s="76" t="n">
        <v>0.2056666666666667</v>
      </c>
      <c r="AM130" s="76" t="n">
        <v>0.2096666666666667</v>
      </c>
      <c r="AN130" s="76" t="n">
        <v>0.214</v>
      </c>
      <c r="AO130" s="76" t="n">
        <v>0.218</v>
      </c>
      <c r="AP130" s="76" t="n">
        <v>0.2223333333333334</v>
      </c>
      <c r="AQ130" s="76" t="n">
        <v>0.2263333333333334</v>
      </c>
      <c r="AR130" s="76" t="n">
        <v>0.3617723577235771</v>
      </c>
    </row>
    <row r="131">
      <c r="A131" s="76" t="inlineStr">
        <is>
          <t>FL</t>
        </is>
      </c>
      <c r="B131" s="76" t="inlineStr">
        <is>
          <t>Gas CT</t>
        </is>
      </c>
      <c r="C131" s="76" t="n">
        <v>0.008999999999999999</v>
      </c>
      <c r="D131" s="76" t="n">
        <v>0.009333333333333332</v>
      </c>
      <c r="E131" s="76" t="n">
        <v>0.009333333333333334</v>
      </c>
      <c r="F131" s="76" t="n">
        <v>0.007666666666666666</v>
      </c>
      <c r="G131" s="76" t="n">
        <v>0.006666666666666667</v>
      </c>
      <c r="H131" s="76" t="n">
        <v>0.008999999999999999</v>
      </c>
      <c r="I131" s="76" t="n">
        <v>0.012</v>
      </c>
      <c r="J131" s="76" t="n">
        <v>0.01033333333333333</v>
      </c>
      <c r="K131" s="76" t="n">
        <v>0.008666666666666666</v>
      </c>
      <c r="L131" s="76" t="n">
        <v>0.008666666666666666</v>
      </c>
      <c r="M131" s="76" t="n">
        <v>0.008666666666666666</v>
      </c>
      <c r="N131" s="76" t="n">
        <v>0.006000000000000001</v>
      </c>
      <c r="O131" s="76" t="n">
        <v>0.003</v>
      </c>
      <c r="P131" s="76" t="n">
        <v>0.001666666666666667</v>
      </c>
      <c r="Q131" s="76" t="n">
        <v>0</v>
      </c>
      <c r="R131" s="76" t="n">
        <v>0.001</v>
      </c>
      <c r="S131" s="76" t="n">
        <v>0.002333333333333334</v>
      </c>
      <c r="T131" s="76" t="n">
        <v>0.002333333333333334</v>
      </c>
      <c r="U131" s="76" t="n">
        <v>0.002333333333333334</v>
      </c>
      <c r="V131" s="76" t="n">
        <v>0.001333333333333333</v>
      </c>
      <c r="W131" s="76" t="n">
        <v>0</v>
      </c>
      <c r="X131" s="76" t="n">
        <v>0</v>
      </c>
      <c r="Y131" s="76" t="n">
        <v>0</v>
      </c>
      <c r="Z131" s="76" t="n">
        <v>0</v>
      </c>
      <c r="AA131" s="76" t="n">
        <v>0</v>
      </c>
      <c r="AB131" s="76" t="n">
        <v>0</v>
      </c>
      <c r="AC131" s="76" t="n">
        <v>0</v>
      </c>
      <c r="AD131" s="76" t="n">
        <v>0</v>
      </c>
      <c r="AE131" s="76" t="n">
        <v>0</v>
      </c>
      <c r="AF131" s="76" t="n">
        <v>0</v>
      </c>
      <c r="AG131" s="76" t="n">
        <v>0</v>
      </c>
      <c r="AH131" s="76" t="n">
        <v>0</v>
      </c>
      <c r="AI131" s="76" t="n">
        <v>0</v>
      </c>
      <c r="AJ131" s="76" t="n">
        <v>0</v>
      </c>
      <c r="AK131" s="76" t="n">
        <v>0</v>
      </c>
      <c r="AL131" s="76" t="n">
        <v>0</v>
      </c>
      <c r="AM131" s="76" t="n">
        <v>0</v>
      </c>
      <c r="AN131" s="76" t="n">
        <v>0</v>
      </c>
      <c r="AO131" s="76" t="n">
        <v>0</v>
      </c>
      <c r="AP131" s="76" t="n">
        <v>0</v>
      </c>
      <c r="AQ131" s="76" t="n">
        <v>0</v>
      </c>
      <c r="AR131" s="76" t="n">
        <v>0.002934426229508198</v>
      </c>
    </row>
    <row r="132">
      <c r="A132" s="76" t="inlineStr">
        <is>
          <t>FL</t>
        </is>
      </c>
      <c r="B132" s="76" t="inlineStr">
        <is>
          <t>Geothermal</t>
        </is>
      </c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</row>
    <row r="133">
      <c r="A133" s="76" t="inlineStr">
        <is>
          <t>FL</t>
        </is>
      </c>
      <c r="B133" s="76" t="inlineStr">
        <is>
          <t>Hydro</t>
        </is>
      </c>
      <c r="C133" s="76" t="n">
        <v>0.371</v>
      </c>
      <c r="D133" s="76" t="n">
        <v>0.346</v>
      </c>
      <c r="E133" s="76" t="n">
        <v>0.32</v>
      </c>
      <c r="F133" s="76" t="n">
        <v>0.384</v>
      </c>
      <c r="G133" s="76" t="n">
        <v>0.448</v>
      </c>
      <c r="H133" s="76" t="n">
        <v>0.416</v>
      </c>
      <c r="I133" s="76" t="n">
        <v>0.385</v>
      </c>
      <c r="J133" s="76" t="n">
        <v>0.385</v>
      </c>
      <c r="K133" s="76" t="n">
        <v>0.385</v>
      </c>
      <c r="L133" s="76" t="n">
        <v>0.386</v>
      </c>
      <c r="M133" s="76" t="n">
        <v>0.388</v>
      </c>
      <c r="N133" s="76" t="n">
        <v>0.391</v>
      </c>
      <c r="O133" s="76" t="n">
        <v>0.393</v>
      </c>
      <c r="P133" s="76" t="n">
        <v>0.393</v>
      </c>
      <c r="Q133" s="76" t="n">
        <v>0.393</v>
      </c>
      <c r="R133" s="76" t="n">
        <v>0.393</v>
      </c>
      <c r="S133" s="76" t="n">
        <v>0.393</v>
      </c>
      <c r="T133" s="76" t="n">
        <v>0.393</v>
      </c>
      <c r="U133" s="76" t="n">
        <v>0.393</v>
      </c>
      <c r="V133" s="76" t="n">
        <v>0.393</v>
      </c>
      <c r="W133" s="76" t="n">
        <v>0.393</v>
      </c>
      <c r="X133" s="76" t="n">
        <v>0.393</v>
      </c>
      <c r="Y133" s="76" t="n">
        <v>0.393</v>
      </c>
      <c r="Z133" s="76" t="n">
        <v>0.393</v>
      </c>
      <c r="AA133" s="76" t="n">
        <v>0.393</v>
      </c>
      <c r="AB133" s="76" t="n">
        <v>0.393</v>
      </c>
      <c r="AC133" s="76" t="n">
        <v>0.393</v>
      </c>
      <c r="AD133" s="76" t="n">
        <v>0.393</v>
      </c>
      <c r="AE133" s="76" t="n">
        <v>0.393</v>
      </c>
      <c r="AF133" s="76" t="n">
        <v>0.393</v>
      </c>
      <c r="AG133" s="76" t="n">
        <v>0.393</v>
      </c>
      <c r="AH133" s="76" t="n">
        <v>0.393</v>
      </c>
      <c r="AI133" s="76" t="n">
        <v>0.393</v>
      </c>
      <c r="AJ133" s="76" t="n">
        <v>0.393</v>
      </c>
      <c r="AK133" s="76" t="n">
        <v>0.393</v>
      </c>
      <c r="AL133" s="76" t="n">
        <v>0.393</v>
      </c>
      <c r="AM133" s="76" t="n">
        <v>0.393</v>
      </c>
      <c r="AN133" s="76" t="n">
        <v>0.393</v>
      </c>
      <c r="AO133" s="76" t="n">
        <v>0.393</v>
      </c>
      <c r="AP133" s="76" t="n">
        <v>0.393</v>
      </c>
      <c r="AQ133" s="76" t="n">
        <v>0.393</v>
      </c>
      <c r="AR133" s="76" t="n">
        <v>0.3902926829268295</v>
      </c>
    </row>
    <row r="134">
      <c r="A134" s="76" t="inlineStr">
        <is>
          <t>FL</t>
        </is>
      </c>
      <c r="B134" s="76" t="inlineStr">
        <is>
          <t>Nuclear</t>
        </is>
      </c>
      <c r="C134" s="76" t="n">
        <v>0.902</v>
      </c>
      <c r="D134" s="76" t="n">
        <v>0.902</v>
      </c>
      <c r="E134" s="76" t="n">
        <v>0.902</v>
      </c>
      <c r="F134" s="76" t="n">
        <v>0.902</v>
      </c>
      <c r="G134" s="76" t="n">
        <v>0.902</v>
      </c>
      <c r="H134" s="76" t="n">
        <v>0.902</v>
      </c>
      <c r="I134" s="76" t="n">
        <v>0.902</v>
      </c>
      <c r="J134" s="76" t="n">
        <v>0.902</v>
      </c>
      <c r="K134" s="76" t="n">
        <v>0.902</v>
      </c>
      <c r="L134" s="76" t="n">
        <v>0.902</v>
      </c>
      <c r="M134" s="76" t="n">
        <v>0.902</v>
      </c>
      <c r="N134" s="76" t="n">
        <v>0.902</v>
      </c>
      <c r="O134" s="76" t="n">
        <v>0.902</v>
      </c>
      <c r="P134" s="76" t="n">
        <v>0.902</v>
      </c>
      <c r="Q134" s="76" t="n">
        <v>0.902</v>
      </c>
      <c r="R134" s="76" t="n">
        <v>0.902</v>
      </c>
      <c r="S134" s="76" t="n">
        <v>0.902</v>
      </c>
      <c r="T134" s="76" t="n">
        <v>0.902</v>
      </c>
      <c r="U134" s="76" t="n">
        <v>0.902</v>
      </c>
      <c r="V134" s="76" t="n">
        <v>0.902</v>
      </c>
      <c r="W134" s="76" t="n">
        <v>0.902</v>
      </c>
      <c r="X134" s="76" t="n">
        <v>0.902</v>
      </c>
      <c r="Y134" s="76" t="n">
        <v>0.902</v>
      </c>
      <c r="Z134" s="76" t="n">
        <v>0.902</v>
      </c>
      <c r="AA134" s="76" t="n">
        <v>0.902</v>
      </c>
      <c r="AB134" s="76" t="n">
        <v>0.902</v>
      </c>
      <c r="AC134" s="76" t="n">
        <v>0.902</v>
      </c>
      <c r="AD134" s="76" t="n">
        <v>0.902</v>
      </c>
      <c r="AE134" s="76" t="n">
        <v>0.902</v>
      </c>
      <c r="AF134" s="76" t="n">
        <v>0.902</v>
      </c>
      <c r="AG134" s="76" t="n">
        <v>0.902</v>
      </c>
      <c r="AH134" s="76" t="n">
        <v>0.902</v>
      </c>
      <c r="AI134" s="76" t="n">
        <v>0.902</v>
      </c>
      <c r="AJ134" s="76" t="n">
        <v>0.902</v>
      </c>
      <c r="AK134" s="76" t="n">
        <v>0.902</v>
      </c>
      <c r="AL134" s="76" t="n">
        <v>0.902</v>
      </c>
      <c r="AM134" s="76" t="n">
        <v>0.902</v>
      </c>
      <c r="AN134" s="76" t="n">
        <v>0.902</v>
      </c>
      <c r="AO134" s="76" t="n">
        <v>0.902</v>
      </c>
      <c r="AP134" s="76" t="n">
        <v>0.902</v>
      </c>
      <c r="AQ134" s="76" t="n">
        <v>0.902</v>
      </c>
      <c r="AR134" s="76" t="n">
        <v>0.9020000000000004</v>
      </c>
    </row>
    <row r="135">
      <c r="A135" s="76" t="inlineStr">
        <is>
          <t>FL</t>
        </is>
      </c>
      <c r="B135" s="76" t="inlineStr">
        <is>
          <t>Other</t>
        </is>
      </c>
      <c r="C135" s="76" t="n">
        <v>0.01233333333333334</v>
      </c>
      <c r="D135" s="76" t="n">
        <v>0.006999999999999999</v>
      </c>
      <c r="E135" s="76" t="n">
        <v>0</v>
      </c>
      <c r="F135" s="76" t="n">
        <v>0</v>
      </c>
      <c r="G135" s="76" t="n">
        <v>0</v>
      </c>
      <c r="H135" s="76" t="n">
        <v>0</v>
      </c>
      <c r="I135" s="76" t="n">
        <v>0</v>
      </c>
      <c r="J135" s="76" t="n">
        <v>0</v>
      </c>
      <c r="K135" s="76" t="n">
        <v>0</v>
      </c>
      <c r="L135" s="76" t="n">
        <v>0</v>
      </c>
      <c r="M135" s="76" t="n">
        <v>0</v>
      </c>
      <c r="N135" s="76" t="n">
        <v>0</v>
      </c>
      <c r="O135" s="76" t="n">
        <v>0</v>
      </c>
      <c r="P135" s="76" t="n">
        <v>0</v>
      </c>
      <c r="Q135" s="76" t="n">
        <v>0</v>
      </c>
      <c r="R135" s="76" t="n">
        <v>0</v>
      </c>
      <c r="S135" s="76" t="n">
        <v>0</v>
      </c>
      <c r="T135" s="76" t="n">
        <v>0</v>
      </c>
      <c r="U135" s="76" t="n">
        <v>0</v>
      </c>
      <c r="V135" s="76" t="n">
        <v>0</v>
      </c>
      <c r="W135" s="76" t="n">
        <v>0</v>
      </c>
      <c r="X135" s="76" t="n">
        <v>0</v>
      </c>
      <c r="Y135" s="76" t="n">
        <v>0</v>
      </c>
      <c r="Z135" s="76" t="n">
        <v>0</v>
      </c>
      <c r="AA135" s="76" t="n">
        <v>0</v>
      </c>
      <c r="AB135" s="76" t="n">
        <v>0</v>
      </c>
      <c r="AC135" s="76" t="n">
        <v>0</v>
      </c>
      <c r="AD135" s="76" t="n">
        <v>0</v>
      </c>
      <c r="AE135" s="76" t="n">
        <v>0</v>
      </c>
      <c r="AF135" s="76" t="n">
        <v>0</v>
      </c>
      <c r="AG135" s="76" t="n">
        <v>0</v>
      </c>
      <c r="AH135" s="76" t="n">
        <v>0</v>
      </c>
      <c r="AI135" s="76" t="n">
        <v>0</v>
      </c>
      <c r="AJ135" s="76" t="n">
        <v>0</v>
      </c>
      <c r="AK135" s="76" t="n">
        <v>0</v>
      </c>
      <c r="AL135" s="76" t="n">
        <v>0</v>
      </c>
      <c r="AM135" s="76" t="n">
        <v>0</v>
      </c>
      <c r="AN135" s="76" t="n">
        <v>0</v>
      </c>
      <c r="AO135" s="76" t="n">
        <v>0</v>
      </c>
      <c r="AP135" s="76" t="n">
        <v>0</v>
      </c>
      <c r="AQ135" s="76" t="n">
        <v>0</v>
      </c>
      <c r="AR135" s="76" t="n">
        <v>0.0004957264957264958</v>
      </c>
    </row>
    <row r="136">
      <c r="A136" s="76" t="inlineStr">
        <is>
          <t>FL</t>
        </is>
      </c>
      <c r="B136" s="76" t="inlineStr">
        <is>
          <t>Utility PV</t>
        </is>
      </c>
      <c r="C136" s="76" t="n">
        <v>0.268</v>
      </c>
      <c r="D136" s="76" t="n">
        <v>0.264</v>
      </c>
      <c r="E136" s="76" t="n">
        <v>0.2615</v>
      </c>
      <c r="F136" s="76" t="n">
        <v>0.2605</v>
      </c>
      <c r="G136" s="76" t="n">
        <v>0.2585</v>
      </c>
      <c r="H136" s="76" t="n">
        <v>0.2505</v>
      </c>
      <c r="I136" s="76" t="n">
        <v>0.249</v>
      </c>
      <c r="J136" s="76" t="n">
        <v>0.251</v>
      </c>
      <c r="K136" s="76" t="n">
        <v>0.2513333333333334</v>
      </c>
      <c r="L136" s="76" t="n">
        <v>0.2503333333333334</v>
      </c>
      <c r="M136" s="76" t="n">
        <v>0.2496666666666667</v>
      </c>
      <c r="N136" s="76" t="n">
        <v>0.249</v>
      </c>
      <c r="O136" s="76" t="n">
        <v>0.2483333333333333</v>
      </c>
      <c r="P136" s="76" t="n">
        <v>0.251</v>
      </c>
      <c r="Q136" s="76" t="n">
        <v>0.2516666666666666</v>
      </c>
      <c r="R136" s="76" t="n">
        <v>0.2446666666666667</v>
      </c>
      <c r="S136" s="76" t="n">
        <v>0.2386666666666667</v>
      </c>
      <c r="T136" s="76" t="n">
        <v>0.2353333333333333</v>
      </c>
      <c r="U136" s="76" t="n">
        <v>0.2316666666666667</v>
      </c>
      <c r="V136" s="76" t="n">
        <v>0.2346666666666667</v>
      </c>
      <c r="W136" s="76" t="n">
        <v>0.2373333333333333</v>
      </c>
      <c r="X136" s="76" t="n">
        <v>0.237</v>
      </c>
      <c r="Y136" s="76" t="n">
        <v>0.2366666666666667</v>
      </c>
      <c r="Z136" s="76" t="n">
        <v>0.2333333333333333</v>
      </c>
      <c r="AA136" s="76" t="n">
        <v>0.231</v>
      </c>
      <c r="AB136" s="76" t="n">
        <v>0.2296666666666667</v>
      </c>
      <c r="AC136" s="76" t="n">
        <v>0.2283333333333333</v>
      </c>
      <c r="AD136" s="76" t="n">
        <v>0.2273333333333334</v>
      </c>
      <c r="AE136" s="76" t="n">
        <v>0.2263333333333334</v>
      </c>
      <c r="AF136" s="76" t="n">
        <v>0.2253333333333334</v>
      </c>
      <c r="AG136" s="76" t="n">
        <v>0.2236666666666667</v>
      </c>
      <c r="AH136" s="76" t="n">
        <v>0.2243333333333334</v>
      </c>
      <c r="AI136" s="76" t="n">
        <v>0.225</v>
      </c>
      <c r="AJ136" s="76" t="n">
        <v>0.2256666666666667</v>
      </c>
      <c r="AK136" s="76" t="n">
        <v>0.226</v>
      </c>
      <c r="AL136" s="76" t="n">
        <v>0.2263333333333334</v>
      </c>
      <c r="AM136" s="76" t="n">
        <v>0.226</v>
      </c>
      <c r="AN136" s="76" t="n">
        <v>0.2256666666666667</v>
      </c>
      <c r="AO136" s="76" t="n">
        <v>0.226</v>
      </c>
      <c r="AP136" s="76" t="n">
        <v>0.2256666666666667</v>
      </c>
      <c r="AQ136" s="76" t="n">
        <v>0.2253333333333334</v>
      </c>
      <c r="AR136" s="76" t="n">
        <v>0.2376034482758621</v>
      </c>
    </row>
    <row r="137">
      <c r="A137" s="76" t="inlineStr">
        <is>
          <t>FL</t>
        </is>
      </c>
      <c r="B137" s="76" t="inlineStr">
        <is>
          <t>Wind offshore</t>
        </is>
      </c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>
        <v>0.28</v>
      </c>
      <c r="AA137" s="76" t="n">
        <v>0.28</v>
      </c>
      <c r="AB137" s="76" t="n">
        <v>0.28</v>
      </c>
      <c r="AC137" s="76" t="n">
        <v>0.274</v>
      </c>
      <c r="AD137" s="76" t="n">
        <v>0.271</v>
      </c>
      <c r="AE137" s="76" t="n">
        <v>0.269</v>
      </c>
      <c r="AF137" s="76" t="n">
        <v>0.268</v>
      </c>
      <c r="AG137" s="76" t="n">
        <v>0.267</v>
      </c>
      <c r="AH137" s="76" t="n">
        <v>0.28</v>
      </c>
      <c r="AI137" s="76" t="n">
        <v>0.287</v>
      </c>
      <c r="AJ137" s="76" t="n">
        <v>0.293</v>
      </c>
      <c r="AK137" s="76" t="n">
        <v>0.296</v>
      </c>
      <c r="AL137" s="76" t="n">
        <v>0.299</v>
      </c>
      <c r="AM137" s="76" t="n">
        <v>0.313</v>
      </c>
      <c r="AN137" s="76" t="n">
        <v>0.325</v>
      </c>
      <c r="AO137" s="76" t="n">
        <v>0.336</v>
      </c>
      <c r="AP137" s="76" t="n">
        <v>0.345</v>
      </c>
      <c r="AQ137" s="76" t="n">
        <v>0.353</v>
      </c>
      <c r="AR137" s="76" t="n">
        <v>0.2953333333333333</v>
      </c>
    </row>
    <row r="138">
      <c r="A138" s="76" t="inlineStr">
        <is>
          <t>FL</t>
        </is>
      </c>
      <c r="B138" s="76" t="inlineStr">
        <is>
          <t>Wind onshore</t>
        </is>
      </c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>
        <v>0.248</v>
      </c>
      <c r="W138" s="76" t="n">
        <v>0.248</v>
      </c>
      <c r="X138" s="76" t="n">
        <v>0.2685</v>
      </c>
      <c r="Y138" s="76" t="n">
        <v>0.2705</v>
      </c>
      <c r="Z138" s="76" t="n">
        <v>0.231</v>
      </c>
      <c r="AA138" s="76" t="n">
        <v>0.2306666666666667</v>
      </c>
      <c r="AB138" s="76" t="n">
        <v>0.2306666666666667</v>
      </c>
      <c r="AC138" s="76" t="n">
        <v>0.2286666666666667</v>
      </c>
      <c r="AD138" s="76" t="n">
        <v>0.226</v>
      </c>
      <c r="AE138" s="76" t="n">
        <v>0.224</v>
      </c>
      <c r="AF138" s="76" t="n">
        <v>0.222</v>
      </c>
      <c r="AG138" s="76" t="n">
        <v>0.22</v>
      </c>
      <c r="AH138" s="76" t="n">
        <v>0.2266666666666667</v>
      </c>
      <c r="AI138" s="76" t="n">
        <v>0.2333333333333333</v>
      </c>
      <c r="AJ138" s="76" t="n">
        <v>0.24</v>
      </c>
      <c r="AK138" s="76" t="n">
        <v>0.2466666666666667</v>
      </c>
      <c r="AL138" s="76" t="n">
        <v>0.2533333333333334</v>
      </c>
      <c r="AM138" s="76" t="n">
        <v>0.2566666666666667</v>
      </c>
      <c r="AN138" s="76" t="n">
        <v>0.2596666666666667</v>
      </c>
      <c r="AO138" s="76" t="n">
        <v>0.2626666666666667</v>
      </c>
      <c r="AP138" s="76" t="n">
        <v>0.266</v>
      </c>
      <c r="AQ138" s="76" t="n">
        <v>0.269</v>
      </c>
      <c r="AR138" s="76" t="n">
        <v>0.2425833333333333</v>
      </c>
    </row>
    <row r="139">
      <c r="A139" s="76" t="inlineStr">
        <is>
          <t>GA</t>
        </is>
      </c>
      <c r="B139" s="76" t="inlineStr">
        <is>
          <t>GA</t>
        </is>
      </c>
      <c r="C139" s="76" t="n">
        <v>0.331875</v>
      </c>
      <c r="D139" s="76" t="n">
        <v>0.3156666666666667</v>
      </c>
      <c r="E139" s="76" t="n">
        <v>0.2978888888888889</v>
      </c>
      <c r="F139" s="76" t="n">
        <v>0.2956666666666667</v>
      </c>
      <c r="G139" s="76" t="n">
        <v>0.3038888888888889</v>
      </c>
      <c r="H139" s="76" t="n">
        <v>0.2798</v>
      </c>
      <c r="I139" s="76" t="n">
        <v>0.2822</v>
      </c>
      <c r="J139" s="76" t="n">
        <v>0.2889</v>
      </c>
      <c r="K139" s="76" t="n">
        <v>0.2967000000000001</v>
      </c>
      <c r="L139" s="76" t="n">
        <v>0.2803</v>
      </c>
      <c r="M139" s="76" t="n">
        <v>0.2662</v>
      </c>
      <c r="N139" s="76" t="n">
        <v>0.2756363636363636</v>
      </c>
      <c r="O139" s="76" t="n">
        <v>0.2732727272727273</v>
      </c>
      <c r="P139" s="76" t="n">
        <v>0.2663636363636364</v>
      </c>
      <c r="Q139" s="76" t="n">
        <v>0.2599090909090909</v>
      </c>
      <c r="R139" s="76" t="n">
        <v>0.2556363636363636</v>
      </c>
      <c r="S139" s="76" t="n">
        <v>0.2513636363636364</v>
      </c>
      <c r="T139" s="76" t="n">
        <v>0.2444545454545455</v>
      </c>
      <c r="U139" s="76" t="n">
        <v>0.2404545454545454</v>
      </c>
      <c r="V139" s="76" t="n">
        <v>0.2359090909090909</v>
      </c>
      <c r="W139" s="76" t="n">
        <v>0.2343636363636364</v>
      </c>
      <c r="X139" s="76" t="n">
        <v>0.2210909090909091</v>
      </c>
      <c r="Y139" s="76" t="n">
        <v>0.2279</v>
      </c>
      <c r="Z139" s="76" t="n">
        <v>0.21625</v>
      </c>
      <c r="AA139" s="76" t="n">
        <v>0.2143333333333333</v>
      </c>
      <c r="AB139" s="76" t="n">
        <v>0.1991818181818182</v>
      </c>
      <c r="AC139" s="76" t="n">
        <v>0.1990909090909091</v>
      </c>
      <c r="AD139" s="76" t="n">
        <v>0.1992727272727273</v>
      </c>
      <c r="AE139" s="76" t="n">
        <v>0.1993636363636364</v>
      </c>
      <c r="AF139" s="76" t="n">
        <v>0.1996363636363636</v>
      </c>
      <c r="AG139" s="76" t="n">
        <v>0.1999090909090909</v>
      </c>
      <c r="AH139" s="76" t="n">
        <v>0.1982727272727273</v>
      </c>
      <c r="AI139" s="76" t="n">
        <v>0.198</v>
      </c>
      <c r="AJ139" s="76" t="n">
        <v>0.1980909090909091</v>
      </c>
      <c r="AK139" s="76" t="n">
        <v>0.1987272727272727</v>
      </c>
      <c r="AL139" s="76" t="n">
        <v>0.1995454545454545</v>
      </c>
      <c r="AM139" s="76" t="n">
        <v>0.2024545454545454</v>
      </c>
      <c r="AN139" s="76" t="n">
        <v>0.2042727272727273</v>
      </c>
      <c r="AO139" s="76" t="n">
        <v>0.2052727272727273</v>
      </c>
      <c r="AP139" s="76" t="n">
        <v>0.2057272727272727</v>
      </c>
      <c r="AQ139" s="76" t="n">
        <v>0.2058181818181818</v>
      </c>
      <c r="AR139" s="76" t="n">
        <v>0.2382574712643678</v>
      </c>
    </row>
    <row r="140">
      <c r="A140" s="76" t="inlineStr">
        <is>
          <t>GA</t>
        </is>
      </c>
      <c r="B140" s="76" t="inlineStr">
        <is>
          <t>Battery</t>
        </is>
      </c>
      <c r="C140" s="76" t="n"/>
      <c r="D140" s="76" t="n"/>
      <c r="E140" s="76" t="n"/>
      <c r="F140" s="76" t="n"/>
      <c r="G140" s="76" t="n"/>
      <c r="H140" s="76" t="n">
        <v>-0.001</v>
      </c>
      <c r="I140" s="76" t="n">
        <v>-0.001</v>
      </c>
      <c r="J140" s="76" t="n">
        <v>0</v>
      </c>
      <c r="K140" s="76" t="n">
        <v>0</v>
      </c>
      <c r="L140" s="76" t="n">
        <v>0</v>
      </c>
      <c r="M140" s="76" t="n">
        <v>0</v>
      </c>
      <c r="N140" s="76" t="n">
        <v>0</v>
      </c>
      <c r="O140" s="76" t="n">
        <v>0</v>
      </c>
      <c r="P140" s="76" t="n">
        <v>0</v>
      </c>
      <c r="Q140" s="76" t="n">
        <v>0</v>
      </c>
      <c r="R140" s="76" t="n">
        <v>0</v>
      </c>
      <c r="S140" s="76" t="n">
        <v>0</v>
      </c>
      <c r="T140" s="76" t="n">
        <v>-0.004</v>
      </c>
      <c r="U140" s="76" t="n">
        <v>-0.007</v>
      </c>
      <c r="V140" s="76" t="n">
        <v>-0.007</v>
      </c>
      <c r="W140" s="76" t="n">
        <v>-0.007</v>
      </c>
      <c r="X140" s="76" t="n">
        <v>-0.007</v>
      </c>
      <c r="Y140" s="76" t="n"/>
      <c r="Z140" s="76" t="n">
        <v>-0.054</v>
      </c>
      <c r="AA140" s="76" t="n">
        <v>-0.054</v>
      </c>
      <c r="AB140" s="76" t="n">
        <v>-0.054</v>
      </c>
      <c r="AC140" s="76" t="n">
        <v>-0.058</v>
      </c>
      <c r="AD140" s="76" t="n">
        <v>-0.061</v>
      </c>
      <c r="AE140" s="76" t="n">
        <v>-0.062</v>
      </c>
      <c r="AF140" s="76" t="n">
        <v>-0.063</v>
      </c>
      <c r="AG140" s="76" t="n">
        <v>-0.064</v>
      </c>
      <c r="AH140" s="76" t="n">
        <v>-0.063</v>
      </c>
      <c r="AI140" s="76" t="n">
        <v>-0.062</v>
      </c>
      <c r="AJ140" s="76" t="n">
        <v>-0.062</v>
      </c>
      <c r="AK140" s="76" t="n">
        <v>-0.061</v>
      </c>
      <c r="AL140" s="76" t="n">
        <v>-0.061</v>
      </c>
      <c r="AM140" s="76" t="n">
        <v>-0.057</v>
      </c>
      <c r="AN140" s="76" t="n">
        <v>-0.054</v>
      </c>
      <c r="AO140" s="76" t="n">
        <v>-0.051</v>
      </c>
      <c r="AP140" s="76" t="n">
        <v>-0.049</v>
      </c>
      <c r="AQ140" s="76" t="n">
        <v>-0.047</v>
      </c>
      <c r="AR140" s="76" t="n">
        <v>-0.0306</v>
      </c>
    </row>
    <row r="141">
      <c r="A141" s="76" t="inlineStr">
        <is>
          <t>GA</t>
        </is>
      </c>
      <c r="B141" s="76" t="inlineStr">
        <is>
          <t>Biopower</t>
        </is>
      </c>
      <c r="C141" s="76" t="n">
        <v>0.674</v>
      </c>
      <c r="D141" s="76" t="n">
        <v>0.473</v>
      </c>
      <c r="E141" s="76" t="n">
        <v>0.309</v>
      </c>
      <c r="F141" s="76" t="n">
        <v>0.221</v>
      </c>
      <c r="G141" s="76" t="n">
        <v>0.185</v>
      </c>
      <c r="H141" s="76" t="n">
        <v>0.196</v>
      </c>
      <c r="I141" s="76" t="n">
        <v>0.205</v>
      </c>
      <c r="J141" s="76" t="n">
        <v>0.168</v>
      </c>
      <c r="K141" s="76" t="n">
        <v>0.143</v>
      </c>
      <c r="L141" s="76" t="n">
        <v>0.099</v>
      </c>
      <c r="M141" s="76" t="n">
        <v>0.075</v>
      </c>
      <c r="N141" s="76" t="n">
        <v>0.075</v>
      </c>
      <c r="O141" s="76" t="n">
        <v>0.075</v>
      </c>
      <c r="P141" s="76" t="n">
        <v>0.075</v>
      </c>
      <c r="Q141" s="76" t="n">
        <v>0.075</v>
      </c>
      <c r="R141" s="76" t="n">
        <v>0.075</v>
      </c>
      <c r="S141" s="76" t="n">
        <v>0.075</v>
      </c>
      <c r="T141" s="76" t="n">
        <v>0.074</v>
      </c>
      <c r="U141" s="76" t="n">
        <v>0.073</v>
      </c>
      <c r="V141" s="76" t="n">
        <v>0.073</v>
      </c>
      <c r="W141" s="76" t="n">
        <v>0.073</v>
      </c>
      <c r="X141" s="76" t="n">
        <v>0.073</v>
      </c>
      <c r="Y141" s="76" t="n">
        <v>0.073</v>
      </c>
      <c r="Z141" s="76" t="n">
        <v>0.07199999999999999</v>
      </c>
      <c r="AA141" s="76" t="n">
        <v>0.07099999999999999</v>
      </c>
      <c r="AB141" s="76" t="n">
        <v>0.07099999999999999</v>
      </c>
      <c r="AC141" s="76" t="n">
        <v>0.07099999999999999</v>
      </c>
      <c r="AD141" s="76" t="n">
        <v>0.07199999999999999</v>
      </c>
      <c r="AE141" s="76" t="n">
        <v>0.07199999999999999</v>
      </c>
      <c r="AF141" s="76" t="n">
        <v>0.073</v>
      </c>
      <c r="AG141" s="76" t="n">
        <v>0.073</v>
      </c>
      <c r="AH141" s="76" t="n">
        <v>0.073</v>
      </c>
      <c r="AI141" s="76" t="n">
        <v>0.073</v>
      </c>
      <c r="AJ141" s="76" t="n">
        <v>0.07199999999999999</v>
      </c>
      <c r="AK141" s="76" t="n">
        <v>0.07199999999999999</v>
      </c>
      <c r="AL141" s="76" t="n">
        <v>0.07199999999999999</v>
      </c>
      <c r="AM141" s="76" t="n">
        <v>0.07099999999999999</v>
      </c>
      <c r="AN141" s="76" t="n">
        <v>0.07099999999999999</v>
      </c>
      <c r="AO141" s="76" t="n">
        <v>0.07000000000000001</v>
      </c>
      <c r="AP141" s="76" t="n">
        <v>0.07000000000000001</v>
      </c>
      <c r="AQ141" s="76" t="n">
        <v>0.06900000000000001</v>
      </c>
      <c r="AR141" s="76" t="n">
        <v>0.1201219512195123</v>
      </c>
    </row>
    <row r="142">
      <c r="A142" s="76" t="inlineStr">
        <is>
          <t>GA</t>
        </is>
      </c>
      <c r="B142" s="76" t="inlineStr">
        <is>
          <t>Coal</t>
        </is>
      </c>
      <c r="C142" s="76" t="n">
        <v>0.723</v>
      </c>
      <c r="D142" s="76" t="n">
        <v>0.433</v>
      </c>
      <c r="E142" s="76" t="n">
        <v>0.15</v>
      </c>
      <c r="F142" s="76" t="n">
        <v>0.446</v>
      </c>
      <c r="G142" s="76" t="n">
        <v>0.785</v>
      </c>
      <c r="H142" s="76" t="n">
        <v>0.593</v>
      </c>
      <c r="I142" s="76" t="n">
        <v>0.363</v>
      </c>
      <c r="J142" s="76" t="n">
        <v>0.489</v>
      </c>
      <c r="K142" s="76" t="n">
        <v>0.615</v>
      </c>
      <c r="L142" s="76" t="n">
        <v>0.479</v>
      </c>
      <c r="M142" s="76" t="n">
        <v>0.343</v>
      </c>
      <c r="N142" s="76" t="n">
        <v>0.332</v>
      </c>
      <c r="O142" s="76" t="n">
        <v>0.322</v>
      </c>
      <c r="P142" s="76" t="n">
        <v>0.4</v>
      </c>
      <c r="Q142" s="76" t="n">
        <v>0.485</v>
      </c>
      <c r="R142" s="76" t="n">
        <v>0.532</v>
      </c>
      <c r="S142" s="76" t="n">
        <v>0.579</v>
      </c>
      <c r="T142" s="76" t="n">
        <v>0.57</v>
      </c>
      <c r="U142" s="76" t="n">
        <v>0.5610000000000001</v>
      </c>
      <c r="V142" s="76" t="n">
        <v>0.555</v>
      </c>
      <c r="W142" s="76" t="n">
        <v>0.548</v>
      </c>
      <c r="X142" s="76" t="n">
        <v>0.459</v>
      </c>
      <c r="Y142" s="76" t="n">
        <v>0.361</v>
      </c>
      <c r="Z142" s="76" t="n">
        <v>0.361</v>
      </c>
      <c r="AA142" s="76" t="n">
        <v>0.361</v>
      </c>
      <c r="AB142" s="76" t="n"/>
      <c r="AC142" s="76" t="n"/>
      <c r="AD142" s="76" t="n"/>
      <c r="AE142" s="76" t="n"/>
      <c r="AF142" s="76" t="n"/>
      <c r="AG142" s="76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>
        <v>0.4738000000000001</v>
      </c>
    </row>
    <row r="143">
      <c r="A143" s="76" t="inlineStr">
        <is>
          <t>GA</t>
        </is>
      </c>
      <c r="B143" s="76" t="inlineStr">
        <is>
          <t>CSP</t>
        </is>
      </c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  <c r="AG143" s="76" t="n"/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</row>
    <row r="144">
      <c r="A144" s="76" t="inlineStr">
        <is>
          <t>GA</t>
        </is>
      </c>
      <c r="B144" s="76" t="inlineStr">
        <is>
          <t>Dist PV</t>
        </is>
      </c>
      <c r="C144" s="76" t="n">
        <v>0.177</v>
      </c>
      <c r="D144" s="76" t="n">
        <v>0.177</v>
      </c>
      <c r="E144" s="76" t="n">
        <v>0.177</v>
      </c>
      <c r="F144" s="76" t="n">
        <v>0.177</v>
      </c>
      <c r="G144" s="76" t="n">
        <v>0.177</v>
      </c>
      <c r="H144" s="76" t="n">
        <v>0.177</v>
      </c>
      <c r="I144" s="76" t="n">
        <v>0.177</v>
      </c>
      <c r="J144" s="76" t="n">
        <v>0.177</v>
      </c>
      <c r="K144" s="76" t="n">
        <v>0.177</v>
      </c>
      <c r="L144" s="76" t="n">
        <v>0.177</v>
      </c>
      <c r="M144" s="76" t="n">
        <v>0.177</v>
      </c>
      <c r="N144" s="76" t="n">
        <v>0.177</v>
      </c>
      <c r="O144" s="76" t="n">
        <v>0.177</v>
      </c>
      <c r="P144" s="76" t="n">
        <v>0.177</v>
      </c>
      <c r="Q144" s="76" t="n">
        <v>0.177</v>
      </c>
      <c r="R144" s="76" t="n">
        <v>0.177</v>
      </c>
      <c r="S144" s="76" t="n">
        <v>0.177</v>
      </c>
      <c r="T144" s="76" t="n">
        <v>0.177</v>
      </c>
      <c r="U144" s="76" t="n">
        <v>0.177</v>
      </c>
      <c r="V144" s="76" t="n">
        <v>0.177</v>
      </c>
      <c r="W144" s="76" t="n">
        <v>0.177</v>
      </c>
      <c r="X144" s="76" t="n">
        <v>0.177</v>
      </c>
      <c r="Y144" s="76" t="n">
        <v>0.177</v>
      </c>
      <c r="Z144" s="76" t="n">
        <v>0.177</v>
      </c>
      <c r="AA144" s="76" t="n">
        <v>0.177</v>
      </c>
      <c r="AB144" s="76" t="n">
        <v>0.177</v>
      </c>
      <c r="AC144" s="76" t="n">
        <v>0.177</v>
      </c>
      <c r="AD144" s="76" t="n">
        <v>0.177</v>
      </c>
      <c r="AE144" s="76" t="n">
        <v>0.177</v>
      </c>
      <c r="AF144" s="76" t="n">
        <v>0.177</v>
      </c>
      <c r="AG144" s="76" t="n">
        <v>0.177</v>
      </c>
      <c r="AH144" s="76" t="n">
        <v>0.177</v>
      </c>
      <c r="AI144" s="76" t="n">
        <v>0.177</v>
      </c>
      <c r="AJ144" s="76" t="n">
        <v>0.177</v>
      </c>
      <c r="AK144" s="76" t="n">
        <v>0.177</v>
      </c>
      <c r="AL144" s="76" t="n">
        <v>0.177</v>
      </c>
      <c r="AM144" s="76" t="n">
        <v>0.177</v>
      </c>
      <c r="AN144" s="76" t="n">
        <v>0.177</v>
      </c>
      <c r="AO144" s="76" t="n">
        <v>0.177</v>
      </c>
      <c r="AP144" s="76" t="n">
        <v>0.177</v>
      </c>
      <c r="AQ144" s="76" t="n">
        <v>0.177</v>
      </c>
      <c r="AR144" s="76" t="n">
        <v>0.1769999999999999</v>
      </c>
    </row>
    <row r="145">
      <c r="A145" s="76" t="inlineStr">
        <is>
          <t>GA</t>
        </is>
      </c>
      <c r="B145" s="76" t="inlineStr">
        <is>
          <t>Gas CCGT</t>
        </is>
      </c>
      <c r="C145" s="76" t="n">
        <v>0.076</v>
      </c>
      <c r="D145" s="76" t="n">
        <v>0.518</v>
      </c>
      <c r="E145" s="76" t="n">
        <v>0.823</v>
      </c>
      <c r="F145" s="76" t="n">
        <v>0.577</v>
      </c>
      <c r="G145" s="76" t="n">
        <v>0.331</v>
      </c>
      <c r="H145" s="76" t="n">
        <v>0.587</v>
      </c>
      <c r="I145" s="76" t="n">
        <v>0.842</v>
      </c>
      <c r="J145" s="76" t="n">
        <v>0.82</v>
      </c>
      <c r="K145" s="76" t="n">
        <v>0.797</v>
      </c>
      <c r="L145" s="76" t="n">
        <v>0.8139999999999999</v>
      </c>
      <c r="M145" s="76" t="n">
        <v>0.832</v>
      </c>
      <c r="N145" s="76" t="n">
        <v>0.8159999999999999</v>
      </c>
      <c r="O145" s="76" t="n">
        <v>0.8</v>
      </c>
      <c r="P145" s="76" t="n">
        <v>0.647</v>
      </c>
      <c r="Q145" s="76" t="n">
        <v>0.494</v>
      </c>
      <c r="R145" s="76" t="n">
        <v>0.405</v>
      </c>
      <c r="S145" s="76" t="n">
        <v>0.316</v>
      </c>
      <c r="T145" s="76" t="n">
        <v>0.293</v>
      </c>
      <c r="U145" s="76" t="n">
        <v>0.27</v>
      </c>
      <c r="V145" s="76" t="n">
        <v>0.281</v>
      </c>
      <c r="W145" s="76" t="n">
        <v>0.292</v>
      </c>
      <c r="X145" s="76" t="n">
        <v>0.234</v>
      </c>
      <c r="Y145" s="76" t="n">
        <v>0.175</v>
      </c>
      <c r="Z145" s="76" t="n">
        <v>0.165</v>
      </c>
      <c r="AA145" s="76" t="n">
        <v>0.155</v>
      </c>
      <c r="AB145" s="76" t="n">
        <v>0.145</v>
      </c>
      <c r="AC145" s="76" t="n">
        <v>0.15</v>
      </c>
      <c r="AD145" s="76" t="n">
        <v>0.155</v>
      </c>
      <c r="AE145" s="76" t="n">
        <v>0.159</v>
      </c>
      <c r="AF145" s="76" t="n">
        <v>0.164</v>
      </c>
      <c r="AG145" s="76" t="n">
        <v>0.169</v>
      </c>
      <c r="AH145" s="76" t="n">
        <v>0.181</v>
      </c>
      <c r="AI145" s="76" t="n">
        <v>0.193</v>
      </c>
      <c r="AJ145" s="76" t="n">
        <v>0.204</v>
      </c>
      <c r="AK145" s="76" t="n">
        <v>0.216</v>
      </c>
      <c r="AL145" s="76" t="n">
        <v>0.228</v>
      </c>
      <c r="AM145" s="76" t="n">
        <v>0.222</v>
      </c>
      <c r="AN145" s="76" t="n">
        <v>0.217</v>
      </c>
      <c r="AO145" s="76" t="n">
        <v>0.211</v>
      </c>
      <c r="AP145" s="76" t="n">
        <v>0.206</v>
      </c>
      <c r="AQ145" s="76" t="n">
        <v>0.2</v>
      </c>
      <c r="AR145" s="76" t="n">
        <v>0.3751219512195121</v>
      </c>
    </row>
    <row r="146">
      <c r="A146" s="76" t="inlineStr">
        <is>
          <t>GA</t>
        </is>
      </c>
      <c r="B146" s="76" t="inlineStr">
        <is>
          <t>Gas CT</t>
        </is>
      </c>
      <c r="C146" s="76" t="n">
        <v>0.004</v>
      </c>
      <c r="D146" s="76" t="n">
        <v>0.004</v>
      </c>
      <c r="E146" s="76" t="n">
        <v>0.004</v>
      </c>
      <c r="F146" s="76" t="n">
        <v>0.004</v>
      </c>
      <c r="G146" s="76" t="n">
        <v>0.004</v>
      </c>
      <c r="H146" s="76" t="n">
        <v>0.004</v>
      </c>
      <c r="I146" s="76" t="n">
        <v>0.004</v>
      </c>
      <c r="J146" s="76" t="n">
        <v>0.004</v>
      </c>
      <c r="K146" s="76" t="n">
        <v>0.004</v>
      </c>
      <c r="L146" s="76" t="n">
        <v>0.004</v>
      </c>
      <c r="M146" s="76" t="n">
        <v>0.004</v>
      </c>
      <c r="N146" s="76" t="n">
        <v>0.004</v>
      </c>
      <c r="O146" s="76" t="n">
        <v>0.004</v>
      </c>
      <c r="P146" s="76" t="n">
        <v>0.002</v>
      </c>
      <c r="Q146" s="76" t="n">
        <v>0</v>
      </c>
      <c r="R146" s="76" t="n">
        <v>0</v>
      </c>
      <c r="S146" s="76" t="n">
        <v>0</v>
      </c>
      <c r="T146" s="76" t="n">
        <v>0</v>
      </c>
      <c r="U146" s="76" t="n">
        <v>0</v>
      </c>
      <c r="V146" s="76" t="n">
        <v>0</v>
      </c>
      <c r="W146" s="76" t="n">
        <v>0</v>
      </c>
      <c r="X146" s="76" t="n">
        <v>0</v>
      </c>
      <c r="Y146" s="76" t="n">
        <v>0</v>
      </c>
      <c r="Z146" s="76" t="n">
        <v>0</v>
      </c>
      <c r="AA146" s="76" t="n">
        <v>0</v>
      </c>
      <c r="AB146" s="76" t="n">
        <v>0</v>
      </c>
      <c r="AC146" s="76" t="n">
        <v>0</v>
      </c>
      <c r="AD146" s="76" t="n">
        <v>0</v>
      </c>
      <c r="AE146" s="76" t="n">
        <v>0</v>
      </c>
      <c r="AF146" s="76" t="n">
        <v>0</v>
      </c>
      <c r="AG146" s="76" t="n">
        <v>0</v>
      </c>
      <c r="AH146" s="76" t="n">
        <v>0</v>
      </c>
      <c r="AI146" s="76" t="n">
        <v>0</v>
      </c>
      <c r="AJ146" s="76" t="n">
        <v>0</v>
      </c>
      <c r="AK146" s="76" t="n">
        <v>0</v>
      </c>
      <c r="AL146" s="76" t="n">
        <v>0</v>
      </c>
      <c r="AM146" s="76" t="n">
        <v>0</v>
      </c>
      <c r="AN146" s="76" t="n">
        <v>0</v>
      </c>
      <c r="AO146" s="76" t="n">
        <v>0</v>
      </c>
      <c r="AP146" s="76" t="n">
        <v>0</v>
      </c>
      <c r="AQ146" s="76" t="n">
        <v>0</v>
      </c>
      <c r="AR146" s="76" t="n">
        <v>0.001317073170731708</v>
      </c>
    </row>
    <row r="147">
      <c r="A147" s="76" t="inlineStr">
        <is>
          <t>GA</t>
        </is>
      </c>
      <c r="B147" s="76" t="inlineStr">
        <is>
          <t>Geothermal</t>
        </is>
      </c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  <c r="AA147" s="76" t="n"/>
      <c r="AB147" s="76" t="n"/>
      <c r="AC147" s="76" t="n"/>
      <c r="AD147" s="76" t="n"/>
      <c r="AE147" s="76" t="n"/>
      <c r="AF147" s="76" t="n"/>
      <c r="AG147" s="76" t="n"/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</row>
    <row r="148">
      <c r="A148" s="76" t="inlineStr">
        <is>
          <t>GA</t>
        </is>
      </c>
      <c r="B148" s="76" t="inlineStr">
        <is>
          <t>Hydro</t>
        </is>
      </c>
      <c r="C148" s="76" t="n">
        <v>0.099</v>
      </c>
      <c r="D148" s="76" t="n">
        <v>0.082</v>
      </c>
      <c r="E148" s="76" t="n">
        <v>0.064</v>
      </c>
      <c r="F148" s="76" t="n">
        <v>0.082</v>
      </c>
      <c r="G148" s="76" t="n">
        <v>0.099</v>
      </c>
      <c r="H148" s="76" t="n">
        <v>0.08799999999999999</v>
      </c>
      <c r="I148" s="76" t="n">
        <v>0.078</v>
      </c>
      <c r="J148" s="76" t="n">
        <v>0.079</v>
      </c>
      <c r="K148" s="76" t="n">
        <v>0.08</v>
      </c>
      <c r="L148" s="76" t="n">
        <v>0.082</v>
      </c>
      <c r="M148" s="76" t="n">
        <v>0.08400000000000001</v>
      </c>
      <c r="N148" s="76" t="n">
        <v>0.08500000000000001</v>
      </c>
      <c r="O148" s="76" t="n">
        <v>0.08599999999999999</v>
      </c>
      <c r="P148" s="76" t="n">
        <v>0.08699999999999999</v>
      </c>
      <c r="Q148" s="76" t="n">
        <v>0.08699999999999999</v>
      </c>
      <c r="R148" s="76" t="n">
        <v>0.083</v>
      </c>
      <c r="S148" s="76" t="n">
        <v>0.079</v>
      </c>
      <c r="T148" s="76" t="n">
        <v>0.07199999999999999</v>
      </c>
      <c r="U148" s="76" t="n">
        <v>0.065</v>
      </c>
      <c r="V148" s="76" t="n">
        <v>0.063</v>
      </c>
      <c r="W148" s="76" t="n">
        <v>0.061</v>
      </c>
      <c r="X148" s="76" t="n">
        <v>0.059</v>
      </c>
      <c r="Y148" s="76" t="n">
        <v>0.057</v>
      </c>
      <c r="Z148" s="76" t="n">
        <v>0.055</v>
      </c>
      <c r="AA148" s="76" t="n">
        <v>0.052</v>
      </c>
      <c r="AB148" s="76" t="n">
        <v>0.05</v>
      </c>
      <c r="AC148" s="76" t="n">
        <v>0.05</v>
      </c>
      <c r="AD148" s="76" t="n">
        <v>0.05</v>
      </c>
      <c r="AE148" s="76" t="n">
        <v>0.049</v>
      </c>
      <c r="AF148" s="76" t="n">
        <v>0.049</v>
      </c>
      <c r="AG148" s="76" t="n">
        <v>0.049</v>
      </c>
      <c r="AH148" s="76" t="n">
        <v>0.05</v>
      </c>
      <c r="AI148" s="76" t="n">
        <v>0.051</v>
      </c>
      <c r="AJ148" s="76" t="n">
        <v>0.051</v>
      </c>
      <c r="AK148" s="76" t="n">
        <v>0.052</v>
      </c>
      <c r="AL148" s="76" t="n">
        <v>0.053</v>
      </c>
      <c r="AM148" s="76" t="n">
        <v>0.058</v>
      </c>
      <c r="AN148" s="76" t="n">
        <v>0.063</v>
      </c>
      <c r="AO148" s="76" t="n">
        <v>0.068</v>
      </c>
      <c r="AP148" s="76" t="n">
        <v>0.07199999999999999</v>
      </c>
      <c r="AQ148" s="76" t="n">
        <v>0.077</v>
      </c>
      <c r="AR148" s="76" t="n">
        <v>0.06829268292682926</v>
      </c>
    </row>
    <row r="149">
      <c r="A149" s="76" t="inlineStr">
        <is>
          <t>GA</t>
        </is>
      </c>
      <c r="B149" s="76" t="inlineStr">
        <is>
          <t>Nuclear</t>
        </is>
      </c>
      <c r="C149" s="76" t="n">
        <v>0.902</v>
      </c>
      <c r="D149" s="76" t="n">
        <v>0.902</v>
      </c>
      <c r="E149" s="76" t="n">
        <v>0.902</v>
      </c>
      <c r="F149" s="76" t="n">
        <v>0.902</v>
      </c>
      <c r="G149" s="76" t="n">
        <v>0.902</v>
      </c>
      <c r="H149" s="76" t="n">
        <v>0.902</v>
      </c>
      <c r="I149" s="76" t="n">
        <v>0.902</v>
      </c>
      <c r="J149" s="76" t="n">
        <v>0.902</v>
      </c>
      <c r="K149" s="76" t="n">
        <v>0.902</v>
      </c>
      <c r="L149" s="76" t="n">
        <v>0.902</v>
      </c>
      <c r="M149" s="76" t="n">
        <v>0.902</v>
      </c>
      <c r="N149" s="76" t="n">
        <v>0.902</v>
      </c>
      <c r="O149" s="76" t="n">
        <v>0.902</v>
      </c>
      <c r="P149" s="76" t="n">
        <v>0.902</v>
      </c>
      <c r="Q149" s="76" t="n">
        <v>0.902</v>
      </c>
      <c r="R149" s="76" t="n">
        <v>0.902</v>
      </c>
      <c r="S149" s="76" t="n">
        <v>0.902</v>
      </c>
      <c r="T149" s="76" t="n">
        <v>0.902</v>
      </c>
      <c r="U149" s="76" t="n">
        <v>0.902</v>
      </c>
      <c r="V149" s="76" t="n">
        <v>0.902</v>
      </c>
      <c r="W149" s="76" t="n">
        <v>0.902</v>
      </c>
      <c r="X149" s="76" t="n">
        <v>0.902</v>
      </c>
      <c r="Y149" s="76" t="n">
        <v>0.902</v>
      </c>
      <c r="Z149" s="76" t="n">
        <v>0.902</v>
      </c>
      <c r="AA149" s="76" t="n">
        <v>0.902</v>
      </c>
      <c r="AB149" s="76" t="n">
        <v>0.902</v>
      </c>
      <c r="AC149" s="76" t="n">
        <v>0.902</v>
      </c>
      <c r="AD149" s="76" t="n">
        <v>0.902</v>
      </c>
      <c r="AE149" s="76" t="n">
        <v>0.902</v>
      </c>
      <c r="AF149" s="76" t="n">
        <v>0.902</v>
      </c>
      <c r="AG149" s="76" t="n">
        <v>0.902</v>
      </c>
      <c r="AH149" s="76" t="n">
        <v>0.902</v>
      </c>
      <c r="AI149" s="76" t="n">
        <v>0.902</v>
      </c>
      <c r="AJ149" s="76" t="n">
        <v>0.902</v>
      </c>
      <c r="AK149" s="76" t="n">
        <v>0.902</v>
      </c>
      <c r="AL149" s="76" t="n">
        <v>0.902</v>
      </c>
      <c r="AM149" s="76" t="n">
        <v>0.889</v>
      </c>
      <c r="AN149" s="76" t="n">
        <v>0.876</v>
      </c>
      <c r="AO149" s="76" t="n">
        <v>0.864</v>
      </c>
      <c r="AP149" s="76" t="n">
        <v>0.851</v>
      </c>
      <c r="AQ149" s="76" t="n">
        <v>0.838</v>
      </c>
      <c r="AR149" s="76" t="n">
        <v>0.8973170731707318</v>
      </c>
    </row>
    <row r="150">
      <c r="A150" s="76" t="inlineStr">
        <is>
          <t>GA</t>
        </is>
      </c>
      <c r="B150" s="76" t="inlineStr">
        <is>
          <t>Other</t>
        </is>
      </c>
      <c r="C150" s="76" t="n">
        <v>0</v>
      </c>
      <c r="D150" s="76" t="n">
        <v>0</v>
      </c>
      <c r="E150" s="76" t="n">
        <v>0</v>
      </c>
      <c r="F150" s="76" t="n">
        <v>0</v>
      </c>
      <c r="G150" s="76" t="n">
        <v>0</v>
      </c>
      <c r="H150" s="76" t="n">
        <v>0</v>
      </c>
      <c r="I150" s="76" t="n">
        <v>0</v>
      </c>
      <c r="J150" s="76" t="n">
        <v>0</v>
      </c>
      <c r="K150" s="76" t="n">
        <v>0</v>
      </c>
      <c r="L150" s="76" t="n">
        <v>0</v>
      </c>
      <c r="M150" s="76" t="n">
        <v>0</v>
      </c>
      <c r="N150" s="76" t="n">
        <v>0</v>
      </c>
      <c r="O150" s="76" t="n">
        <v>0</v>
      </c>
      <c r="P150" s="76" t="n">
        <v>0</v>
      </c>
      <c r="Q150" s="76" t="n">
        <v>0</v>
      </c>
      <c r="R150" s="76" t="n">
        <v>0</v>
      </c>
      <c r="S150" s="76" t="n">
        <v>0</v>
      </c>
      <c r="T150" s="76" t="n">
        <v>0</v>
      </c>
      <c r="U150" s="76" t="n">
        <v>0</v>
      </c>
      <c r="V150" s="76" t="n">
        <v>0</v>
      </c>
      <c r="W150" s="76" t="n">
        <v>0</v>
      </c>
      <c r="X150" s="76" t="n">
        <v>0</v>
      </c>
      <c r="Y150" s="76" t="n">
        <v>0</v>
      </c>
      <c r="Z150" s="76" t="n">
        <v>0</v>
      </c>
      <c r="AA150" s="76" t="n">
        <v>0</v>
      </c>
      <c r="AB150" s="76" t="n">
        <v>0</v>
      </c>
      <c r="AC150" s="76" t="n">
        <v>0</v>
      </c>
      <c r="AD150" s="76" t="n">
        <v>0</v>
      </c>
      <c r="AE150" s="76" t="n">
        <v>0</v>
      </c>
      <c r="AF150" s="76" t="n">
        <v>0</v>
      </c>
      <c r="AG150" s="76" t="n">
        <v>0</v>
      </c>
      <c r="AH150" s="76" t="n">
        <v>0</v>
      </c>
      <c r="AI150" s="76" t="n">
        <v>0</v>
      </c>
      <c r="AJ150" s="76" t="n">
        <v>0</v>
      </c>
      <c r="AK150" s="76" t="n">
        <v>0</v>
      </c>
      <c r="AL150" s="76" t="n">
        <v>0</v>
      </c>
      <c r="AM150" s="76" t="n">
        <v>0</v>
      </c>
      <c r="AN150" s="76" t="n">
        <v>0</v>
      </c>
      <c r="AO150" s="76" t="n">
        <v>0</v>
      </c>
      <c r="AP150" s="76" t="n">
        <v>0</v>
      </c>
      <c r="AQ150" s="76" t="n">
        <v>0</v>
      </c>
      <c r="AR150" s="76" t="n">
        <v>0</v>
      </c>
    </row>
    <row r="151">
      <c r="A151" s="76" t="inlineStr">
        <is>
          <t>GA</t>
        </is>
      </c>
      <c r="B151" s="76" t="inlineStr">
        <is>
          <t>Utility PV</t>
        </is>
      </c>
      <c r="C151" s="76" t="n"/>
      <c r="D151" s="76" t="n">
        <v>0.252</v>
      </c>
      <c r="E151" s="76" t="n">
        <v>0.252</v>
      </c>
      <c r="F151" s="76" t="n">
        <v>0.252</v>
      </c>
      <c r="G151" s="76" t="n">
        <v>0.252</v>
      </c>
      <c r="H151" s="76" t="n">
        <v>0.252</v>
      </c>
      <c r="I151" s="76" t="n">
        <v>0.252</v>
      </c>
      <c r="J151" s="76" t="n">
        <v>0.25</v>
      </c>
      <c r="K151" s="76" t="n">
        <v>0.249</v>
      </c>
      <c r="L151" s="76" t="n">
        <v>0.246</v>
      </c>
      <c r="M151" s="76" t="n">
        <v>0.245</v>
      </c>
      <c r="N151" s="76" t="n">
        <v>0.243</v>
      </c>
      <c r="O151" s="76" t="n">
        <v>0.242</v>
      </c>
      <c r="P151" s="76" t="n">
        <v>0.242</v>
      </c>
      <c r="Q151" s="76" t="n">
        <v>0.241</v>
      </c>
      <c r="R151" s="76" t="n">
        <v>0.24</v>
      </c>
      <c r="S151" s="76" t="n">
        <v>0.239</v>
      </c>
      <c r="T151" s="76" t="n">
        <v>0.238</v>
      </c>
      <c r="U151" s="76" t="n">
        <v>0.237</v>
      </c>
      <c r="V151" s="76" t="n">
        <v>0.235</v>
      </c>
      <c r="W151" s="76" t="n">
        <v>0.233</v>
      </c>
      <c r="X151" s="76" t="n">
        <v>0.233</v>
      </c>
      <c r="Y151" s="76" t="n">
        <v>0.232</v>
      </c>
      <c r="Z151" s="76" t="n">
        <v>0.232</v>
      </c>
      <c r="AA151" s="76" t="n">
        <v>0.231</v>
      </c>
      <c r="AB151" s="76" t="n">
        <v>0.231</v>
      </c>
      <c r="AC151" s="76" t="n">
        <v>0.23</v>
      </c>
      <c r="AD151" s="76" t="n">
        <v>0.23</v>
      </c>
      <c r="AE151" s="76" t="n">
        <v>0.229</v>
      </c>
      <c r="AF151" s="76" t="n">
        <v>0.228</v>
      </c>
      <c r="AG151" s="76" t="n">
        <v>0.228</v>
      </c>
      <c r="AH151" s="76" t="n">
        <v>0.227</v>
      </c>
      <c r="AI151" s="76" t="n">
        <v>0.225</v>
      </c>
      <c r="AJ151" s="76" t="n">
        <v>0.224</v>
      </c>
      <c r="AK151" s="76" t="n">
        <v>0.223</v>
      </c>
      <c r="AL151" s="76" t="n">
        <v>0.222</v>
      </c>
      <c r="AM151" s="76" t="n">
        <v>0.221</v>
      </c>
      <c r="AN151" s="76" t="n">
        <v>0.22</v>
      </c>
      <c r="AO151" s="76" t="n">
        <v>0.22</v>
      </c>
      <c r="AP151" s="76" t="n">
        <v>0.219</v>
      </c>
      <c r="AQ151" s="76" t="n">
        <v>0.218</v>
      </c>
      <c r="AR151" s="76" t="n">
        <v>0.235375</v>
      </c>
    </row>
    <row r="152">
      <c r="A152" s="76" t="inlineStr">
        <is>
          <t>GA</t>
        </is>
      </c>
      <c r="B152" s="76" t="inlineStr">
        <is>
          <t>Wind offshore</t>
        </is>
      </c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>
        <v>0.393</v>
      </c>
      <c r="AA152" s="76" t="n">
        <v>0.393</v>
      </c>
      <c r="AB152" s="76" t="n">
        <v>0.393</v>
      </c>
      <c r="AC152" s="76" t="n">
        <v>0.393</v>
      </c>
      <c r="AD152" s="76" t="n">
        <v>0.393</v>
      </c>
      <c r="AE152" s="76" t="n">
        <v>0.393</v>
      </c>
      <c r="AF152" s="76" t="n">
        <v>0.393</v>
      </c>
      <c r="AG152" s="76" t="n">
        <v>0.393</v>
      </c>
      <c r="AH152" s="76" t="n">
        <v>0.36</v>
      </c>
      <c r="AI152" s="76" t="n">
        <v>0.342</v>
      </c>
      <c r="AJ152" s="76" t="n">
        <v>0.331</v>
      </c>
      <c r="AK152" s="76" t="n">
        <v>0.323</v>
      </c>
      <c r="AL152" s="76" t="n">
        <v>0.317</v>
      </c>
      <c r="AM152" s="76" t="n">
        <v>0.358</v>
      </c>
      <c r="AN152" s="76" t="n">
        <v>0.386</v>
      </c>
      <c r="AO152" s="76" t="n">
        <v>0.405</v>
      </c>
      <c r="AP152" s="76" t="n">
        <v>0.42</v>
      </c>
      <c r="AQ152" s="76" t="n">
        <v>0.432</v>
      </c>
      <c r="AR152" s="76" t="n">
        <v>0.3787777777777779</v>
      </c>
    </row>
    <row r="153">
      <c r="A153" s="76" t="inlineStr">
        <is>
          <t>GA</t>
        </is>
      </c>
      <c r="B153" s="76" t="inlineStr">
        <is>
          <t>Wind onshore</t>
        </is>
      </c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>
        <v>0.398</v>
      </c>
      <c r="O153" s="76" t="n">
        <v>0.398</v>
      </c>
      <c r="P153" s="76" t="n">
        <v>0.398</v>
      </c>
      <c r="Q153" s="76" t="n">
        <v>0.398</v>
      </c>
      <c r="R153" s="76" t="n">
        <v>0.398</v>
      </c>
      <c r="S153" s="76" t="n">
        <v>0.398</v>
      </c>
      <c r="T153" s="76" t="n">
        <v>0.367</v>
      </c>
      <c r="U153" s="76" t="n">
        <v>0.367</v>
      </c>
      <c r="V153" s="76" t="n">
        <v>0.316</v>
      </c>
      <c r="W153" s="76" t="n">
        <v>0.299</v>
      </c>
      <c r="X153" s="76" t="n">
        <v>0.302</v>
      </c>
      <c r="Y153" s="76" t="n">
        <v>0.302</v>
      </c>
      <c r="Z153" s="76" t="n">
        <v>0.292</v>
      </c>
      <c r="AA153" s="76" t="n">
        <v>0.284</v>
      </c>
      <c r="AB153" s="76" t="n">
        <v>0.276</v>
      </c>
      <c r="AC153" s="76" t="n">
        <v>0.275</v>
      </c>
      <c r="AD153" s="76" t="n">
        <v>0.274</v>
      </c>
      <c r="AE153" s="76" t="n">
        <v>0.274</v>
      </c>
      <c r="AF153" s="76" t="n">
        <v>0.273</v>
      </c>
      <c r="AG153" s="76" t="n">
        <v>0.272</v>
      </c>
      <c r="AH153" s="76" t="n">
        <v>0.274</v>
      </c>
      <c r="AI153" s="76" t="n">
        <v>0.277</v>
      </c>
      <c r="AJ153" s="76" t="n">
        <v>0.28</v>
      </c>
      <c r="AK153" s="76" t="n">
        <v>0.282</v>
      </c>
      <c r="AL153" s="76" t="n">
        <v>0.285</v>
      </c>
      <c r="AM153" s="76" t="n">
        <v>0.288</v>
      </c>
      <c r="AN153" s="76" t="n">
        <v>0.291</v>
      </c>
      <c r="AO153" s="76" t="n">
        <v>0.294</v>
      </c>
      <c r="AP153" s="76" t="n">
        <v>0.297</v>
      </c>
      <c r="AQ153" s="76" t="n">
        <v>0.3</v>
      </c>
      <c r="AR153" s="76" t="n">
        <v>0.3143000000000001</v>
      </c>
    </row>
    <row r="154">
      <c r="A154" s="76" t="inlineStr">
        <is>
          <t>IA</t>
        </is>
      </c>
      <c r="B154" s="76" t="inlineStr">
        <is>
          <t>IA</t>
        </is>
      </c>
      <c r="C154" s="76" t="n">
        <v>0.3757894736842105</v>
      </c>
      <c r="D154" s="76" t="n">
        <v>0.3825263157894737</v>
      </c>
      <c r="E154" s="76" t="n">
        <v>0.3873684210526315</v>
      </c>
      <c r="F154" s="76" t="n">
        <v>0.3556818181818182</v>
      </c>
      <c r="G154" s="76" t="n">
        <v>0.3546818181818182</v>
      </c>
      <c r="H154" s="76" t="n">
        <v>0.3724583333333333</v>
      </c>
      <c r="I154" s="76" t="n">
        <v>0.3996666666666666</v>
      </c>
      <c r="J154" s="76" t="n">
        <v>0.3914166666666667</v>
      </c>
      <c r="K154" s="76" t="n">
        <v>0.3849166666666667</v>
      </c>
      <c r="L154" s="76" t="n">
        <v>0.3950416666666667</v>
      </c>
      <c r="M154" s="76" t="n">
        <v>0.3838260869565218</v>
      </c>
      <c r="N154" s="76" t="n">
        <v>0.3780434782608695</v>
      </c>
      <c r="O154" s="76" t="n">
        <v>0.3720869565217391</v>
      </c>
      <c r="P154" s="76" t="n">
        <v>0.3630833333333333</v>
      </c>
      <c r="Q154" s="76" t="n">
        <v>0.3599583333333333</v>
      </c>
      <c r="R154" s="76" t="n">
        <v>0.3007777777777779</v>
      </c>
      <c r="S154" s="76" t="n">
        <v>0.2885925925925927</v>
      </c>
      <c r="T154" s="76" t="n">
        <v>0.2861111111111111</v>
      </c>
      <c r="U154" s="76" t="n">
        <v>0.2839259259259259</v>
      </c>
      <c r="V154" s="76" t="n">
        <v>0.2722962962962963</v>
      </c>
      <c r="W154" s="76" t="n">
        <v>0.2606296296296297</v>
      </c>
      <c r="X154" s="76" t="n">
        <v>0.2556296296296297</v>
      </c>
      <c r="Y154" s="76" t="n">
        <v>0.2503333333333334</v>
      </c>
      <c r="Z154" s="76" t="n">
        <v>0.2502222222222223</v>
      </c>
      <c r="AA154" s="76" t="n">
        <v>0.2501851851851852</v>
      </c>
      <c r="AB154" s="76" t="n">
        <v>0.2144583333333334</v>
      </c>
      <c r="AC154" s="76" t="n">
        <v>0.2138333333333333</v>
      </c>
      <c r="AD154" s="76" t="n">
        <v>0.2132083333333333</v>
      </c>
      <c r="AE154" s="76" t="n">
        <v>0.21275</v>
      </c>
      <c r="AF154" s="76" t="n">
        <v>0.2123333333333333</v>
      </c>
      <c r="AG154" s="76" t="n">
        <v>0.2120416666666667</v>
      </c>
      <c r="AH154" s="76" t="n">
        <v>0.2114583333333333</v>
      </c>
      <c r="AI154" s="76" t="n">
        <v>0.211</v>
      </c>
      <c r="AJ154" s="76" t="n">
        <v>0.2105416666666666</v>
      </c>
      <c r="AK154" s="76" t="n">
        <v>0.21</v>
      </c>
      <c r="AL154" s="76" t="n">
        <v>0.2095</v>
      </c>
      <c r="AM154" s="76" t="n">
        <v>0.2117083333333333</v>
      </c>
      <c r="AN154" s="76" t="n">
        <v>0.21225</v>
      </c>
      <c r="AO154" s="76" t="n">
        <v>0.2120416666666667</v>
      </c>
      <c r="AP154" s="76" t="n">
        <v>0.2111666666666666</v>
      </c>
      <c r="AQ154" s="76" t="n">
        <v>0.2096666666666667</v>
      </c>
      <c r="AR154" s="76" t="n">
        <v>0.2839213709677419</v>
      </c>
    </row>
    <row r="155">
      <c r="A155" s="76" t="inlineStr">
        <is>
          <t>IA</t>
        </is>
      </c>
      <c r="B155" s="76" t="inlineStr">
        <is>
          <t>Battery</t>
        </is>
      </c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>
        <v>-0.06666666666666667</v>
      </c>
      <c r="S155" s="76" t="n">
        <v>-0.06666666666666667</v>
      </c>
      <c r="T155" s="76" t="n">
        <v>-0.06966666666666667</v>
      </c>
      <c r="U155" s="76" t="n">
        <v>-0.07066666666666667</v>
      </c>
      <c r="V155" s="76" t="n">
        <v>-0.07033333333333333</v>
      </c>
      <c r="W155" s="76" t="n">
        <v>-0.06966666666666667</v>
      </c>
      <c r="X155" s="76" t="n">
        <v>-0.068</v>
      </c>
      <c r="Y155" s="76" t="n">
        <v>-0.06666666666666667</v>
      </c>
      <c r="Z155" s="76" t="n">
        <v>-0.065</v>
      </c>
      <c r="AA155" s="76" t="n">
        <v>-0.063</v>
      </c>
      <c r="AB155" s="76" t="n">
        <v>-0.06133333333333333</v>
      </c>
      <c r="AC155" s="76" t="n">
        <v>-0.06366666666666666</v>
      </c>
      <c r="AD155" s="76" t="n">
        <v>-0.066</v>
      </c>
      <c r="AE155" s="76" t="n">
        <v>-0.06766666666666667</v>
      </c>
      <c r="AF155" s="76" t="n">
        <v>-0.06933333333333334</v>
      </c>
      <c r="AG155" s="76" t="n">
        <v>-0.07066666666666667</v>
      </c>
      <c r="AH155" s="76" t="n">
        <v>-0.07066666666666667</v>
      </c>
      <c r="AI155" s="76" t="n">
        <v>-0.07033333333333333</v>
      </c>
      <c r="AJ155" s="76" t="n">
        <v>-0.06966666666666667</v>
      </c>
      <c r="AK155" s="76" t="n">
        <v>-0.06900000000000001</v>
      </c>
      <c r="AL155" s="76" t="n">
        <v>-0.06833333333333334</v>
      </c>
      <c r="AM155" s="76" t="n">
        <v>-0.06733333333333334</v>
      </c>
      <c r="AN155" s="76" t="n">
        <v>-0.06666666666666667</v>
      </c>
      <c r="AO155" s="76" t="n">
        <v>-0.066</v>
      </c>
      <c r="AP155" s="76" t="n">
        <v>-0.06566666666666666</v>
      </c>
      <c r="AQ155" s="76" t="n">
        <v>-0.065</v>
      </c>
      <c r="AR155" s="76" t="n">
        <v>-0.06744871794871794</v>
      </c>
    </row>
    <row r="156">
      <c r="A156" s="76" t="inlineStr">
        <is>
          <t>IA</t>
        </is>
      </c>
      <c r="B156" s="76" t="inlineStr">
        <is>
          <t>Biopower</t>
        </is>
      </c>
      <c r="C156" s="76" t="n">
        <v>0.522</v>
      </c>
      <c r="D156" s="76" t="n">
        <v>0.522</v>
      </c>
      <c r="E156" s="76" t="n">
        <v>0.522</v>
      </c>
      <c r="F156" s="76" t="n">
        <v>0.5105</v>
      </c>
      <c r="G156" s="76" t="n">
        <v>0.5044999999999999</v>
      </c>
      <c r="H156" s="76" t="n">
        <v>0.5024999999999999</v>
      </c>
      <c r="I156" s="76" t="n">
        <v>0.501</v>
      </c>
      <c r="J156" s="76" t="n">
        <v>0.501</v>
      </c>
      <c r="K156" s="76" t="n">
        <v>0.501</v>
      </c>
      <c r="L156" s="76" t="n">
        <v>0.501</v>
      </c>
      <c r="M156" s="76" t="n">
        <v>0.501</v>
      </c>
      <c r="N156" s="76" t="n">
        <v>0.501</v>
      </c>
      <c r="O156" s="76" t="n">
        <v>0.501</v>
      </c>
      <c r="P156" s="76" t="n">
        <v>0.501</v>
      </c>
      <c r="Q156" s="76" t="n">
        <v>0.501</v>
      </c>
      <c r="R156" s="76" t="n">
        <v>0.501</v>
      </c>
      <c r="S156" s="76" t="n">
        <v>0.501</v>
      </c>
      <c r="T156" s="76" t="n">
        <v>0.5024999999999999</v>
      </c>
      <c r="U156" s="76" t="n">
        <v>0.504</v>
      </c>
      <c r="V156" s="76" t="n">
        <v>0.508</v>
      </c>
      <c r="W156" s="76" t="n">
        <v>0.5125</v>
      </c>
      <c r="X156" s="76" t="n">
        <v>0.513</v>
      </c>
      <c r="Y156" s="76" t="n">
        <v>0.5135000000000001</v>
      </c>
      <c r="Z156" s="76" t="n">
        <v>0.512</v>
      </c>
      <c r="AA156" s="76" t="n">
        <v>0.5105</v>
      </c>
      <c r="AB156" s="76" t="n">
        <v>0.509</v>
      </c>
      <c r="AC156" s="76" t="n">
        <v>0.5125</v>
      </c>
      <c r="AD156" s="76" t="n">
        <v>0.5165</v>
      </c>
      <c r="AE156" s="76" t="n">
        <v>0.52</v>
      </c>
      <c r="AF156" s="76" t="n">
        <v>0.5235000000000001</v>
      </c>
      <c r="AG156" s="76" t="n">
        <v>0.527</v>
      </c>
      <c r="AH156" s="76" t="n">
        <v>0.5135000000000001</v>
      </c>
      <c r="AI156" s="76" t="n">
        <v>0.5</v>
      </c>
      <c r="AJ156" s="76" t="n">
        <v>0.487</v>
      </c>
      <c r="AK156" s="76" t="n">
        <v>0.4735</v>
      </c>
      <c r="AL156" s="76" t="n">
        <v>0.46</v>
      </c>
      <c r="AM156" s="76" t="n">
        <v>0.449</v>
      </c>
      <c r="AN156" s="76" t="n">
        <v>0.436</v>
      </c>
      <c r="AO156" s="76" t="n">
        <v>0.4215</v>
      </c>
      <c r="AP156" s="76" t="n">
        <v>0.403</v>
      </c>
      <c r="AQ156" s="76" t="n">
        <v>0.379</v>
      </c>
      <c r="AR156" s="76" t="n">
        <v>0.4951585365853657</v>
      </c>
    </row>
    <row r="157">
      <c r="A157" s="76" t="inlineStr">
        <is>
          <t>IA</t>
        </is>
      </c>
      <c r="B157" s="76" t="inlineStr">
        <is>
          <t>Coal</t>
        </is>
      </c>
      <c r="C157" s="76" t="n">
        <v>0.8006666666666667</v>
      </c>
      <c r="D157" s="76" t="n">
        <v>0.8023333333333333</v>
      </c>
      <c r="E157" s="76" t="n">
        <v>0.8033333333333332</v>
      </c>
      <c r="F157" s="76" t="n">
        <v>0.8123333333333335</v>
      </c>
      <c r="G157" s="76" t="n">
        <v>0.8220000000000001</v>
      </c>
      <c r="H157" s="76" t="n">
        <v>0.8106666666666666</v>
      </c>
      <c r="I157" s="76" t="n">
        <v>0.7993333333333332</v>
      </c>
      <c r="J157" s="76" t="n">
        <v>0.8026666666666666</v>
      </c>
      <c r="K157" s="76" t="n">
        <v>0.8056666666666666</v>
      </c>
      <c r="L157" s="76" t="n">
        <v>0.8079999999999999</v>
      </c>
      <c r="M157" s="76" t="n">
        <v>0.8153333333333332</v>
      </c>
      <c r="N157" s="76" t="n">
        <v>0.8179999999999999</v>
      </c>
      <c r="O157" s="76" t="n">
        <v>0.8210000000000001</v>
      </c>
      <c r="P157" s="76" t="n">
        <v>0.8226666666666667</v>
      </c>
      <c r="Q157" s="76" t="n">
        <v>0.8253333333333334</v>
      </c>
      <c r="R157" s="76" t="n">
        <v>0.8253333333333334</v>
      </c>
      <c r="S157" s="76" t="n">
        <v>0.8253333333333334</v>
      </c>
      <c r="T157" s="76" t="n">
        <v>0.8223333333333332</v>
      </c>
      <c r="U157" s="76" t="n">
        <v>0.82</v>
      </c>
      <c r="V157" s="76" t="n">
        <v>0.7240000000000001</v>
      </c>
      <c r="W157" s="76" t="n">
        <v>0.628</v>
      </c>
      <c r="X157" s="76" t="n">
        <v>0.5830000000000001</v>
      </c>
      <c r="Y157" s="76" t="n">
        <v>0.5356666666666666</v>
      </c>
      <c r="Z157" s="76" t="n">
        <v>0.5356666666666666</v>
      </c>
      <c r="AA157" s="76" t="n">
        <v>0.5356666666666666</v>
      </c>
      <c r="AB157" s="76" t="n"/>
      <c r="AC157" s="76" t="n"/>
      <c r="AD157" s="76" t="n"/>
      <c r="AE157" s="76" t="n"/>
      <c r="AF157" s="76" t="n"/>
      <c r="AG157" s="76" t="n"/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>
        <v>0.7601733333333329</v>
      </c>
    </row>
    <row r="158">
      <c r="A158" s="76" t="inlineStr">
        <is>
          <t>IA</t>
        </is>
      </c>
      <c r="B158" s="76" t="inlineStr">
        <is>
          <t>CSP</t>
        </is>
      </c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  <c r="AA158" s="76" t="n"/>
      <c r="AB158" s="76" t="n"/>
      <c r="AC158" s="76" t="n"/>
      <c r="AD158" s="76" t="n"/>
      <c r="AE158" s="76" t="n"/>
      <c r="AF158" s="76" t="n"/>
      <c r="AG158" s="76" t="n"/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</row>
    <row r="159">
      <c r="A159" s="76" t="inlineStr">
        <is>
          <t>IA</t>
        </is>
      </c>
      <c r="B159" s="76" t="inlineStr">
        <is>
          <t>Dist PV</t>
        </is>
      </c>
      <c r="C159" s="76" t="n"/>
      <c r="D159" s="76" t="n"/>
      <c r="E159" s="76" t="n"/>
      <c r="F159" s="76" t="n">
        <v>0.165</v>
      </c>
      <c r="G159" s="76" t="n">
        <v>0.165</v>
      </c>
      <c r="H159" s="76" t="n">
        <v>0.165</v>
      </c>
      <c r="I159" s="76" t="n">
        <v>0.165</v>
      </c>
      <c r="J159" s="76" t="n">
        <v>0.165</v>
      </c>
      <c r="K159" s="76" t="n">
        <v>0.165</v>
      </c>
      <c r="L159" s="76" t="n">
        <v>0.165</v>
      </c>
      <c r="M159" s="76" t="n">
        <v>0.165</v>
      </c>
      <c r="N159" s="76" t="n">
        <v>0.165</v>
      </c>
      <c r="O159" s="76" t="n">
        <v>0.165</v>
      </c>
      <c r="P159" s="76" t="n">
        <v>0.165</v>
      </c>
      <c r="Q159" s="76" t="n">
        <v>0.165</v>
      </c>
      <c r="R159" s="76" t="n">
        <v>0.165</v>
      </c>
      <c r="S159" s="76" t="n">
        <v>0.165</v>
      </c>
      <c r="T159" s="76" t="n">
        <v>0.165</v>
      </c>
      <c r="U159" s="76" t="n">
        <v>0.165</v>
      </c>
      <c r="V159" s="76" t="n">
        <v>0.165</v>
      </c>
      <c r="W159" s="76" t="n">
        <v>0.165</v>
      </c>
      <c r="X159" s="76" t="n">
        <v>0.165</v>
      </c>
      <c r="Y159" s="76" t="n">
        <v>0.165</v>
      </c>
      <c r="Z159" s="76" t="n">
        <v>0.165</v>
      </c>
      <c r="AA159" s="76" t="n">
        <v>0.165</v>
      </c>
      <c r="AB159" s="76" t="n">
        <v>0.165</v>
      </c>
      <c r="AC159" s="76" t="n">
        <v>0.165</v>
      </c>
      <c r="AD159" s="76" t="n">
        <v>0.165</v>
      </c>
      <c r="AE159" s="76" t="n">
        <v>0.165</v>
      </c>
      <c r="AF159" s="76" t="n">
        <v>0.165</v>
      </c>
      <c r="AG159" s="76" t="n">
        <v>0.165</v>
      </c>
      <c r="AH159" s="76" t="n">
        <v>0.165</v>
      </c>
      <c r="AI159" s="76" t="n">
        <v>0.165</v>
      </c>
      <c r="AJ159" s="76" t="n">
        <v>0.165</v>
      </c>
      <c r="AK159" s="76" t="n">
        <v>0.165</v>
      </c>
      <c r="AL159" s="76" t="n">
        <v>0.165</v>
      </c>
      <c r="AM159" s="76" t="n">
        <v>0.165</v>
      </c>
      <c r="AN159" s="76" t="n">
        <v>0.165</v>
      </c>
      <c r="AO159" s="76" t="n">
        <v>0.165</v>
      </c>
      <c r="AP159" s="76" t="n">
        <v>0.165</v>
      </c>
      <c r="AQ159" s="76" t="n">
        <v>0.165</v>
      </c>
      <c r="AR159" s="76" t="n">
        <v>0.1650000000000001</v>
      </c>
    </row>
    <row r="160">
      <c r="A160" s="76" t="inlineStr">
        <is>
          <t>IA</t>
        </is>
      </c>
      <c r="B160" s="76" t="inlineStr">
        <is>
          <t>Gas CCGT</t>
        </is>
      </c>
      <c r="C160" s="76" t="n">
        <v>0.022</v>
      </c>
      <c r="D160" s="76" t="n">
        <v>0.0765</v>
      </c>
      <c r="E160" s="76" t="n">
        <v>0.131</v>
      </c>
      <c r="F160" s="76" t="n">
        <v>0.1105</v>
      </c>
      <c r="G160" s="76" t="n">
        <v>0.0895</v>
      </c>
      <c r="H160" s="76" t="n">
        <v>0.4135</v>
      </c>
      <c r="I160" s="76" t="n">
        <v>0.737</v>
      </c>
      <c r="J160" s="76" t="n">
        <v>0.6335</v>
      </c>
      <c r="K160" s="76" t="n">
        <v>0.5529999999999999</v>
      </c>
      <c r="L160" s="76" t="n">
        <v>0.6535</v>
      </c>
      <c r="M160" s="76" t="n">
        <v>0.754</v>
      </c>
      <c r="N160" s="76" t="n">
        <v>0.6759999999999999</v>
      </c>
      <c r="O160" s="76" t="n">
        <v>0.598</v>
      </c>
      <c r="P160" s="76" t="n">
        <v>0.555</v>
      </c>
      <c r="Q160" s="76" t="n">
        <v>0.5125</v>
      </c>
      <c r="R160" s="76" t="n">
        <v>0.341</v>
      </c>
      <c r="S160" s="76" t="n">
        <v>0.169</v>
      </c>
      <c r="T160" s="76" t="n">
        <v>0.1475</v>
      </c>
      <c r="U160" s="76" t="n">
        <v>0.127</v>
      </c>
      <c r="V160" s="76" t="n">
        <v>0.111</v>
      </c>
      <c r="W160" s="76" t="n">
        <v>0.0945</v>
      </c>
      <c r="X160" s="76" t="n">
        <v>0.0955</v>
      </c>
      <c r="Y160" s="76" t="n">
        <v>0.0965</v>
      </c>
      <c r="Z160" s="76" t="n">
        <v>0.1055</v>
      </c>
      <c r="AA160" s="76" t="n">
        <v>0.1145</v>
      </c>
      <c r="AB160" s="76" t="n">
        <v>0.124</v>
      </c>
      <c r="AC160" s="76" t="n">
        <v>0.113</v>
      </c>
      <c r="AD160" s="76" t="n">
        <v>0.1015</v>
      </c>
      <c r="AE160" s="76" t="n">
        <v>0.0905</v>
      </c>
      <c r="AF160" s="76" t="n">
        <v>0.0795</v>
      </c>
      <c r="AG160" s="76" t="n">
        <v>0.068</v>
      </c>
      <c r="AH160" s="76" t="n">
        <v>0.0755</v>
      </c>
      <c r="AI160" s="76" t="n">
        <v>0.08299999999999999</v>
      </c>
      <c r="AJ160" s="76" t="n">
        <v>0.091</v>
      </c>
      <c r="AK160" s="76" t="n">
        <v>0.098</v>
      </c>
      <c r="AL160" s="76" t="n">
        <v>0.106</v>
      </c>
      <c r="AM160" s="76" t="n">
        <v>0.099</v>
      </c>
      <c r="AN160" s="76" t="n">
        <v>0.092</v>
      </c>
      <c r="AO160" s="76" t="n">
        <v>0.08550000000000001</v>
      </c>
      <c r="AP160" s="76" t="n">
        <v>0.0785</v>
      </c>
      <c r="AQ160" s="76" t="n">
        <v>0.07149999999999999</v>
      </c>
      <c r="AR160" s="76" t="n">
        <v>0.2286341463414633</v>
      </c>
    </row>
    <row r="161">
      <c r="A161" s="76" t="inlineStr">
        <is>
          <t>IA</t>
        </is>
      </c>
      <c r="B161" s="76" t="inlineStr">
        <is>
          <t>Gas CT</t>
        </is>
      </c>
      <c r="C161" s="76" t="n">
        <v>0.001666666666666667</v>
      </c>
      <c r="D161" s="76" t="n">
        <v>0.002</v>
      </c>
      <c r="E161" s="76" t="n">
        <v>0.002</v>
      </c>
      <c r="F161" s="76" t="n">
        <v>0.003666666666666667</v>
      </c>
      <c r="G161" s="76" t="n">
        <v>0.004666666666666667</v>
      </c>
      <c r="H161" s="76" t="n">
        <v>0.008333333333333333</v>
      </c>
      <c r="I161" s="76" t="n">
        <v>0.012</v>
      </c>
      <c r="J161" s="76" t="n">
        <v>0.008</v>
      </c>
      <c r="K161" s="76" t="n">
        <v>0.004666666666666667</v>
      </c>
      <c r="L161" s="76" t="n">
        <v>0.004666666666666667</v>
      </c>
      <c r="M161" s="76" t="n">
        <v>0.004666666666666667</v>
      </c>
      <c r="N161" s="76" t="n">
        <v>0.004</v>
      </c>
      <c r="O161" s="76" t="n">
        <v>0.003333333333333334</v>
      </c>
      <c r="P161" s="76" t="n">
        <v>0.003666666666666667</v>
      </c>
      <c r="Q161" s="76" t="n">
        <v>0.003666666666666667</v>
      </c>
      <c r="R161" s="76" t="n">
        <v>0.003666666666666667</v>
      </c>
      <c r="S161" s="76" t="n">
        <v>0.003666666666666667</v>
      </c>
      <c r="T161" s="76" t="n">
        <v>0.003666666666666667</v>
      </c>
      <c r="U161" s="76" t="n">
        <v>0.003666666666666667</v>
      </c>
      <c r="V161" s="76" t="n">
        <v>0.002</v>
      </c>
      <c r="W161" s="76" t="n">
        <v>0</v>
      </c>
      <c r="X161" s="76" t="n">
        <v>0</v>
      </c>
      <c r="Y161" s="76" t="n">
        <v>0</v>
      </c>
      <c r="Z161" s="76" t="n">
        <v>0</v>
      </c>
      <c r="AA161" s="76" t="n">
        <v>0</v>
      </c>
      <c r="AB161" s="76" t="n">
        <v>0</v>
      </c>
      <c r="AC161" s="76" t="n">
        <v>0</v>
      </c>
      <c r="AD161" s="76" t="n">
        <v>0</v>
      </c>
      <c r="AE161" s="76" t="n">
        <v>0</v>
      </c>
      <c r="AF161" s="76" t="n">
        <v>0</v>
      </c>
      <c r="AG161" s="76" t="n">
        <v>0</v>
      </c>
      <c r="AH161" s="76" t="n">
        <v>0</v>
      </c>
      <c r="AI161" s="76" t="n">
        <v>0</v>
      </c>
      <c r="AJ161" s="76" t="n">
        <v>0</v>
      </c>
      <c r="AK161" s="76" t="n">
        <v>0</v>
      </c>
      <c r="AL161" s="76" t="n">
        <v>0</v>
      </c>
      <c r="AM161" s="76" t="n">
        <v>0</v>
      </c>
      <c r="AN161" s="76" t="n">
        <v>0</v>
      </c>
      <c r="AO161" s="76" t="n">
        <v>0</v>
      </c>
      <c r="AP161" s="76" t="n">
        <v>0</v>
      </c>
      <c r="AQ161" s="76" t="n">
        <v>0</v>
      </c>
      <c r="AR161" s="76" t="n">
        <v>0.002138211382113822</v>
      </c>
    </row>
    <row r="162">
      <c r="A162" s="76" t="inlineStr">
        <is>
          <t>IA</t>
        </is>
      </c>
      <c r="B162" s="76" t="inlineStr">
        <is>
          <t>Geothermal</t>
        </is>
      </c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  <c r="AA162" s="76" t="n"/>
      <c r="AB162" s="76" t="n"/>
      <c r="AC162" s="76" t="n"/>
      <c r="AD162" s="76" t="n"/>
      <c r="AE162" s="76" t="n"/>
      <c r="AF162" s="76" t="n"/>
      <c r="AG162" s="76" t="n"/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</row>
    <row r="163">
      <c r="A163" s="76" t="inlineStr">
        <is>
          <t>IA</t>
        </is>
      </c>
      <c r="B163" s="76" t="inlineStr">
        <is>
          <t>Hydro</t>
        </is>
      </c>
      <c r="C163" s="76" t="n">
        <v>0.9195</v>
      </c>
      <c r="D163" s="76" t="n">
        <v>0.8985000000000001</v>
      </c>
      <c r="E163" s="76" t="n">
        <v>0.8774999999999999</v>
      </c>
      <c r="F163" s="76" t="n">
        <v>0.872</v>
      </c>
      <c r="G163" s="76" t="n">
        <v>0.866</v>
      </c>
      <c r="H163" s="76" t="n">
        <v>0.878</v>
      </c>
      <c r="I163" s="76" t="n">
        <v>0.89</v>
      </c>
      <c r="J163" s="76" t="n">
        <v>0.8905000000000001</v>
      </c>
      <c r="K163" s="76" t="n">
        <v>0.8905000000000001</v>
      </c>
      <c r="L163" s="76" t="n">
        <v>0.8905000000000001</v>
      </c>
      <c r="M163" s="76" t="n">
        <v>0.8905000000000001</v>
      </c>
      <c r="N163" s="76" t="n">
        <v>0.8905000000000001</v>
      </c>
      <c r="O163" s="76" t="n">
        <v>0.8905000000000001</v>
      </c>
      <c r="P163" s="76" t="n">
        <v>0.8905000000000001</v>
      </c>
      <c r="Q163" s="76" t="n">
        <v>0.8905000000000001</v>
      </c>
      <c r="R163" s="76" t="n">
        <v>0.8905000000000001</v>
      </c>
      <c r="S163" s="76" t="n">
        <v>0.8905000000000001</v>
      </c>
      <c r="T163" s="76" t="n">
        <v>0.8905000000000001</v>
      </c>
      <c r="U163" s="76" t="n">
        <v>0.8905000000000001</v>
      </c>
      <c r="V163" s="76" t="n">
        <v>0.8905000000000001</v>
      </c>
      <c r="W163" s="76" t="n">
        <v>0.8905000000000001</v>
      </c>
      <c r="X163" s="76" t="n">
        <v>0.8905000000000001</v>
      </c>
      <c r="Y163" s="76" t="n">
        <v>0.8905000000000001</v>
      </c>
      <c r="Z163" s="76" t="n">
        <v>0.8905000000000001</v>
      </c>
      <c r="AA163" s="76" t="n">
        <v>0.8905000000000001</v>
      </c>
      <c r="AB163" s="76" t="n">
        <v>0.8905000000000001</v>
      </c>
      <c r="AC163" s="76" t="n">
        <v>0.8905000000000001</v>
      </c>
      <c r="AD163" s="76" t="n">
        <v>0.8905000000000001</v>
      </c>
      <c r="AE163" s="76" t="n">
        <v>0.8905000000000001</v>
      </c>
      <c r="AF163" s="76" t="n">
        <v>0.8905000000000001</v>
      </c>
      <c r="AG163" s="76" t="n">
        <v>0.8905000000000001</v>
      </c>
      <c r="AH163" s="76" t="n">
        <v>0.8905000000000001</v>
      </c>
      <c r="AI163" s="76" t="n">
        <v>0.8905000000000001</v>
      </c>
      <c r="AJ163" s="76" t="n">
        <v>0.8905000000000001</v>
      </c>
      <c r="AK163" s="76" t="n">
        <v>0.8905000000000001</v>
      </c>
      <c r="AL163" s="76" t="n">
        <v>0.8905000000000001</v>
      </c>
      <c r="AM163" s="76" t="n">
        <v>0.8905000000000001</v>
      </c>
      <c r="AN163" s="76" t="n">
        <v>0.8905000000000001</v>
      </c>
      <c r="AO163" s="76" t="n">
        <v>0.8905000000000001</v>
      </c>
      <c r="AP163" s="76" t="n">
        <v>0.8905000000000001</v>
      </c>
      <c r="AQ163" s="76" t="n">
        <v>0.8905000000000001</v>
      </c>
      <c r="AR163" s="76" t="n">
        <v>0.889719512195122</v>
      </c>
    </row>
    <row r="164">
      <c r="A164" s="76" t="inlineStr">
        <is>
          <t>IA</t>
        </is>
      </c>
      <c r="B164" s="76" t="inlineStr">
        <is>
          <t>Nuclear</t>
        </is>
      </c>
      <c r="C164" s="76" t="n">
        <v>0.902</v>
      </c>
      <c r="D164" s="76" t="n">
        <v>0.902</v>
      </c>
      <c r="E164" s="76" t="n">
        <v>0.902</v>
      </c>
      <c r="F164" s="76" t="n">
        <v>0.902</v>
      </c>
      <c r="G164" s="76" t="n">
        <v>0.902</v>
      </c>
      <c r="H164" s="76" t="n">
        <v>0.902</v>
      </c>
      <c r="I164" s="76" t="n">
        <v>0.902</v>
      </c>
      <c r="J164" s="76" t="n">
        <v>0.902</v>
      </c>
      <c r="K164" s="76" t="n">
        <v>0.902</v>
      </c>
      <c r="L164" s="76" t="n">
        <v>0.902</v>
      </c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  <c r="AA164" s="76" t="n"/>
      <c r="AB164" s="76" t="n"/>
      <c r="AC164" s="76" t="n"/>
      <c r="AD164" s="76" t="n"/>
      <c r="AE164" s="76" t="n"/>
      <c r="AF164" s="76" t="n"/>
      <c r="AG164" s="76" t="n"/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>
        <v>0.9019999999999999</v>
      </c>
    </row>
    <row r="165">
      <c r="A165" s="76" t="inlineStr">
        <is>
          <t>IA</t>
        </is>
      </c>
      <c r="B165" s="76" t="inlineStr">
        <is>
          <t>Other</t>
        </is>
      </c>
      <c r="C165" s="76" t="n">
        <v>0</v>
      </c>
      <c r="D165" s="76" t="n">
        <v>0</v>
      </c>
      <c r="E165" s="76" t="n">
        <v>0</v>
      </c>
      <c r="F165" s="76" t="n">
        <v>0</v>
      </c>
      <c r="G165" s="76" t="n">
        <v>0</v>
      </c>
      <c r="H165" s="76" t="n">
        <v>0</v>
      </c>
      <c r="I165" s="76" t="n">
        <v>0</v>
      </c>
      <c r="J165" s="76" t="n">
        <v>0</v>
      </c>
      <c r="K165" s="76" t="n">
        <v>0</v>
      </c>
      <c r="L165" s="76" t="n">
        <v>0</v>
      </c>
      <c r="M165" s="76" t="n">
        <v>0</v>
      </c>
      <c r="N165" s="76" t="n">
        <v>0</v>
      </c>
      <c r="O165" s="76" t="n">
        <v>0</v>
      </c>
      <c r="P165" s="76" t="n">
        <v>0</v>
      </c>
      <c r="Q165" s="76" t="n">
        <v>0</v>
      </c>
      <c r="R165" s="76" t="n">
        <v>0</v>
      </c>
      <c r="S165" s="76" t="n">
        <v>0</v>
      </c>
      <c r="T165" s="76" t="n">
        <v>0</v>
      </c>
      <c r="U165" s="76" t="n">
        <v>0</v>
      </c>
      <c r="V165" s="76" t="n">
        <v>0</v>
      </c>
      <c r="W165" s="76" t="n">
        <v>0</v>
      </c>
      <c r="X165" s="76" t="n">
        <v>0</v>
      </c>
      <c r="Y165" s="76" t="n">
        <v>0</v>
      </c>
      <c r="Z165" s="76" t="n">
        <v>0</v>
      </c>
      <c r="AA165" s="76" t="n">
        <v>0</v>
      </c>
      <c r="AB165" s="76" t="n">
        <v>0</v>
      </c>
      <c r="AC165" s="76" t="n">
        <v>0</v>
      </c>
      <c r="AD165" s="76" t="n">
        <v>0</v>
      </c>
      <c r="AE165" s="76" t="n">
        <v>0</v>
      </c>
      <c r="AF165" s="76" t="n">
        <v>0</v>
      </c>
      <c r="AG165" s="76" t="n">
        <v>0</v>
      </c>
      <c r="AH165" s="76" t="n">
        <v>0</v>
      </c>
      <c r="AI165" s="76" t="n">
        <v>0</v>
      </c>
      <c r="AJ165" s="76" t="n">
        <v>0</v>
      </c>
      <c r="AK165" s="76" t="n">
        <v>0</v>
      </c>
      <c r="AL165" s="76" t="n">
        <v>0</v>
      </c>
      <c r="AM165" s="76" t="n">
        <v>0</v>
      </c>
      <c r="AN165" s="76" t="n">
        <v>0</v>
      </c>
      <c r="AO165" s="76" t="n">
        <v>0</v>
      </c>
      <c r="AP165" s="76" t="n">
        <v>0</v>
      </c>
      <c r="AQ165" s="76" t="n">
        <v>0</v>
      </c>
      <c r="AR165" s="76" t="n">
        <v>0</v>
      </c>
    </row>
    <row r="166">
      <c r="A166" s="76" t="inlineStr">
        <is>
          <t>IA</t>
        </is>
      </c>
      <c r="B166" s="76" t="inlineStr">
        <is>
          <t>Utility PV</t>
        </is>
      </c>
      <c r="C166" s="76" t="n"/>
      <c r="D166" s="76" t="n"/>
      <c r="E166" s="76" t="n"/>
      <c r="F166" s="76" t="n"/>
      <c r="G166" s="76" t="n"/>
      <c r="H166" s="76" t="n">
        <v>0.2395</v>
      </c>
      <c r="I166" s="76" t="n">
        <v>0.2395</v>
      </c>
      <c r="J166" s="76" t="n">
        <v>0.2395</v>
      </c>
      <c r="K166" s="76" t="n">
        <v>0.239</v>
      </c>
      <c r="L166" s="76" t="n">
        <v>0.2375</v>
      </c>
      <c r="M166" s="76" t="n">
        <v>0.2365</v>
      </c>
      <c r="N166" s="76" t="n">
        <v>0.2355</v>
      </c>
      <c r="O166" s="76" t="n">
        <v>0.2345</v>
      </c>
      <c r="P166" s="76" t="n">
        <v>0.2343333333333333</v>
      </c>
      <c r="Q166" s="76" t="n">
        <v>0.2343333333333333</v>
      </c>
      <c r="R166" s="76" t="n">
        <v>0.233</v>
      </c>
      <c r="S166" s="76" t="n">
        <v>0.2316666666666667</v>
      </c>
      <c r="T166" s="76" t="n">
        <v>0.2306666666666667</v>
      </c>
      <c r="U166" s="76" t="n">
        <v>0.2293333333333334</v>
      </c>
      <c r="V166" s="76" t="n">
        <v>0.2283333333333334</v>
      </c>
      <c r="W166" s="76" t="n">
        <v>0.2273333333333334</v>
      </c>
      <c r="X166" s="76" t="n">
        <v>0.226</v>
      </c>
      <c r="Y166" s="76" t="n">
        <v>0.225</v>
      </c>
      <c r="Z166" s="76" t="n">
        <v>0.224</v>
      </c>
      <c r="AA166" s="76" t="n">
        <v>0.2226666666666667</v>
      </c>
      <c r="AB166" s="76" t="n">
        <v>0.2216666666666667</v>
      </c>
      <c r="AC166" s="76" t="n">
        <v>0.2206666666666667</v>
      </c>
      <c r="AD166" s="76" t="n">
        <v>0.2193333333333334</v>
      </c>
      <c r="AE166" s="76" t="n">
        <v>0.2183333333333334</v>
      </c>
      <c r="AF166" s="76" t="n">
        <v>0.217</v>
      </c>
      <c r="AG166" s="76" t="n">
        <v>0.216</v>
      </c>
      <c r="AH166" s="76" t="n">
        <v>0.215</v>
      </c>
      <c r="AI166" s="76" t="n">
        <v>0.214</v>
      </c>
      <c r="AJ166" s="76" t="n">
        <v>0.213</v>
      </c>
      <c r="AK166" s="76" t="n">
        <v>0.212</v>
      </c>
      <c r="AL166" s="76" t="n">
        <v>0.211</v>
      </c>
      <c r="AM166" s="76" t="n">
        <v>0.21</v>
      </c>
      <c r="AN166" s="76" t="n">
        <v>0.209</v>
      </c>
      <c r="AO166" s="76" t="n">
        <v>0.2076666666666667</v>
      </c>
      <c r="AP166" s="76" t="n">
        <v>0.2066666666666667</v>
      </c>
      <c r="AQ166" s="76" t="n">
        <v>0.2056666666666667</v>
      </c>
      <c r="AR166" s="76" t="n">
        <v>0.2229399999999999</v>
      </c>
    </row>
    <row r="167">
      <c r="A167" s="76" t="inlineStr">
        <is>
          <t>IA</t>
        </is>
      </c>
      <c r="B167" s="76" t="inlineStr">
        <is>
          <t>Wind offshore</t>
        </is>
      </c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  <c r="AA167" s="76" t="n"/>
      <c r="AB167" s="76" t="n"/>
      <c r="AC167" s="76" t="n"/>
      <c r="AD167" s="76" t="n"/>
      <c r="AE167" s="76" t="n"/>
      <c r="AF167" s="76" t="n"/>
      <c r="AG167" s="76" t="n"/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</row>
    <row r="168">
      <c r="A168" s="76" t="inlineStr">
        <is>
          <t>IA</t>
        </is>
      </c>
      <c r="B168" s="76" t="inlineStr">
        <is>
          <t>Wind onshore</t>
        </is>
      </c>
      <c r="C168" s="76" t="n">
        <v>0.3013333333333333</v>
      </c>
      <c r="D168" s="76" t="n">
        <v>0.3196666666666667</v>
      </c>
      <c r="E168" s="76" t="n">
        <v>0.327</v>
      </c>
      <c r="F168" s="76" t="n">
        <v>0.3313333333333333</v>
      </c>
      <c r="G168" s="76" t="n">
        <v>0.3353333333333333</v>
      </c>
      <c r="H168" s="76" t="n">
        <v>0.3393333333333333</v>
      </c>
      <c r="I168" s="76" t="n">
        <v>0.342</v>
      </c>
      <c r="J168" s="76" t="n">
        <v>0.3453333333333333</v>
      </c>
      <c r="K168" s="76" t="n">
        <v>0.3476666666666667</v>
      </c>
      <c r="L168" s="76" t="n">
        <v>0.3603333333333333</v>
      </c>
      <c r="M168" s="76" t="n">
        <v>0.3696666666666666</v>
      </c>
      <c r="N168" s="76" t="n">
        <v>0.3760000000000001</v>
      </c>
      <c r="O168" s="76" t="n">
        <v>0.3806666666666667</v>
      </c>
      <c r="P168" s="76" t="n">
        <v>0.3813333333333334</v>
      </c>
      <c r="Q168" s="76" t="n">
        <v>0.382</v>
      </c>
      <c r="R168" s="76" t="n">
        <v>0.3916666666666667</v>
      </c>
      <c r="S168" s="76" t="n">
        <v>0.398</v>
      </c>
      <c r="T168" s="76" t="n">
        <v>0.396</v>
      </c>
      <c r="U168" s="76" t="n">
        <v>0.3936666666666667</v>
      </c>
      <c r="V168" s="76" t="n">
        <v>0.3953333333333333</v>
      </c>
      <c r="W168" s="76" t="n">
        <v>0.3966666666666667</v>
      </c>
      <c r="X168" s="76" t="n">
        <v>0.3953333333333333</v>
      </c>
      <c r="Y168" s="76" t="n">
        <v>0.3936666666666667</v>
      </c>
      <c r="Z168" s="76" t="n">
        <v>0.387</v>
      </c>
      <c r="AA168" s="76" t="n">
        <v>0.381</v>
      </c>
      <c r="AB168" s="76" t="n">
        <v>0.3746666666666667</v>
      </c>
      <c r="AC168" s="76" t="n">
        <v>0.3779999999999999</v>
      </c>
      <c r="AD168" s="76" t="n">
        <v>0.3816666666666667</v>
      </c>
      <c r="AE168" s="76" t="n">
        <v>0.3856666666666667</v>
      </c>
      <c r="AF168" s="76" t="n">
        <v>0.3903333333333334</v>
      </c>
      <c r="AG168" s="76" t="n">
        <v>0.3956666666666667</v>
      </c>
      <c r="AH168" s="76" t="n">
        <v>0.396</v>
      </c>
      <c r="AI168" s="76" t="n">
        <v>0.397</v>
      </c>
      <c r="AJ168" s="76" t="n">
        <v>0.397</v>
      </c>
      <c r="AK168" s="76" t="n">
        <v>0.3973333333333333</v>
      </c>
      <c r="AL168" s="76" t="n">
        <v>0.3973333333333333</v>
      </c>
      <c r="AM168" s="76" t="n">
        <v>0.427</v>
      </c>
      <c r="AN168" s="76" t="n">
        <v>0.445</v>
      </c>
      <c r="AO168" s="76" t="n">
        <v>0.458</v>
      </c>
      <c r="AP168" s="76" t="n">
        <v>0.4686666666666666</v>
      </c>
      <c r="AQ168" s="76" t="n">
        <v>0.4776666666666667</v>
      </c>
      <c r="AR168" s="76" t="n">
        <v>0.3837642276422763</v>
      </c>
    </row>
    <row r="169">
      <c r="A169" s="76" t="inlineStr">
        <is>
          <t>ID</t>
        </is>
      </c>
      <c r="B169" s="76" t="inlineStr">
        <is>
          <t>ID</t>
        </is>
      </c>
      <c r="C169" s="76" t="n">
        <v>0.2226923076923077</v>
      </c>
      <c r="D169" s="76" t="n">
        <v>0.269</v>
      </c>
      <c r="E169" s="76" t="n">
        <v>0.2765</v>
      </c>
      <c r="F169" s="76" t="n">
        <v>0.2803529411764705</v>
      </c>
      <c r="G169" s="76" t="n">
        <v>0.2997058823529412</v>
      </c>
      <c r="H169" s="76" t="n">
        <v>0.2731111111111111</v>
      </c>
      <c r="I169" s="76" t="n">
        <v>0.2501111111111111</v>
      </c>
      <c r="J169" s="76" t="n">
        <v>0.2495263157894737</v>
      </c>
      <c r="K169" s="76" t="n">
        <v>0.2627222222222222</v>
      </c>
      <c r="L169" s="76" t="n">
        <v>0.2322</v>
      </c>
      <c r="M169" s="76" t="n">
        <v>0.23255</v>
      </c>
      <c r="N169" s="76" t="n">
        <v>0.221</v>
      </c>
      <c r="O169" s="76" t="n">
        <v>0.2186666666666667</v>
      </c>
      <c r="P169" s="76" t="n">
        <v>0.2173333333333334</v>
      </c>
      <c r="Q169" s="76" t="n">
        <v>0.216</v>
      </c>
      <c r="R169" s="76" t="n">
        <v>0.2171428571428572</v>
      </c>
      <c r="S169" s="76" t="n">
        <v>0.2182380952380953</v>
      </c>
      <c r="T169" s="76" t="n">
        <v>0.2203636363636363</v>
      </c>
      <c r="U169" s="76" t="n">
        <v>0.2157727272727273</v>
      </c>
      <c r="V169" s="76" t="n">
        <v>0.2139090909090909</v>
      </c>
      <c r="W169" s="76" t="n">
        <v>0.2119090909090909</v>
      </c>
      <c r="X169" s="76" t="n">
        <v>0.2209565217391305</v>
      </c>
      <c r="Y169" s="76" t="n">
        <v>0.2318695652173913</v>
      </c>
      <c r="Z169" s="76" t="n">
        <v>0.2404347826086956</v>
      </c>
      <c r="AA169" s="76" t="n">
        <v>0.2496956521739131</v>
      </c>
      <c r="AB169" s="76" t="n">
        <v>0.2609130434782608</v>
      </c>
      <c r="AC169" s="76" t="n">
        <v>0.2577391304347826</v>
      </c>
      <c r="AD169" s="76" t="n">
        <v>0.2546086956521739</v>
      </c>
      <c r="AE169" s="76" t="n">
        <v>0.2515217391304348</v>
      </c>
      <c r="AF169" s="76" t="n">
        <v>0.2484782608695653</v>
      </c>
      <c r="AG169" s="76" t="n">
        <v>0.2566363636363637</v>
      </c>
      <c r="AH169" s="76" t="n">
        <v>0.2433478260869565</v>
      </c>
      <c r="AI169" s="76" t="n">
        <v>0.2415652173913043</v>
      </c>
      <c r="AJ169" s="76" t="n">
        <v>0.2396086956521739</v>
      </c>
      <c r="AK169" s="76" t="n">
        <v>0.2376086956521739</v>
      </c>
      <c r="AL169" s="76" t="n">
        <v>0.2465</v>
      </c>
      <c r="AM169" s="76" t="n">
        <v>0.2363181818181818</v>
      </c>
      <c r="AN169" s="76" t="n">
        <v>0.2260909090909091</v>
      </c>
      <c r="AO169" s="76" t="n">
        <v>0.2158636363636364</v>
      </c>
      <c r="AP169" s="76" t="n">
        <v>0.2055454545454546</v>
      </c>
      <c r="AQ169" s="76" t="n">
        <v>0.1951818181818182</v>
      </c>
      <c r="AR169" s="76" t="n">
        <v>0.2373380116959065</v>
      </c>
    </row>
    <row r="170">
      <c r="A170" s="76" t="inlineStr">
        <is>
          <t>ID</t>
        </is>
      </c>
      <c r="B170" s="76" t="inlineStr">
        <is>
          <t>Battery</t>
        </is>
      </c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>
        <v>-0.046</v>
      </c>
      <c r="M170" s="76" t="n">
        <v>-0.046</v>
      </c>
      <c r="N170" s="76" t="n">
        <v>-0.016</v>
      </c>
      <c r="O170" s="76" t="n">
        <v>-0.014</v>
      </c>
      <c r="P170" s="76" t="n">
        <v>-0.01166666666666667</v>
      </c>
      <c r="Q170" s="76" t="n">
        <v>-0.009333333333333332</v>
      </c>
      <c r="R170" s="76" t="n">
        <v>-0.009333333333333332</v>
      </c>
      <c r="S170" s="76" t="n">
        <v>-0.009666666666666665</v>
      </c>
      <c r="T170" s="76" t="n">
        <v>-0.01466666666666667</v>
      </c>
      <c r="U170" s="76" t="n">
        <v>-0.01866666666666666</v>
      </c>
      <c r="V170" s="76" t="n">
        <v>-0.02366666666666667</v>
      </c>
      <c r="W170" s="76" t="n">
        <v>-0.02833333333333333</v>
      </c>
      <c r="X170" s="76" t="n">
        <v>-0.029</v>
      </c>
      <c r="Y170" s="76" t="n">
        <v>-0.03</v>
      </c>
      <c r="Z170" s="76" t="n">
        <v>-0.02833333333333333</v>
      </c>
      <c r="AA170" s="76" t="n">
        <v>-0.02833333333333333</v>
      </c>
      <c r="AB170" s="76" t="n">
        <v>-0.02833333333333333</v>
      </c>
      <c r="AC170" s="76" t="n">
        <v>-0.02766666666666667</v>
      </c>
      <c r="AD170" s="76" t="n">
        <v>-0.02666666666666667</v>
      </c>
      <c r="AE170" s="76" t="n">
        <v>-0.02533333333333333</v>
      </c>
      <c r="AF170" s="76" t="n">
        <v>-0.02433333333333333</v>
      </c>
      <c r="AG170" s="76" t="n">
        <v>-0.0345</v>
      </c>
      <c r="AH170" s="76" t="n">
        <v>-0.02466666666666667</v>
      </c>
      <c r="AI170" s="76" t="n">
        <v>-0.024</v>
      </c>
      <c r="AJ170" s="76" t="n">
        <v>-0.02366666666666667</v>
      </c>
      <c r="AK170" s="76" t="n">
        <v>-0.02333333333333333</v>
      </c>
      <c r="AL170" s="76" t="n">
        <v>-0.02266666666666667</v>
      </c>
      <c r="AM170" s="76" t="n">
        <v>-0.02033333333333333</v>
      </c>
      <c r="AN170" s="76" t="n">
        <v>-0.01833333333333333</v>
      </c>
      <c r="AO170" s="76" t="n">
        <v>-0.01633333333333333</v>
      </c>
      <c r="AP170" s="76" t="n">
        <v>-0.015</v>
      </c>
      <c r="AQ170" s="76" t="n">
        <v>-0.014</v>
      </c>
      <c r="AR170" s="76" t="n">
        <v>-0.02225806451612902</v>
      </c>
    </row>
    <row r="171">
      <c r="A171" s="76" t="inlineStr">
        <is>
          <t>ID</t>
        </is>
      </c>
      <c r="B171" s="76" t="inlineStr">
        <is>
          <t>Biopower</t>
        </is>
      </c>
      <c r="C171" s="76" t="n">
        <v>0.08699999999999999</v>
      </c>
      <c r="D171" s="76" t="n">
        <v>0.06633333333333334</v>
      </c>
      <c r="E171" s="76" t="n">
        <v>0.063</v>
      </c>
      <c r="F171" s="76" t="n">
        <v>0.1973333333333333</v>
      </c>
      <c r="G171" s="76" t="n">
        <v>0.324</v>
      </c>
      <c r="H171" s="76" t="n">
        <v>0.191</v>
      </c>
      <c r="I171" s="76" t="n">
        <v>0.05766666666666666</v>
      </c>
      <c r="J171" s="76" t="n">
        <v>0.05766666666666666</v>
      </c>
      <c r="K171" s="76" t="n">
        <v>0.05766666666666666</v>
      </c>
      <c r="L171" s="76" t="n">
        <v>0.05766666666666666</v>
      </c>
      <c r="M171" s="76" t="n">
        <v>0.05766666666666666</v>
      </c>
      <c r="N171" s="76" t="n">
        <v>0.05766666666666666</v>
      </c>
      <c r="O171" s="76" t="n">
        <v>0.05766666666666666</v>
      </c>
      <c r="P171" s="76" t="n">
        <v>0.05766666666666666</v>
      </c>
      <c r="Q171" s="76" t="n">
        <v>0.05766666666666666</v>
      </c>
      <c r="R171" s="76" t="n">
        <v>0.05766666666666666</v>
      </c>
      <c r="S171" s="76" t="n">
        <v>0.05766666666666666</v>
      </c>
      <c r="T171" s="76" t="n">
        <v>0.067</v>
      </c>
      <c r="U171" s="76" t="n">
        <v>0.07666666666666667</v>
      </c>
      <c r="V171" s="76" t="n">
        <v>0.081</v>
      </c>
      <c r="W171" s="76" t="n">
        <v>0.08533333333333333</v>
      </c>
      <c r="X171" s="76" t="n">
        <v>0.156</v>
      </c>
      <c r="Y171" s="76" t="n">
        <v>0.242</v>
      </c>
      <c r="Z171" s="76" t="n">
        <v>0.3346666666666667</v>
      </c>
      <c r="AA171" s="76" t="n">
        <v>0.4353333333333333</v>
      </c>
      <c r="AB171" s="76" t="n">
        <v>0.5493333333333333</v>
      </c>
      <c r="AC171" s="76" t="n">
        <v>0.5459999999999999</v>
      </c>
      <c r="AD171" s="76" t="n">
        <v>0.5423333333333333</v>
      </c>
      <c r="AE171" s="76" t="n">
        <v>0.539</v>
      </c>
      <c r="AF171" s="76" t="n">
        <v>0.5353333333333333</v>
      </c>
      <c r="AG171" s="76" t="n">
        <v>0.532</v>
      </c>
      <c r="AH171" s="76" t="n">
        <v>0.5046666666666667</v>
      </c>
      <c r="AI171" s="76" t="n">
        <v>0.4773333333333333</v>
      </c>
      <c r="AJ171" s="76" t="n">
        <v>0.45</v>
      </c>
      <c r="AK171" s="76" t="n">
        <v>0.4226666666666667</v>
      </c>
      <c r="AL171" s="76" t="n">
        <v>0.3956666666666667</v>
      </c>
      <c r="AM171" s="76" t="n">
        <v>0.329</v>
      </c>
      <c r="AN171" s="76" t="n">
        <v>0.2626666666666667</v>
      </c>
      <c r="AO171" s="76" t="n">
        <v>0.1963333333333333</v>
      </c>
      <c r="AP171" s="76" t="n">
        <v>0.1296666666666667</v>
      </c>
      <c r="AQ171" s="76" t="n">
        <v>0.06333333333333334</v>
      </c>
      <c r="AR171" s="76" t="n">
        <v>0.2332950819672131</v>
      </c>
    </row>
    <row r="172">
      <c r="A172" s="76" t="inlineStr">
        <is>
          <t>ID</t>
        </is>
      </c>
      <c r="B172" s="76" t="inlineStr">
        <is>
          <t>Coal</t>
        </is>
      </c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76" t="n"/>
      <c r="AC172" s="76" t="n"/>
      <c r="AD172" s="76" t="n"/>
      <c r="AE172" s="76" t="n"/>
      <c r="AF172" s="76" t="n"/>
      <c r="AG172" s="76" t="n"/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</row>
    <row r="173">
      <c r="A173" s="76" t="inlineStr">
        <is>
          <t>ID</t>
        </is>
      </c>
      <c r="B173" s="76" t="inlineStr">
        <is>
          <t>CSP</t>
        </is>
      </c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6" t="n"/>
      <c r="AC173" s="76" t="n"/>
      <c r="AD173" s="76" t="n"/>
      <c r="AE173" s="76" t="n"/>
      <c r="AF173" s="76" t="n"/>
      <c r="AG173" s="76" t="n"/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</row>
    <row r="174">
      <c r="A174" s="76" t="inlineStr">
        <is>
          <t>ID</t>
        </is>
      </c>
      <c r="B174" s="76" t="inlineStr">
        <is>
          <t>Dist PV</t>
        </is>
      </c>
      <c r="C174" s="76" t="n"/>
      <c r="D174" s="76" t="n"/>
      <c r="E174" s="76" t="n"/>
      <c r="F174" s="76" t="n">
        <v>0.182</v>
      </c>
      <c r="G174" s="76" t="n">
        <v>0.182</v>
      </c>
      <c r="H174" s="76" t="n">
        <v>0.182</v>
      </c>
      <c r="I174" s="76" t="n">
        <v>0.182</v>
      </c>
      <c r="J174" s="76" t="n">
        <v>0.182</v>
      </c>
      <c r="K174" s="76" t="n">
        <v>0.182</v>
      </c>
      <c r="L174" s="76" t="n">
        <v>0.182</v>
      </c>
      <c r="M174" s="76" t="n">
        <v>0.182</v>
      </c>
      <c r="N174" s="76" t="n">
        <v>0.182</v>
      </c>
      <c r="O174" s="76" t="n">
        <v>0.182</v>
      </c>
      <c r="P174" s="76" t="n">
        <v>0.182</v>
      </c>
      <c r="Q174" s="76" t="n">
        <v>0.182</v>
      </c>
      <c r="R174" s="76" t="n">
        <v>0.182</v>
      </c>
      <c r="S174" s="76" t="n">
        <v>0.182</v>
      </c>
      <c r="T174" s="76" t="n">
        <v>0.182</v>
      </c>
      <c r="U174" s="76" t="n">
        <v>0.182</v>
      </c>
      <c r="V174" s="76" t="n">
        <v>0.182</v>
      </c>
      <c r="W174" s="76" t="n">
        <v>0.182</v>
      </c>
      <c r="X174" s="76" t="n">
        <v>0.182</v>
      </c>
      <c r="Y174" s="76" t="n">
        <v>0.182</v>
      </c>
      <c r="Z174" s="76" t="n">
        <v>0.182</v>
      </c>
      <c r="AA174" s="76" t="n">
        <v>0.182</v>
      </c>
      <c r="AB174" s="76" t="n">
        <v>0.182</v>
      </c>
      <c r="AC174" s="76" t="n">
        <v>0.1803333333333333</v>
      </c>
      <c r="AD174" s="76" t="n">
        <v>0.179</v>
      </c>
      <c r="AE174" s="76" t="n">
        <v>0.1776666666666666</v>
      </c>
      <c r="AF174" s="76" t="n">
        <v>0.1763333333333333</v>
      </c>
      <c r="AG174" s="76" t="n">
        <v>0.175</v>
      </c>
      <c r="AH174" s="76" t="n">
        <v>0.1766666666666667</v>
      </c>
      <c r="AI174" s="76" t="n">
        <v>0.178</v>
      </c>
      <c r="AJ174" s="76" t="n">
        <v>0.1793333333333333</v>
      </c>
      <c r="AK174" s="76" t="n">
        <v>0.1806666666666667</v>
      </c>
      <c r="AL174" s="76" t="n">
        <v>0.182</v>
      </c>
      <c r="AM174" s="76" t="n">
        <v>0.182</v>
      </c>
      <c r="AN174" s="76" t="n">
        <v>0.182</v>
      </c>
      <c r="AO174" s="76" t="n">
        <v>0.182</v>
      </c>
      <c r="AP174" s="76" t="n">
        <v>0.182</v>
      </c>
      <c r="AQ174" s="76" t="n">
        <v>0.182</v>
      </c>
      <c r="AR174" s="76" t="n">
        <v>0.1810789473684211</v>
      </c>
    </row>
    <row r="175">
      <c r="A175" s="76" t="inlineStr">
        <is>
          <t>ID</t>
        </is>
      </c>
      <c r="B175" s="76" t="inlineStr">
        <is>
          <t>Gas CCGT</t>
        </is>
      </c>
      <c r="C175" s="76" t="n">
        <v>0.094</v>
      </c>
      <c r="D175" s="76" t="n">
        <v>0.4535</v>
      </c>
      <c r="E175" s="76" t="n">
        <v>0.4425</v>
      </c>
      <c r="F175" s="76" t="n">
        <v>0.5075</v>
      </c>
      <c r="G175" s="76" t="n">
        <v>0.5725</v>
      </c>
      <c r="H175" s="76" t="n">
        <v>0.5395</v>
      </c>
      <c r="I175" s="76" t="n">
        <v>0.508</v>
      </c>
      <c r="J175" s="76" t="n">
        <v>0.501</v>
      </c>
      <c r="K175" s="76" t="n">
        <v>0.494</v>
      </c>
      <c r="L175" s="76" t="n">
        <v>0.4995</v>
      </c>
      <c r="M175" s="76" t="n">
        <v>0.505</v>
      </c>
      <c r="N175" s="76" t="n">
        <v>0.477</v>
      </c>
      <c r="O175" s="76" t="n">
        <v>0.448</v>
      </c>
      <c r="P175" s="76" t="n">
        <v>0.432</v>
      </c>
      <c r="Q175" s="76" t="n">
        <v>0.4155</v>
      </c>
      <c r="R175" s="76" t="n">
        <v>0.4275</v>
      </c>
      <c r="S175" s="76" t="n">
        <v>0.44</v>
      </c>
      <c r="T175" s="76" t="n">
        <v>0.381</v>
      </c>
      <c r="U175" s="76" t="n">
        <v>0.322</v>
      </c>
      <c r="V175" s="76" t="n">
        <v>0.3045</v>
      </c>
      <c r="W175" s="76" t="n">
        <v>0.2865</v>
      </c>
      <c r="X175" s="76" t="n">
        <v>0.2855</v>
      </c>
      <c r="Y175" s="76" t="n">
        <v>0.2845</v>
      </c>
      <c r="Z175" s="76" t="n">
        <v>0.2495</v>
      </c>
      <c r="AA175" s="76" t="n">
        <v>0.2145</v>
      </c>
      <c r="AB175" s="76" t="n">
        <v>0.18</v>
      </c>
      <c r="AC175" s="76" t="n">
        <v>0.1495</v>
      </c>
      <c r="AD175" s="76" t="n">
        <v>0.1185</v>
      </c>
      <c r="AE175" s="76" t="n">
        <v>0.08799999999999999</v>
      </c>
      <c r="AF175" s="76" t="n">
        <v>0.0575</v>
      </c>
      <c r="AG175" s="76" t="n">
        <v>0.027</v>
      </c>
      <c r="AH175" s="76" t="n">
        <v>0.034</v>
      </c>
      <c r="AI175" s="76" t="n">
        <v>0.041</v>
      </c>
      <c r="AJ175" s="76" t="n">
        <v>0.0475</v>
      </c>
      <c r="AK175" s="76" t="n">
        <v>0.0545</v>
      </c>
      <c r="AL175" s="76" t="n">
        <v>0.0615</v>
      </c>
      <c r="AM175" s="76" t="n">
        <v>0.06</v>
      </c>
      <c r="AN175" s="76" t="n">
        <v>0.0585</v>
      </c>
      <c r="AO175" s="76" t="n">
        <v>0.0565</v>
      </c>
      <c r="AP175" s="76" t="n">
        <v>0.055</v>
      </c>
      <c r="AQ175" s="76" t="n">
        <v>0.0535</v>
      </c>
      <c r="AR175" s="76" t="n">
        <v>0.2738414634146341</v>
      </c>
    </row>
    <row r="176">
      <c r="A176" s="76" t="inlineStr">
        <is>
          <t>ID</t>
        </is>
      </c>
      <c r="B176" s="76" t="inlineStr">
        <is>
          <t>Gas CT</t>
        </is>
      </c>
      <c r="C176" s="76" t="n">
        <v>0</v>
      </c>
      <c r="D176" s="76" t="n">
        <v>0</v>
      </c>
      <c r="E176" s="76" t="n">
        <v>0</v>
      </c>
      <c r="F176" s="76" t="n">
        <v>0</v>
      </c>
      <c r="G176" s="76" t="n">
        <v>0</v>
      </c>
      <c r="H176" s="76" t="n">
        <v>0</v>
      </c>
      <c r="I176" s="76" t="n">
        <v>0</v>
      </c>
      <c r="J176" s="76" t="n">
        <v>0</v>
      </c>
      <c r="K176" s="76" t="n">
        <v>0</v>
      </c>
      <c r="L176" s="76" t="n">
        <v>0</v>
      </c>
      <c r="M176" s="76" t="n">
        <v>0.0005</v>
      </c>
      <c r="N176" s="76" t="n">
        <v>0</v>
      </c>
      <c r="O176" s="76" t="n">
        <v>0</v>
      </c>
      <c r="P176" s="76" t="n">
        <v>0</v>
      </c>
      <c r="Q176" s="76" t="n">
        <v>0</v>
      </c>
      <c r="R176" s="76" t="n">
        <v>0</v>
      </c>
      <c r="S176" s="76" t="n">
        <v>0</v>
      </c>
      <c r="T176" s="76" t="n">
        <v>0</v>
      </c>
      <c r="U176" s="76" t="n">
        <v>0</v>
      </c>
      <c r="V176" s="76" t="n">
        <v>0</v>
      </c>
      <c r="W176" s="76" t="n">
        <v>0</v>
      </c>
      <c r="X176" s="76" t="n">
        <v>0</v>
      </c>
      <c r="Y176" s="76" t="n">
        <v>0</v>
      </c>
      <c r="Z176" s="76" t="n">
        <v>0</v>
      </c>
      <c r="AA176" s="76" t="n">
        <v>0</v>
      </c>
      <c r="AB176" s="76" t="n">
        <v>0</v>
      </c>
      <c r="AC176" s="76" t="n">
        <v>0</v>
      </c>
      <c r="AD176" s="76" t="n">
        <v>0</v>
      </c>
      <c r="AE176" s="76" t="n">
        <v>0</v>
      </c>
      <c r="AF176" s="76" t="n">
        <v>0</v>
      </c>
      <c r="AG176" s="76" t="n">
        <v>0</v>
      </c>
      <c r="AH176" s="76" t="n">
        <v>0</v>
      </c>
      <c r="AI176" s="76" t="n">
        <v>0</v>
      </c>
      <c r="AJ176" s="76" t="n">
        <v>0</v>
      </c>
      <c r="AK176" s="76" t="n">
        <v>0</v>
      </c>
      <c r="AL176" s="76" t="n">
        <v>0</v>
      </c>
      <c r="AM176" s="76" t="n">
        <v>0</v>
      </c>
      <c r="AN176" s="76" t="n">
        <v>0</v>
      </c>
      <c r="AO176" s="76" t="n">
        <v>0</v>
      </c>
      <c r="AP176" s="76" t="n">
        <v>0</v>
      </c>
      <c r="AQ176" s="76" t="n">
        <v>0</v>
      </c>
      <c r="AR176" s="76" t="n">
        <v>1.315789473684211e-05</v>
      </c>
    </row>
    <row r="177">
      <c r="A177" s="76" t="inlineStr">
        <is>
          <t>ID</t>
        </is>
      </c>
      <c r="B177" s="76" t="inlineStr">
        <is>
          <t>Geothermal</t>
        </is>
      </c>
      <c r="C177" s="76" t="n">
        <v>0.75</v>
      </c>
      <c r="D177" s="76" t="n">
        <v>0.75</v>
      </c>
      <c r="E177" s="76" t="n">
        <v>0.75</v>
      </c>
      <c r="F177" s="76" t="n">
        <v>0.75</v>
      </c>
      <c r="G177" s="76" t="n">
        <v>0.75</v>
      </c>
      <c r="H177" s="76" t="n">
        <v>0.75</v>
      </c>
      <c r="I177" s="76" t="n">
        <v>0.75</v>
      </c>
      <c r="J177" s="76" t="n">
        <v>0.75</v>
      </c>
      <c r="K177" s="76" t="n">
        <v>0.75</v>
      </c>
      <c r="L177" s="76" t="n">
        <v>0.75</v>
      </c>
      <c r="M177" s="76" t="n">
        <v>0.75</v>
      </c>
      <c r="N177" s="76" t="n">
        <v>0.75</v>
      </c>
      <c r="O177" s="76" t="n">
        <v>0.75</v>
      </c>
      <c r="P177" s="76" t="n">
        <v>0.75</v>
      </c>
      <c r="Q177" s="76" t="n">
        <v>0.75</v>
      </c>
      <c r="R177" s="76" t="n">
        <v>0.75</v>
      </c>
      <c r="S177" s="76" t="n">
        <v>0.75</v>
      </c>
      <c r="T177" s="76" t="n">
        <v>0.75</v>
      </c>
      <c r="U177" s="76" t="n">
        <v>0.75</v>
      </c>
      <c r="V177" s="76" t="n">
        <v>0.75</v>
      </c>
      <c r="W177" s="76" t="n">
        <v>0.75</v>
      </c>
      <c r="X177" s="76" t="n">
        <v>0.75</v>
      </c>
      <c r="Y177" s="76" t="n">
        <v>0.75</v>
      </c>
      <c r="Z177" s="76" t="n">
        <v>0.75</v>
      </c>
      <c r="AA177" s="76" t="n">
        <v>0.75</v>
      </c>
      <c r="AB177" s="76" t="n">
        <v>0.75</v>
      </c>
      <c r="AC177" s="76" t="n">
        <v>0.75</v>
      </c>
      <c r="AD177" s="76" t="n">
        <v>0.75</v>
      </c>
      <c r="AE177" s="76" t="n">
        <v>0.75</v>
      </c>
      <c r="AF177" s="76" t="n">
        <v>0.75</v>
      </c>
      <c r="AG177" s="76" t="n">
        <v>0.75</v>
      </c>
      <c r="AH177" s="76" t="n">
        <v>0.75</v>
      </c>
      <c r="AI177" s="76" t="n">
        <v>0.75</v>
      </c>
      <c r="AJ177" s="76" t="n">
        <v>0.75</v>
      </c>
      <c r="AK177" s="76" t="n">
        <v>0.75</v>
      </c>
      <c r="AL177" s="76" t="n">
        <v>0.75</v>
      </c>
      <c r="AM177" s="76" t="n">
        <v>0.75</v>
      </c>
      <c r="AN177" s="76" t="n">
        <v>0.75</v>
      </c>
      <c r="AO177" s="76" t="n">
        <v>0.75</v>
      </c>
      <c r="AP177" s="76" t="n">
        <v>0.75</v>
      </c>
      <c r="AQ177" s="76" t="n">
        <v>0.75</v>
      </c>
      <c r="AR177" s="76" t="n">
        <v>0.75</v>
      </c>
    </row>
    <row r="178">
      <c r="A178" s="76" t="inlineStr">
        <is>
          <t>ID</t>
        </is>
      </c>
      <c r="B178" s="76" t="inlineStr">
        <is>
          <t>Hydro</t>
        </is>
      </c>
      <c r="C178" s="76" t="n">
        <v>0.3936666666666667</v>
      </c>
      <c r="D178" s="76" t="n">
        <v>0.441</v>
      </c>
      <c r="E178" s="76" t="n">
        <v>0.488</v>
      </c>
      <c r="F178" s="76" t="n">
        <v>0.426</v>
      </c>
      <c r="G178" s="76" t="n">
        <v>0.3646666666666666</v>
      </c>
      <c r="H178" s="76" t="n">
        <v>0.383</v>
      </c>
      <c r="I178" s="76" t="n">
        <v>0.4006666666666667</v>
      </c>
      <c r="J178" s="76" t="n">
        <v>0.4006666666666667</v>
      </c>
      <c r="K178" s="76" t="n">
        <v>0.4006666666666667</v>
      </c>
      <c r="L178" s="76" t="n">
        <v>0.4013333333333333</v>
      </c>
      <c r="M178" s="76" t="n">
        <v>0.4016666666666667</v>
      </c>
      <c r="N178" s="76" t="n">
        <v>0.4016666666666667</v>
      </c>
      <c r="O178" s="76" t="n">
        <v>0.4016666666666667</v>
      </c>
      <c r="P178" s="76" t="n">
        <v>0.4016666666666667</v>
      </c>
      <c r="Q178" s="76" t="n">
        <v>0.4016666666666667</v>
      </c>
      <c r="R178" s="76" t="n">
        <v>0.4016666666666667</v>
      </c>
      <c r="S178" s="76" t="n">
        <v>0.4016666666666667</v>
      </c>
      <c r="T178" s="76" t="n">
        <v>0.4016666666666667</v>
      </c>
      <c r="U178" s="76" t="n">
        <v>0.4016666666666667</v>
      </c>
      <c r="V178" s="76" t="n">
        <v>0.4016666666666667</v>
      </c>
      <c r="W178" s="76" t="n">
        <v>0.4016666666666667</v>
      </c>
      <c r="X178" s="76" t="n">
        <v>0.4016666666666667</v>
      </c>
      <c r="Y178" s="76" t="n">
        <v>0.4016666666666667</v>
      </c>
      <c r="Z178" s="76" t="n">
        <v>0.4016666666666667</v>
      </c>
      <c r="AA178" s="76" t="n">
        <v>0.4016666666666667</v>
      </c>
      <c r="AB178" s="76" t="n">
        <v>0.4016666666666667</v>
      </c>
      <c r="AC178" s="76" t="n">
        <v>0.4016666666666667</v>
      </c>
      <c r="AD178" s="76" t="n">
        <v>0.4016666666666667</v>
      </c>
      <c r="AE178" s="76" t="n">
        <v>0.4016666666666667</v>
      </c>
      <c r="AF178" s="76" t="n">
        <v>0.4016666666666667</v>
      </c>
      <c r="AG178" s="76" t="n">
        <v>0.4016666666666667</v>
      </c>
      <c r="AH178" s="76" t="n">
        <v>0.397</v>
      </c>
      <c r="AI178" s="76" t="n">
        <v>0.3933333333333334</v>
      </c>
      <c r="AJ178" s="76" t="n">
        <v>0.389</v>
      </c>
      <c r="AK178" s="76" t="n">
        <v>0.3846666666666667</v>
      </c>
      <c r="AL178" s="76" t="n">
        <v>0.3803333333333334</v>
      </c>
      <c r="AM178" s="76" t="n">
        <v>0.3693333333333333</v>
      </c>
      <c r="AN178" s="76" t="n">
        <v>0.3576666666666666</v>
      </c>
      <c r="AO178" s="76" t="n">
        <v>0.3463333333333333</v>
      </c>
      <c r="AP178" s="76" t="n">
        <v>0.335</v>
      </c>
      <c r="AQ178" s="76" t="n">
        <v>0.3233333333333334</v>
      </c>
      <c r="AR178" s="76" t="n">
        <v>0.395382113821138</v>
      </c>
    </row>
    <row r="179">
      <c r="A179" s="76" t="inlineStr">
        <is>
          <t>ID</t>
        </is>
      </c>
      <c r="B179" s="76" t="inlineStr">
        <is>
          <t>Nuclear</t>
        </is>
      </c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  <c r="AA179" s="76" t="n"/>
      <c r="AB179" s="76" t="n"/>
      <c r="AC179" s="76" t="n"/>
      <c r="AD179" s="76" t="n"/>
      <c r="AE179" s="76" t="n"/>
      <c r="AF179" s="76" t="n"/>
      <c r="AG179" s="76" t="n"/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</row>
    <row r="180">
      <c r="A180" s="76" t="inlineStr">
        <is>
          <t>ID</t>
        </is>
      </c>
      <c r="B180" s="76" t="inlineStr">
        <is>
          <t>Other</t>
        </is>
      </c>
      <c r="C180" s="76" t="n">
        <v>0</v>
      </c>
      <c r="D180" s="76" t="n">
        <v>0</v>
      </c>
      <c r="E180" s="76" t="n">
        <v>0</v>
      </c>
      <c r="F180" s="76" t="n">
        <v>0</v>
      </c>
      <c r="G180" s="76" t="n">
        <v>0</v>
      </c>
      <c r="H180" s="76" t="n">
        <v>0</v>
      </c>
      <c r="I180" s="76" t="n">
        <v>0</v>
      </c>
      <c r="J180" s="76" t="n">
        <v>0</v>
      </c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  <c r="AA180" s="76" t="n"/>
      <c r="AB180" s="76" t="n"/>
      <c r="AC180" s="76" t="n"/>
      <c r="AD180" s="76" t="n"/>
      <c r="AE180" s="76" t="n"/>
      <c r="AF180" s="76" t="n"/>
      <c r="AG180" s="76" t="n"/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>
        <v>0</v>
      </c>
    </row>
    <row r="181">
      <c r="A181" s="76" t="inlineStr">
        <is>
          <t>ID</t>
        </is>
      </c>
      <c r="B181" s="76" t="inlineStr">
        <is>
          <t>Utility PV</t>
        </is>
      </c>
      <c r="C181" s="76" t="n"/>
      <c r="D181" s="76" t="n"/>
      <c r="E181" s="76" t="n"/>
      <c r="F181" s="76" t="n"/>
      <c r="G181" s="76" t="n"/>
      <c r="H181" s="76" t="n">
        <v>0.236</v>
      </c>
      <c r="I181" s="76" t="n">
        <v>0.236</v>
      </c>
      <c r="J181" s="76" t="n">
        <v>0.2435</v>
      </c>
      <c r="K181" s="76" t="n">
        <v>0.2435</v>
      </c>
      <c r="L181" s="76" t="n">
        <v>0.243</v>
      </c>
      <c r="M181" s="76" t="n">
        <v>0.242</v>
      </c>
      <c r="N181" s="76" t="n">
        <v>0.241</v>
      </c>
      <c r="O181" s="76" t="n">
        <v>0.24</v>
      </c>
      <c r="P181" s="76" t="n">
        <v>0.2385</v>
      </c>
      <c r="Q181" s="76" t="n">
        <v>0.2375</v>
      </c>
      <c r="R181" s="76" t="n">
        <v>0.2365</v>
      </c>
      <c r="S181" s="76" t="n">
        <v>0.2355</v>
      </c>
      <c r="T181" s="76" t="n">
        <v>0.234</v>
      </c>
      <c r="U181" s="76" t="n">
        <v>0.2335</v>
      </c>
      <c r="V181" s="76" t="n">
        <v>0.2325</v>
      </c>
      <c r="W181" s="76" t="n">
        <v>0.231</v>
      </c>
      <c r="X181" s="76" t="n">
        <v>0.2253333333333333</v>
      </c>
      <c r="Y181" s="76" t="n">
        <v>0.225</v>
      </c>
      <c r="Z181" s="76" t="n">
        <v>0.2266666666666667</v>
      </c>
      <c r="AA181" s="76" t="n">
        <v>0.2263333333333334</v>
      </c>
      <c r="AB181" s="76" t="n">
        <v>0.2263333333333334</v>
      </c>
      <c r="AC181" s="76" t="n">
        <v>0.2256666666666667</v>
      </c>
      <c r="AD181" s="76" t="n">
        <v>0.2256666666666667</v>
      </c>
      <c r="AE181" s="76" t="n">
        <v>0.225</v>
      </c>
      <c r="AF181" s="76" t="n">
        <v>0.2246666666666667</v>
      </c>
      <c r="AG181" s="76" t="n">
        <v>0.2243333333333334</v>
      </c>
      <c r="AH181" s="76" t="n">
        <v>0.2233333333333334</v>
      </c>
      <c r="AI181" s="76" t="n">
        <v>0.2223333333333334</v>
      </c>
      <c r="AJ181" s="76" t="n">
        <v>0.2213333333333334</v>
      </c>
      <c r="AK181" s="76" t="n">
        <v>0.2203333333333334</v>
      </c>
      <c r="AL181" s="76" t="n">
        <v>0.22</v>
      </c>
      <c r="AM181" s="76" t="n">
        <v>0.2196666666666667</v>
      </c>
      <c r="AN181" s="76" t="n">
        <v>0.22</v>
      </c>
      <c r="AO181" s="76" t="n">
        <v>0.22</v>
      </c>
      <c r="AP181" s="76" t="n">
        <v>0.22</v>
      </c>
      <c r="AQ181" s="76" t="n">
        <v>0.22</v>
      </c>
      <c r="AR181" s="76" t="n">
        <v>0.2280222222222223</v>
      </c>
    </row>
    <row r="182">
      <c r="A182" s="76" t="inlineStr">
        <is>
          <t>ID</t>
        </is>
      </c>
      <c r="B182" s="76" t="inlineStr">
        <is>
          <t>Wind offshore</t>
        </is>
      </c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76" t="n"/>
      <c r="AB182" s="76" t="n"/>
      <c r="AC182" s="76" t="n"/>
      <c r="AD182" s="76" t="n"/>
      <c r="AE182" s="76" t="n"/>
      <c r="AF182" s="76" t="n"/>
      <c r="AG182" s="76" t="n"/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</row>
    <row r="183">
      <c r="A183" s="76" t="inlineStr">
        <is>
          <t>ID</t>
        </is>
      </c>
      <c r="B183" s="76" t="inlineStr">
        <is>
          <t>Wind onshore</t>
        </is>
      </c>
      <c r="C183" s="76" t="n">
        <v>0.301</v>
      </c>
      <c r="D183" s="76" t="n">
        <v>0.2935</v>
      </c>
      <c r="E183" s="76" t="n">
        <v>0.2915</v>
      </c>
      <c r="F183" s="76" t="n">
        <v>0.2925</v>
      </c>
      <c r="G183" s="76" t="n">
        <v>0.294</v>
      </c>
      <c r="H183" s="76" t="n">
        <v>0.2915</v>
      </c>
      <c r="I183" s="76" t="n">
        <v>0.2895</v>
      </c>
      <c r="J183" s="76" t="n">
        <v>0.2905</v>
      </c>
      <c r="K183" s="76" t="n">
        <v>0.2915</v>
      </c>
      <c r="L183" s="76" t="n">
        <v>0.289</v>
      </c>
      <c r="M183" s="76" t="n">
        <v>0.287</v>
      </c>
      <c r="N183" s="76" t="n">
        <v>0.2895</v>
      </c>
      <c r="O183" s="76" t="n">
        <v>0.292</v>
      </c>
      <c r="P183" s="76" t="n">
        <v>0.292</v>
      </c>
      <c r="Q183" s="76" t="n">
        <v>0.292</v>
      </c>
      <c r="R183" s="76" t="n">
        <v>0.293</v>
      </c>
      <c r="S183" s="76" t="n">
        <v>0.2935</v>
      </c>
      <c r="T183" s="76" t="n">
        <v>0.32</v>
      </c>
      <c r="U183" s="76" t="n">
        <v>0.3203333333333334</v>
      </c>
      <c r="V183" s="76" t="n">
        <v>0.3196666666666667</v>
      </c>
      <c r="W183" s="76" t="n">
        <v>0.3183333333333334</v>
      </c>
      <c r="X183" s="76" t="n">
        <v>0.3176666666666667</v>
      </c>
      <c r="Y183" s="76" t="n">
        <v>0.3173333333333333</v>
      </c>
      <c r="Z183" s="76" t="n">
        <v>0.3103333333333333</v>
      </c>
      <c r="AA183" s="76" t="n">
        <v>0.3043333333333333</v>
      </c>
      <c r="AB183" s="76" t="n">
        <v>0.2993333333333333</v>
      </c>
      <c r="AC183" s="76" t="n">
        <v>0.3003333333333333</v>
      </c>
      <c r="AD183" s="76" t="n">
        <v>0.301</v>
      </c>
      <c r="AE183" s="76" t="n">
        <v>0.3016666666666667</v>
      </c>
      <c r="AF183" s="76" t="n">
        <v>0.303</v>
      </c>
      <c r="AG183" s="76" t="n">
        <v>0.304</v>
      </c>
      <c r="AH183" s="76" t="n">
        <v>0.316</v>
      </c>
      <c r="AI183" s="76" t="n">
        <v>0.3276666666666667</v>
      </c>
      <c r="AJ183" s="76" t="n">
        <v>0.3393333333333333</v>
      </c>
      <c r="AK183" s="76" t="n">
        <v>0.3503333333333334</v>
      </c>
      <c r="AL183" s="76" t="n">
        <v>0.3613333333333333</v>
      </c>
      <c r="AM183" s="76" t="n">
        <v>0.3633333333333333</v>
      </c>
      <c r="AN183" s="76" t="n">
        <v>0.365</v>
      </c>
      <c r="AO183" s="76" t="n">
        <v>0.367</v>
      </c>
      <c r="AP183" s="76" t="n">
        <v>0.369</v>
      </c>
      <c r="AQ183" s="76" t="n">
        <v>0.371</v>
      </c>
      <c r="AR183" s="76" t="n">
        <v>0.3163113207547171</v>
      </c>
    </row>
    <row r="184">
      <c r="A184" s="76" t="inlineStr">
        <is>
          <t>IL</t>
        </is>
      </c>
      <c r="B184" s="76" t="inlineStr">
        <is>
          <t>IL</t>
        </is>
      </c>
      <c r="C184" s="76" t="n">
        <v>0.29475</v>
      </c>
      <c r="D184" s="76" t="n">
        <v>0.3157272727272728</v>
      </c>
      <c r="E184" s="76" t="n">
        <v>0.3378787878787879</v>
      </c>
      <c r="F184" s="76" t="n">
        <v>0.3129705882352941</v>
      </c>
      <c r="G184" s="76" t="n">
        <v>0.3020882352941176</v>
      </c>
      <c r="H184" s="76" t="n">
        <v>0.3248857142857142</v>
      </c>
      <c r="I184" s="76" t="n">
        <v>0.3405294117647058</v>
      </c>
      <c r="J184" s="76" t="n">
        <v>0.3372941176470588</v>
      </c>
      <c r="K184" s="76" t="n">
        <v>0.337735294117647</v>
      </c>
      <c r="L184" s="76" t="n">
        <v>0.3410571428571428</v>
      </c>
      <c r="M184" s="76" t="n">
        <v>0.3317058823529412</v>
      </c>
      <c r="N184" s="76" t="n">
        <v>0.3288823529411765</v>
      </c>
      <c r="O184" s="76" t="n">
        <v>0.3260294117647059</v>
      </c>
      <c r="P184" s="76" t="n">
        <v>0.3193529411764706</v>
      </c>
      <c r="Q184" s="76" t="n">
        <v>0.3124411764705883</v>
      </c>
      <c r="R184" s="76" t="n">
        <v>0.2720810810810811</v>
      </c>
      <c r="S184" s="76" t="n">
        <v>0.2611891891891892</v>
      </c>
      <c r="T184" s="76" t="n">
        <v>0.2534594594594594</v>
      </c>
      <c r="U184" s="76" t="n">
        <v>0.2457837837837838</v>
      </c>
      <c r="V184" s="76" t="n">
        <v>0.2424324324324324</v>
      </c>
      <c r="W184" s="76" t="n">
        <v>0.2387837837837838</v>
      </c>
      <c r="X184" s="76" t="n">
        <v>0.2352105263157895</v>
      </c>
      <c r="Y184" s="76" t="n">
        <v>0.2136756756756757</v>
      </c>
      <c r="Z184" s="76" t="n">
        <v>0.2116486486486487</v>
      </c>
      <c r="AA184" s="76" t="n">
        <v>0.2098378378378379</v>
      </c>
      <c r="AB184" s="76" t="n">
        <v>0.2126764705882353</v>
      </c>
      <c r="AC184" s="76" t="n">
        <v>0.2129411764705882</v>
      </c>
      <c r="AD184" s="76" t="n">
        <v>0.2133529411764706</v>
      </c>
      <c r="AE184" s="76" t="n">
        <v>0.2137352941176471</v>
      </c>
      <c r="AF184" s="76" t="n">
        <v>0.2140294117647059</v>
      </c>
      <c r="AG184" s="76" t="n">
        <v>0.2144411764705882</v>
      </c>
      <c r="AH184" s="76" t="n">
        <v>0.2192857142857143</v>
      </c>
      <c r="AI184" s="76" t="n">
        <v>0.2197142857142857</v>
      </c>
      <c r="AJ184" s="76" t="n">
        <v>0.2202285714285714</v>
      </c>
      <c r="AK184" s="76" t="n">
        <v>0.2207142857142857</v>
      </c>
      <c r="AL184" s="76" t="n">
        <v>0.2213714285714286</v>
      </c>
      <c r="AM184" s="76" t="n">
        <v>0.2220285714285714</v>
      </c>
      <c r="AN184" s="76" t="n">
        <v>0.2226857142857143</v>
      </c>
      <c r="AO184" s="76" t="n">
        <v>0.2232571428571428</v>
      </c>
      <c r="AP184" s="76" t="n">
        <v>0.2238285714285715</v>
      </c>
      <c r="AQ184" s="76" t="n">
        <v>0.1824838709677419</v>
      </c>
      <c r="AR184" s="76" t="n">
        <v>0.2604611616515046</v>
      </c>
    </row>
    <row r="185">
      <c r="A185" s="76" t="inlineStr">
        <is>
          <t>IL</t>
        </is>
      </c>
      <c r="B185" s="76" t="inlineStr">
        <is>
          <t>Battery</t>
        </is>
      </c>
      <c r="C185" s="76" t="n"/>
      <c r="D185" s="76" t="n"/>
      <c r="E185" s="76" t="n"/>
      <c r="F185" s="76" t="n">
        <v>-0.008</v>
      </c>
      <c r="G185" s="76" t="n">
        <v>-0.008</v>
      </c>
      <c r="H185" s="76" t="n">
        <v>-0.001</v>
      </c>
      <c r="I185" s="76" t="n">
        <v>0</v>
      </c>
      <c r="J185" s="76" t="n">
        <v>0</v>
      </c>
      <c r="K185" s="76" t="n">
        <v>0</v>
      </c>
      <c r="L185" s="76" t="n">
        <v>0</v>
      </c>
      <c r="M185" s="76" t="n">
        <v>0</v>
      </c>
      <c r="N185" s="76" t="n">
        <v>0</v>
      </c>
      <c r="O185" s="76" t="n">
        <v>0</v>
      </c>
      <c r="P185" s="76" t="n">
        <v>-0.003</v>
      </c>
      <c r="Q185" s="76" t="n">
        <v>-0.005</v>
      </c>
      <c r="R185" s="76" t="n">
        <v>-0.04975</v>
      </c>
      <c r="S185" s="76" t="n">
        <v>-0.0515</v>
      </c>
      <c r="T185" s="76" t="n">
        <v>-0.05624999999999999</v>
      </c>
      <c r="U185" s="76" t="n">
        <v>-0.0565</v>
      </c>
      <c r="V185" s="76" t="n">
        <v>-0.06125</v>
      </c>
      <c r="W185" s="76" t="n">
        <v>-0.06225</v>
      </c>
      <c r="X185" s="76" t="n">
        <v>-0.063</v>
      </c>
      <c r="Y185" s="76" t="n">
        <v>-0.0625</v>
      </c>
      <c r="Z185" s="76" t="n">
        <v>-0.0615</v>
      </c>
      <c r="AA185" s="76" t="n">
        <v>-0.05975</v>
      </c>
      <c r="AB185" s="76" t="n">
        <v>-0.058</v>
      </c>
      <c r="AC185" s="76" t="n">
        <v>-0.062</v>
      </c>
      <c r="AD185" s="76" t="n">
        <v>-0.06475</v>
      </c>
      <c r="AE185" s="76" t="n">
        <v>-0.067</v>
      </c>
      <c r="AF185" s="76" t="n">
        <v>-0.06950000000000001</v>
      </c>
      <c r="AG185" s="76" t="n">
        <v>-0.07124999999999999</v>
      </c>
      <c r="AH185" s="76" t="n">
        <v>-0.06949999999999999</v>
      </c>
      <c r="AI185" s="76" t="n">
        <v>-0.06775</v>
      </c>
      <c r="AJ185" s="76" t="n">
        <v>-0.06625</v>
      </c>
      <c r="AK185" s="76" t="n">
        <v>-0.06475</v>
      </c>
      <c r="AL185" s="76" t="n">
        <v>-0.063</v>
      </c>
      <c r="AM185" s="76" t="n">
        <v>-0.05975</v>
      </c>
      <c r="AN185" s="76" t="n">
        <v>-0.05649999999999999</v>
      </c>
      <c r="AO185" s="76" t="n">
        <v>-0.05324999999999999</v>
      </c>
      <c r="AP185" s="76" t="n">
        <v>-0.04975</v>
      </c>
      <c r="AQ185" s="76" t="n">
        <v>-0.047</v>
      </c>
      <c r="AR185" s="76" t="n">
        <v>-0.05449999999999999</v>
      </c>
    </row>
    <row r="186">
      <c r="A186" s="76" t="inlineStr">
        <is>
          <t>IL</t>
        </is>
      </c>
      <c r="B186" s="76" t="inlineStr">
        <is>
          <t>Biopower</t>
        </is>
      </c>
      <c r="C186" s="76" t="n">
        <v>0.49875</v>
      </c>
      <c r="D186" s="76" t="n">
        <v>0.508</v>
      </c>
      <c r="E186" s="76" t="n">
        <v>0.51875</v>
      </c>
      <c r="F186" s="76" t="n">
        <v>0.51975</v>
      </c>
      <c r="G186" s="76" t="n">
        <v>0.521</v>
      </c>
      <c r="H186" s="76" t="n">
        <v>0.51975</v>
      </c>
      <c r="I186" s="76" t="n">
        <v>0.5173333333333333</v>
      </c>
      <c r="J186" s="76" t="n">
        <v>0.5166666666666667</v>
      </c>
      <c r="K186" s="76" t="n">
        <v>0.5163333333333333</v>
      </c>
      <c r="L186" s="76" t="n">
        <v>0.5163333333333333</v>
      </c>
      <c r="M186" s="76" t="n">
        <v>0.5163333333333333</v>
      </c>
      <c r="N186" s="76" t="n">
        <v>0.5163333333333333</v>
      </c>
      <c r="O186" s="76" t="n">
        <v>0.5163333333333333</v>
      </c>
      <c r="P186" s="76" t="n">
        <v>0.517</v>
      </c>
      <c r="Q186" s="76" t="n">
        <v>0.5176666666666666</v>
      </c>
      <c r="R186" s="76" t="n">
        <v>0.519</v>
      </c>
      <c r="S186" s="76" t="n">
        <v>0.5203333333333333</v>
      </c>
      <c r="T186" s="76" t="n">
        <v>0.5226666666666667</v>
      </c>
      <c r="U186" s="76" t="n">
        <v>0.525</v>
      </c>
      <c r="V186" s="76" t="n">
        <v>0.5253333333333333</v>
      </c>
      <c r="W186" s="76" t="n">
        <v>0.5256666666666666</v>
      </c>
      <c r="X186" s="76" t="n">
        <v>0.5256666666666666</v>
      </c>
      <c r="Y186" s="76" t="n">
        <v>0.5253333333333333</v>
      </c>
      <c r="Z186" s="76" t="n">
        <v>0.5146666666666667</v>
      </c>
      <c r="AA186" s="76" t="n">
        <v>0.5043333333333333</v>
      </c>
      <c r="AB186" s="76" t="n">
        <v>0.4936666666666667</v>
      </c>
      <c r="AC186" s="76" t="n">
        <v>0.4996666666666667</v>
      </c>
      <c r="AD186" s="76" t="n">
        <v>0.5056666666666666</v>
      </c>
      <c r="AE186" s="76" t="n">
        <v>0.5116666666666667</v>
      </c>
      <c r="AF186" s="76" t="n">
        <v>0.5176666666666666</v>
      </c>
      <c r="AG186" s="76" t="n">
        <v>0.524</v>
      </c>
      <c r="AH186" s="76" t="n">
        <v>0.523</v>
      </c>
      <c r="AI186" s="76" t="n">
        <v>0.5216666666666666</v>
      </c>
      <c r="AJ186" s="76" t="n">
        <v>0.5206666666666667</v>
      </c>
      <c r="AK186" s="76" t="n">
        <v>0.5193333333333333</v>
      </c>
      <c r="AL186" s="76" t="n">
        <v>0.5183333333333334</v>
      </c>
      <c r="AM186" s="76" t="n">
        <v>0.5043333333333334</v>
      </c>
      <c r="AN186" s="76" t="n">
        <v>0.4896666666666666</v>
      </c>
      <c r="AO186" s="76" t="n">
        <v>0.4743333333333333</v>
      </c>
      <c r="AP186" s="76" t="n">
        <v>0.458</v>
      </c>
      <c r="AQ186" s="76" t="n">
        <v>0.3995</v>
      </c>
      <c r="AR186" s="76" t="n">
        <v>0.5114296874999996</v>
      </c>
    </row>
    <row r="187">
      <c r="A187" s="76" t="inlineStr">
        <is>
          <t>IL</t>
        </is>
      </c>
      <c r="B187" s="76" t="inlineStr">
        <is>
          <t>Coal</t>
        </is>
      </c>
      <c r="C187" s="76" t="n">
        <v>0.476</v>
      </c>
      <c r="D187" s="76" t="n">
        <v>0.405</v>
      </c>
      <c r="E187" s="76" t="n">
        <v>0.3175</v>
      </c>
      <c r="F187" s="76" t="n">
        <v>0.41475</v>
      </c>
      <c r="G187" s="76" t="n">
        <v>0.545</v>
      </c>
      <c r="H187" s="76" t="n">
        <v>0.48725</v>
      </c>
      <c r="I187" s="76" t="n">
        <v>0.4255</v>
      </c>
      <c r="J187" s="76" t="n">
        <v>0.45875</v>
      </c>
      <c r="K187" s="76" t="n">
        <v>0.5265</v>
      </c>
      <c r="L187" s="76" t="n">
        <v>0.47225</v>
      </c>
      <c r="M187" s="76" t="n">
        <v>0.2753333333333333</v>
      </c>
      <c r="N187" s="76" t="n">
        <v>0.279</v>
      </c>
      <c r="O187" s="76" t="n">
        <v>0.283</v>
      </c>
      <c r="P187" s="76" t="n">
        <v>0.2873333333333333</v>
      </c>
      <c r="Q187" s="76" t="n">
        <v>0.2916666666666667</v>
      </c>
      <c r="R187" s="76" t="n">
        <v>0.2976666666666667</v>
      </c>
      <c r="S187" s="76" t="n">
        <v>0.3033333333333333</v>
      </c>
      <c r="T187" s="76" t="n">
        <v>0.2803333333333333</v>
      </c>
      <c r="U187" s="76" t="n">
        <v>0.2563333333333333</v>
      </c>
      <c r="V187" s="76" t="n">
        <v>0.2336666666666667</v>
      </c>
      <c r="W187" s="76" t="n">
        <v>0.2026666666666667</v>
      </c>
      <c r="X187" s="76" t="n">
        <v>0.1796666666666666</v>
      </c>
      <c r="Y187" s="76" t="n">
        <v>0.1563333333333333</v>
      </c>
      <c r="Z187" s="76" t="n">
        <v>0.1563333333333333</v>
      </c>
      <c r="AA187" s="76" t="n">
        <v>0.1563333333333333</v>
      </c>
      <c r="AB187" s="76" t="n"/>
      <c r="AC187" s="76" t="n"/>
      <c r="AD187" s="76" t="n"/>
      <c r="AE187" s="76" t="n"/>
      <c r="AF187" s="76" t="n"/>
      <c r="AG187" s="76" t="n"/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>
        <v>0.3415411764705884</v>
      </c>
    </row>
    <row r="188">
      <c r="A188" s="76" t="inlineStr">
        <is>
          <t>IL</t>
        </is>
      </c>
      <c r="B188" s="76" t="inlineStr">
        <is>
          <t>CSP</t>
        </is>
      </c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  <c r="AA188" s="76" t="n"/>
      <c r="AB188" s="76" t="n"/>
      <c r="AC188" s="76" t="n"/>
      <c r="AD188" s="76" t="n"/>
      <c r="AE188" s="76" t="n"/>
      <c r="AF188" s="76" t="n"/>
      <c r="AG188" s="76" t="n"/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</row>
    <row r="189">
      <c r="A189" s="76" t="inlineStr">
        <is>
          <t>IL</t>
        </is>
      </c>
      <c r="B189" s="76" t="inlineStr">
        <is>
          <t>Dist PV</t>
        </is>
      </c>
      <c r="C189" s="76" t="n">
        <v>0.162</v>
      </c>
      <c r="D189" s="76" t="n">
        <v>0.16325</v>
      </c>
      <c r="E189" s="76" t="n">
        <v>0.16325</v>
      </c>
      <c r="F189" s="76" t="n">
        <v>0.16325</v>
      </c>
      <c r="G189" s="76" t="n">
        <v>0.16325</v>
      </c>
      <c r="H189" s="76" t="n">
        <v>0.16325</v>
      </c>
      <c r="I189" s="76" t="n">
        <v>0.16325</v>
      </c>
      <c r="J189" s="76" t="n">
        <v>0.16325</v>
      </c>
      <c r="K189" s="76" t="n">
        <v>0.16325</v>
      </c>
      <c r="L189" s="76" t="n">
        <v>0.16325</v>
      </c>
      <c r="M189" s="76" t="n">
        <v>0.16325</v>
      </c>
      <c r="N189" s="76" t="n">
        <v>0.16325</v>
      </c>
      <c r="O189" s="76" t="n">
        <v>0.16325</v>
      </c>
      <c r="P189" s="76" t="n">
        <v>0.16325</v>
      </c>
      <c r="Q189" s="76" t="n">
        <v>0.16325</v>
      </c>
      <c r="R189" s="76" t="n">
        <v>0.16325</v>
      </c>
      <c r="S189" s="76" t="n">
        <v>0.16325</v>
      </c>
      <c r="T189" s="76" t="n">
        <v>0.16325</v>
      </c>
      <c r="U189" s="76" t="n">
        <v>0.16325</v>
      </c>
      <c r="V189" s="76" t="n">
        <v>0.16325</v>
      </c>
      <c r="W189" s="76" t="n">
        <v>0.16325</v>
      </c>
      <c r="X189" s="76" t="n">
        <v>0.1605</v>
      </c>
      <c r="Y189" s="76" t="n">
        <v>0.159</v>
      </c>
      <c r="Z189" s="76" t="n">
        <v>0.155</v>
      </c>
      <c r="AA189" s="76" t="n">
        <v>0.1525</v>
      </c>
      <c r="AB189" s="76" t="n">
        <v>0.151</v>
      </c>
      <c r="AC189" s="76" t="n">
        <v>0.1545</v>
      </c>
      <c r="AD189" s="76" t="n">
        <v>0.15725</v>
      </c>
      <c r="AE189" s="76" t="n">
        <v>0.1595</v>
      </c>
      <c r="AF189" s="76" t="n">
        <v>0.1615</v>
      </c>
      <c r="AG189" s="76" t="n">
        <v>0.16325</v>
      </c>
      <c r="AH189" s="76" t="n">
        <v>0.16325</v>
      </c>
      <c r="AI189" s="76" t="n">
        <v>0.16325</v>
      </c>
      <c r="AJ189" s="76" t="n">
        <v>0.16325</v>
      </c>
      <c r="AK189" s="76" t="n">
        <v>0.16325</v>
      </c>
      <c r="AL189" s="76" t="n">
        <v>0.16325</v>
      </c>
      <c r="AM189" s="76" t="n">
        <v>0.16075</v>
      </c>
      <c r="AN189" s="76" t="n">
        <v>0.15825</v>
      </c>
      <c r="AO189" s="76" t="n">
        <v>0.156</v>
      </c>
      <c r="AP189" s="76" t="n">
        <v>0.15375</v>
      </c>
      <c r="AQ189" s="76" t="n">
        <v>0.1515</v>
      </c>
      <c r="AR189" s="76" t="n">
        <v>0.1609079754601228</v>
      </c>
    </row>
    <row r="190">
      <c r="A190" s="76" t="inlineStr">
        <is>
          <t>IL</t>
        </is>
      </c>
      <c r="B190" s="76" t="inlineStr">
        <is>
          <t>Gas CCGT</t>
        </is>
      </c>
      <c r="C190" s="76" t="n">
        <v>0.05033333333333333</v>
      </c>
      <c r="D190" s="76" t="n">
        <v>0.3826666666666667</v>
      </c>
      <c r="E190" s="76" t="n">
        <v>0.7213333333333333</v>
      </c>
      <c r="F190" s="76" t="n">
        <v>0.44</v>
      </c>
      <c r="G190" s="76" t="n">
        <v>0.159</v>
      </c>
      <c r="H190" s="76" t="n">
        <v>0.4643333333333333</v>
      </c>
      <c r="I190" s="76" t="n">
        <v>0.7366666666666667</v>
      </c>
      <c r="J190" s="76" t="n">
        <v>0.654</v>
      </c>
      <c r="K190" s="76" t="n">
        <v>0.5690000000000001</v>
      </c>
      <c r="L190" s="76" t="n">
        <v>0.6633333333333333</v>
      </c>
      <c r="M190" s="76" t="n">
        <v>0.7576666666666667</v>
      </c>
      <c r="N190" s="76" t="n">
        <v>0.7393333333333333</v>
      </c>
      <c r="O190" s="76" t="n">
        <v>0.7206666666666667</v>
      </c>
      <c r="P190" s="76" t="n">
        <v>0.6416666666666667</v>
      </c>
      <c r="Q190" s="76" t="n">
        <v>0.5623333333333334</v>
      </c>
      <c r="R190" s="76" t="n">
        <v>0.4246666666666667</v>
      </c>
      <c r="S190" s="76" t="n">
        <v>0.2866666666666667</v>
      </c>
      <c r="T190" s="76" t="n">
        <v>0.2246666666666667</v>
      </c>
      <c r="U190" s="76" t="n">
        <v>0.1623333333333333</v>
      </c>
      <c r="V190" s="76" t="n">
        <v>0.1523333333333333</v>
      </c>
      <c r="W190" s="76" t="n">
        <v>0.1423333333333333</v>
      </c>
      <c r="X190" s="76" t="n">
        <v>0.136</v>
      </c>
      <c r="Y190" s="76" t="n">
        <v>0.1303333333333333</v>
      </c>
      <c r="Z190" s="76" t="n">
        <v>0.1363333333333333</v>
      </c>
      <c r="AA190" s="76" t="n">
        <v>0.1423333333333333</v>
      </c>
      <c r="AB190" s="76" t="n">
        <v>0.1476666666666667</v>
      </c>
      <c r="AC190" s="76" t="n">
        <v>0.1403333333333333</v>
      </c>
      <c r="AD190" s="76" t="n">
        <v>0.133</v>
      </c>
      <c r="AE190" s="76" t="n">
        <v>0.1256666666666667</v>
      </c>
      <c r="AF190" s="76" t="n">
        <v>0.1183333333333333</v>
      </c>
      <c r="AG190" s="76" t="n">
        <v>0.111</v>
      </c>
      <c r="AH190" s="76" t="n">
        <v>0.1153333333333333</v>
      </c>
      <c r="AI190" s="76" t="n">
        <v>0.1193333333333333</v>
      </c>
      <c r="AJ190" s="76" t="n">
        <v>0.1233333333333333</v>
      </c>
      <c r="AK190" s="76" t="n">
        <v>0.128</v>
      </c>
      <c r="AL190" s="76" t="n">
        <v>0.1323333333333333</v>
      </c>
      <c r="AM190" s="76" t="n">
        <v>0.1393333333333333</v>
      </c>
      <c r="AN190" s="76" t="n">
        <v>0.147</v>
      </c>
      <c r="AO190" s="76" t="n">
        <v>0.1546666666666666</v>
      </c>
      <c r="AP190" s="76" t="n">
        <v>0.162</v>
      </c>
      <c r="AQ190" s="76" t="n">
        <v>0.1696666666666667</v>
      </c>
      <c r="AR190" s="76" t="n">
        <v>0.3016422764227642</v>
      </c>
    </row>
    <row r="191">
      <c r="A191" s="76" t="inlineStr">
        <is>
          <t>IL</t>
        </is>
      </c>
      <c r="B191" s="76" t="inlineStr">
        <is>
          <t>Gas CT</t>
        </is>
      </c>
      <c r="C191" s="76" t="n">
        <v>0.00275</v>
      </c>
      <c r="D191" s="76" t="n">
        <v>0.00625</v>
      </c>
      <c r="E191" s="76" t="n">
        <v>0.0095</v>
      </c>
      <c r="F191" s="76" t="n">
        <v>0.008500000000000001</v>
      </c>
      <c r="G191" s="76" t="n">
        <v>0.0075</v>
      </c>
      <c r="H191" s="76" t="n">
        <v>0.0125</v>
      </c>
      <c r="I191" s="76" t="n">
        <v>0.01725</v>
      </c>
      <c r="J191" s="76" t="n">
        <v>0.0165</v>
      </c>
      <c r="K191" s="76" t="n">
        <v>0.01625</v>
      </c>
      <c r="L191" s="76" t="n">
        <v>0.033</v>
      </c>
      <c r="M191" s="76" t="n">
        <v>0.05</v>
      </c>
      <c r="N191" s="76" t="n">
        <v>0.03974999999999999</v>
      </c>
      <c r="O191" s="76" t="n">
        <v>0.02975</v>
      </c>
      <c r="P191" s="76" t="n">
        <v>0.02625</v>
      </c>
      <c r="Q191" s="76" t="n">
        <v>0.0225</v>
      </c>
      <c r="R191" s="76" t="n">
        <v>0.01675</v>
      </c>
      <c r="S191" s="76" t="n">
        <v>0.01075</v>
      </c>
      <c r="T191" s="76" t="n">
        <v>0.008999999999999999</v>
      </c>
      <c r="U191" s="76" t="n">
        <v>0.006500000000000001</v>
      </c>
      <c r="V191" s="76" t="n">
        <v>0.00625</v>
      </c>
      <c r="W191" s="76" t="n">
        <v>0.00575</v>
      </c>
      <c r="X191" s="76" t="n">
        <v>0.004750000000000001</v>
      </c>
      <c r="Y191" s="76" t="n">
        <v>0.003500000000000001</v>
      </c>
      <c r="Z191" s="76" t="n">
        <v>0.004500000000000001</v>
      </c>
      <c r="AA191" s="76" t="n">
        <v>0.00525</v>
      </c>
      <c r="AB191" s="76" t="n">
        <v>0.00625</v>
      </c>
      <c r="AC191" s="76" t="n">
        <v>0.006</v>
      </c>
      <c r="AD191" s="76" t="n">
        <v>0.0065</v>
      </c>
      <c r="AE191" s="76" t="n">
        <v>0.00675</v>
      </c>
      <c r="AF191" s="76" t="n">
        <v>0.00675</v>
      </c>
      <c r="AG191" s="76" t="n">
        <v>0.00725</v>
      </c>
      <c r="AH191" s="76" t="n">
        <v>0.00725</v>
      </c>
      <c r="AI191" s="76" t="n">
        <v>0.007499999999999999</v>
      </c>
      <c r="AJ191" s="76" t="n">
        <v>0.00725</v>
      </c>
      <c r="AK191" s="76" t="n">
        <v>0.00725</v>
      </c>
      <c r="AL191" s="76" t="n">
        <v>0.0075</v>
      </c>
      <c r="AM191" s="76" t="n">
        <v>0.00625</v>
      </c>
      <c r="AN191" s="76" t="n">
        <v>0.00525</v>
      </c>
      <c r="AO191" s="76" t="n">
        <v>0.00375</v>
      </c>
      <c r="AP191" s="76" t="n">
        <v>0.00225</v>
      </c>
      <c r="AQ191" s="76" t="n">
        <v>0</v>
      </c>
      <c r="AR191" s="76" t="n">
        <v>0.01141104294478525</v>
      </c>
    </row>
    <row r="192">
      <c r="A192" s="76" t="inlineStr">
        <is>
          <t>IL</t>
        </is>
      </c>
      <c r="B192" s="76" t="inlineStr">
        <is>
          <t>Geothermal</t>
        </is>
      </c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  <c r="AE192" s="76" t="n"/>
      <c r="AF192" s="76" t="n"/>
      <c r="AG192" s="76" t="n"/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</row>
    <row r="193">
      <c r="A193" s="76" t="inlineStr">
        <is>
          <t>IL</t>
        </is>
      </c>
      <c r="B193" s="76" t="inlineStr">
        <is>
          <t>Hydro</t>
        </is>
      </c>
      <c r="C193" s="76" t="n">
        <v>0.3615</v>
      </c>
      <c r="D193" s="76" t="n">
        <v>0.347</v>
      </c>
      <c r="E193" s="76" t="n">
        <v>0.332</v>
      </c>
      <c r="F193" s="76" t="n">
        <v>0.31</v>
      </c>
      <c r="G193" s="76" t="n">
        <v>0.287</v>
      </c>
      <c r="H193" s="76" t="n">
        <v>0.358</v>
      </c>
      <c r="I193" s="76" t="n">
        <v>0.4285</v>
      </c>
      <c r="J193" s="76" t="n">
        <v>0.4285</v>
      </c>
      <c r="K193" s="76" t="n">
        <v>0.4285</v>
      </c>
      <c r="L193" s="76" t="n">
        <v>0.4285</v>
      </c>
      <c r="M193" s="76" t="n">
        <v>0.4285</v>
      </c>
      <c r="N193" s="76" t="n">
        <v>0.4285</v>
      </c>
      <c r="O193" s="76" t="n">
        <v>0.4285</v>
      </c>
      <c r="P193" s="76" t="n">
        <v>0.4285</v>
      </c>
      <c r="Q193" s="76" t="n">
        <v>0.4285</v>
      </c>
      <c r="R193" s="76" t="n">
        <v>0.4285</v>
      </c>
      <c r="S193" s="76" t="n">
        <v>0.4285</v>
      </c>
      <c r="T193" s="76" t="n">
        <v>0.4285</v>
      </c>
      <c r="U193" s="76" t="n">
        <v>0.4285</v>
      </c>
      <c r="V193" s="76" t="n">
        <v>0.4285</v>
      </c>
      <c r="W193" s="76" t="n">
        <v>0.4285</v>
      </c>
      <c r="X193" s="76" t="n">
        <v>0.4285</v>
      </c>
      <c r="Y193" s="76" t="n">
        <v>0.4285</v>
      </c>
      <c r="Z193" s="76" t="n">
        <v>0.4285</v>
      </c>
      <c r="AA193" s="76" t="n">
        <v>0.4285</v>
      </c>
      <c r="AB193" s="76" t="n">
        <v>0.4285</v>
      </c>
      <c r="AC193" s="76" t="n">
        <v>0.4285</v>
      </c>
      <c r="AD193" s="76" t="n">
        <v>0.4285</v>
      </c>
      <c r="AE193" s="76" t="n">
        <v>0.4285</v>
      </c>
      <c r="AF193" s="76" t="n">
        <v>0.4285</v>
      </c>
      <c r="AG193" s="76" t="n">
        <v>0.4285</v>
      </c>
      <c r="AH193" s="76" t="n">
        <v>0.4285</v>
      </c>
      <c r="AI193" s="76" t="n">
        <v>0.4285</v>
      </c>
      <c r="AJ193" s="76" t="n">
        <v>0.4285</v>
      </c>
      <c r="AK193" s="76" t="n">
        <v>0.4285</v>
      </c>
      <c r="AL193" s="76" t="n">
        <v>0.4285</v>
      </c>
      <c r="AM193" s="76" t="n">
        <v>0.4285</v>
      </c>
      <c r="AN193" s="76" t="n">
        <v>0.4285</v>
      </c>
      <c r="AO193" s="76" t="n">
        <v>0.4285</v>
      </c>
      <c r="AP193" s="76" t="n">
        <v>0.4285</v>
      </c>
      <c r="AQ193" s="76" t="n">
        <v>0.4285</v>
      </c>
      <c r="AR193" s="76" t="n">
        <v>0.4144634146341469</v>
      </c>
    </row>
    <row r="194">
      <c r="A194" s="76" t="inlineStr">
        <is>
          <t>IL</t>
        </is>
      </c>
      <c r="B194" s="76" t="inlineStr">
        <is>
          <t>Nuclear</t>
        </is>
      </c>
      <c r="C194" s="76" t="n">
        <v>0.902</v>
      </c>
      <c r="D194" s="76" t="n">
        <v>0.902</v>
      </c>
      <c r="E194" s="76" t="n">
        <v>0.902</v>
      </c>
      <c r="F194" s="76" t="n">
        <v>0.902</v>
      </c>
      <c r="G194" s="76" t="n">
        <v>0.902</v>
      </c>
      <c r="H194" s="76" t="n">
        <v>0.902</v>
      </c>
      <c r="I194" s="76" t="n">
        <v>0.902</v>
      </c>
      <c r="J194" s="76" t="n">
        <v>0.902</v>
      </c>
      <c r="K194" s="76" t="n">
        <v>0.902</v>
      </c>
      <c r="L194" s="76" t="n">
        <v>0.902</v>
      </c>
      <c r="M194" s="76" t="n">
        <v>0.902</v>
      </c>
      <c r="N194" s="76" t="n">
        <v>0.902</v>
      </c>
      <c r="O194" s="76" t="n">
        <v>0.902</v>
      </c>
      <c r="P194" s="76" t="n">
        <v>0.902</v>
      </c>
      <c r="Q194" s="76" t="n">
        <v>0.902</v>
      </c>
      <c r="R194" s="76" t="n">
        <v>0.902</v>
      </c>
      <c r="S194" s="76" t="n">
        <v>0.902</v>
      </c>
      <c r="T194" s="76" t="n">
        <v>0.902</v>
      </c>
      <c r="U194" s="76" t="n">
        <v>0.902</v>
      </c>
      <c r="V194" s="76" t="n">
        <v>0.902</v>
      </c>
      <c r="W194" s="76" t="n">
        <v>0.902</v>
      </c>
      <c r="X194" s="76" t="n">
        <v>0.902</v>
      </c>
      <c r="Y194" s="76" t="n">
        <v>0.902</v>
      </c>
      <c r="Z194" s="76" t="n">
        <v>0.881</v>
      </c>
      <c r="AA194" s="76" t="n">
        <v>0.86</v>
      </c>
      <c r="AB194" s="76" t="n">
        <v>0.839</v>
      </c>
      <c r="AC194" s="76" t="n">
        <v>0.8515</v>
      </c>
      <c r="AD194" s="76" t="n">
        <v>0.864</v>
      </c>
      <c r="AE194" s="76" t="n">
        <v>0.877</v>
      </c>
      <c r="AF194" s="76" t="n">
        <v>0.8895</v>
      </c>
      <c r="AG194" s="76" t="n">
        <v>0.902</v>
      </c>
      <c r="AH194" s="76" t="n">
        <v>0.889</v>
      </c>
      <c r="AI194" s="76" t="n">
        <v>0.8754999999999999</v>
      </c>
      <c r="AJ194" s="76" t="n">
        <v>0.8625</v>
      </c>
      <c r="AK194" s="76" t="n">
        <v>0.8480000000000001</v>
      </c>
      <c r="AL194" s="76" t="n">
        <v>0.8340000000000001</v>
      </c>
      <c r="AM194" s="76" t="n">
        <v>0.8340000000000001</v>
      </c>
      <c r="AN194" s="76" t="n">
        <v>0.8340000000000001</v>
      </c>
      <c r="AO194" s="76" t="n">
        <v>0.8340000000000001</v>
      </c>
      <c r="AP194" s="76" t="n">
        <v>0.8340000000000001</v>
      </c>
      <c r="AQ194" s="76" t="n"/>
      <c r="AR194" s="76" t="n">
        <v>0.8877843137254908</v>
      </c>
    </row>
    <row r="195">
      <c r="A195" s="76" t="inlineStr">
        <is>
          <t>IL</t>
        </is>
      </c>
      <c r="B195" s="76" t="inlineStr">
        <is>
          <t>Other</t>
        </is>
      </c>
      <c r="C195" s="76" t="n">
        <v>0</v>
      </c>
      <c r="D195" s="76" t="n">
        <v>0.0005</v>
      </c>
      <c r="E195" s="76" t="n">
        <v>0.001</v>
      </c>
      <c r="F195" s="76" t="n">
        <v>0.0005</v>
      </c>
      <c r="G195" s="76" t="n">
        <v>0</v>
      </c>
      <c r="H195" s="76" t="n">
        <v>0.00075</v>
      </c>
      <c r="I195" s="76" t="n">
        <v>0.00125</v>
      </c>
      <c r="J195" s="76" t="n">
        <v>0.00125</v>
      </c>
      <c r="K195" s="76" t="n">
        <v>0</v>
      </c>
      <c r="L195" s="76" t="n">
        <v>0.0045</v>
      </c>
      <c r="M195" s="76" t="n">
        <v>0.008750000000000001</v>
      </c>
      <c r="N195" s="76" t="n">
        <v>0.0045</v>
      </c>
      <c r="O195" s="76" t="n">
        <v>0</v>
      </c>
      <c r="P195" s="76" t="n">
        <v>0</v>
      </c>
      <c r="Q195" s="76" t="n">
        <v>0</v>
      </c>
      <c r="R195" s="76" t="n">
        <v>0</v>
      </c>
      <c r="S195" s="76" t="n">
        <v>0</v>
      </c>
      <c r="T195" s="76" t="n">
        <v>0</v>
      </c>
      <c r="U195" s="76" t="n">
        <v>0</v>
      </c>
      <c r="V195" s="76" t="n">
        <v>0</v>
      </c>
      <c r="W195" s="76" t="n">
        <v>0</v>
      </c>
      <c r="X195" s="76" t="n">
        <v>0</v>
      </c>
      <c r="Y195" s="76" t="n">
        <v>0</v>
      </c>
      <c r="Z195" s="76" t="n">
        <v>0</v>
      </c>
      <c r="AA195" s="76" t="n">
        <v>0</v>
      </c>
      <c r="AB195" s="76" t="n">
        <v>0</v>
      </c>
      <c r="AC195" s="76" t="n">
        <v>0</v>
      </c>
      <c r="AD195" s="76" t="n">
        <v>0</v>
      </c>
      <c r="AE195" s="76" t="n">
        <v>0</v>
      </c>
      <c r="AF195" s="76" t="n">
        <v>0</v>
      </c>
      <c r="AG195" s="76" t="n">
        <v>0</v>
      </c>
      <c r="AH195" s="76" t="n">
        <v>0</v>
      </c>
      <c r="AI195" s="76" t="n">
        <v>0</v>
      </c>
      <c r="AJ195" s="76" t="n">
        <v>0</v>
      </c>
      <c r="AK195" s="76" t="n">
        <v>0</v>
      </c>
      <c r="AL195" s="76" t="n">
        <v>0</v>
      </c>
      <c r="AM195" s="76" t="n">
        <v>0</v>
      </c>
      <c r="AN195" s="76" t="n">
        <v>0</v>
      </c>
      <c r="AO195" s="76" t="n">
        <v>0</v>
      </c>
      <c r="AP195" s="76" t="n">
        <v>0</v>
      </c>
      <c r="AQ195" s="76" t="n">
        <v>0</v>
      </c>
      <c r="AR195" s="76" t="n">
        <v>0.0005609756097560976</v>
      </c>
    </row>
    <row r="196">
      <c r="A196" s="76" t="inlineStr">
        <is>
          <t>IL</t>
        </is>
      </c>
      <c r="B196" s="76" t="inlineStr">
        <is>
          <t>Utility PV</t>
        </is>
      </c>
      <c r="C196" s="76" t="n">
        <v>0.233</v>
      </c>
      <c r="D196" s="76" t="n">
        <v>0.233</v>
      </c>
      <c r="E196" s="76" t="n">
        <v>0.233</v>
      </c>
      <c r="F196" s="76" t="n">
        <v>0.232</v>
      </c>
      <c r="G196" s="76" t="n">
        <v>0.231</v>
      </c>
      <c r="H196" s="76" t="n">
        <v>0.2385</v>
      </c>
      <c r="I196" s="76" t="n">
        <v>0.238</v>
      </c>
      <c r="J196" s="76" t="n">
        <v>0.237</v>
      </c>
      <c r="K196" s="76" t="n">
        <v>0.236</v>
      </c>
      <c r="L196" s="76" t="n">
        <v>0.239</v>
      </c>
      <c r="M196" s="76" t="n">
        <v>0.2396666666666667</v>
      </c>
      <c r="N196" s="76" t="n">
        <v>0.238</v>
      </c>
      <c r="O196" s="76" t="n">
        <v>0.237</v>
      </c>
      <c r="P196" s="76" t="n">
        <v>0.2366666666666667</v>
      </c>
      <c r="Q196" s="76" t="n">
        <v>0.236</v>
      </c>
      <c r="R196" s="76" t="n">
        <v>0.235</v>
      </c>
      <c r="S196" s="76" t="n">
        <v>0.2336666666666667</v>
      </c>
      <c r="T196" s="76" t="n">
        <v>0.236</v>
      </c>
      <c r="U196" s="76" t="n">
        <v>0.2353333333333333</v>
      </c>
      <c r="V196" s="76" t="n">
        <v>0.2343333333333333</v>
      </c>
      <c r="W196" s="76" t="n">
        <v>0.2333333333333333</v>
      </c>
      <c r="X196" s="76" t="n">
        <v>0.2345</v>
      </c>
      <c r="Y196" s="76" t="n">
        <v>0.23325</v>
      </c>
      <c r="Z196" s="76" t="n">
        <v>0.23225</v>
      </c>
      <c r="AA196" s="76" t="n">
        <v>0.23075</v>
      </c>
      <c r="AB196" s="76" t="n">
        <v>0.2295</v>
      </c>
      <c r="AC196" s="76" t="n">
        <v>0.2285</v>
      </c>
      <c r="AD196" s="76" t="n">
        <v>0.22725</v>
      </c>
      <c r="AE196" s="76" t="n">
        <v>0.226</v>
      </c>
      <c r="AF196" s="76" t="n">
        <v>0.225</v>
      </c>
      <c r="AG196" s="76" t="n">
        <v>0.22375</v>
      </c>
      <c r="AH196" s="76" t="n">
        <v>0.2235</v>
      </c>
      <c r="AI196" s="76" t="n">
        <v>0.224</v>
      </c>
      <c r="AJ196" s="76" t="n">
        <v>0.2245</v>
      </c>
      <c r="AK196" s="76" t="n">
        <v>0.2245</v>
      </c>
      <c r="AL196" s="76" t="n">
        <v>0.22475</v>
      </c>
      <c r="AM196" s="76" t="n">
        <v>0.22425</v>
      </c>
      <c r="AN196" s="76" t="n">
        <v>0.22375</v>
      </c>
      <c r="AO196" s="76" t="n">
        <v>0.22325</v>
      </c>
      <c r="AP196" s="76" t="n">
        <v>0.22275</v>
      </c>
      <c r="AQ196" s="76" t="n">
        <v>0.22225</v>
      </c>
      <c r="AR196" s="76" t="n">
        <v>0.2300465116279071</v>
      </c>
    </row>
    <row r="197">
      <c r="A197" s="76" t="inlineStr">
        <is>
          <t>IL</t>
        </is>
      </c>
      <c r="B197" s="76" t="inlineStr">
        <is>
          <t>Wind offshore</t>
        </is>
      </c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  <c r="AA197" s="76" t="n"/>
      <c r="AB197" s="76" t="n"/>
      <c r="AC197" s="76" t="n"/>
      <c r="AD197" s="76" t="n"/>
      <c r="AE197" s="76" t="n"/>
      <c r="AF197" s="76" t="n"/>
      <c r="AG197" s="76" t="n"/>
      <c r="AH197" s="76" t="n">
        <v>0.367</v>
      </c>
      <c r="AI197" s="76" t="n">
        <v>0.367</v>
      </c>
      <c r="AJ197" s="76" t="n">
        <v>0.367</v>
      </c>
      <c r="AK197" s="76" t="n">
        <v>0.367</v>
      </c>
      <c r="AL197" s="76" t="n">
        <v>0.367</v>
      </c>
      <c r="AM197" s="76" t="n">
        <v>0.386</v>
      </c>
      <c r="AN197" s="76" t="n">
        <v>0.403</v>
      </c>
      <c r="AO197" s="76" t="n">
        <v>0.419</v>
      </c>
      <c r="AP197" s="76" t="n">
        <v>0.433</v>
      </c>
      <c r="AQ197" s="76" t="n">
        <v>0.447</v>
      </c>
      <c r="AR197" s="76" t="n">
        <v>0.3923</v>
      </c>
    </row>
    <row r="198">
      <c r="A198" s="76" t="inlineStr">
        <is>
          <t>IL</t>
        </is>
      </c>
      <c r="B198" s="76" t="inlineStr">
        <is>
          <t>Wind onshore</t>
        </is>
      </c>
      <c r="C198" s="76" t="n">
        <v>0.30575</v>
      </c>
      <c r="D198" s="76" t="n">
        <v>0.3265</v>
      </c>
      <c r="E198" s="76" t="n">
        <v>0.33575</v>
      </c>
      <c r="F198" s="76" t="n">
        <v>0.336</v>
      </c>
      <c r="G198" s="76" t="n">
        <v>0.336</v>
      </c>
      <c r="H198" s="76" t="n">
        <v>0.3365</v>
      </c>
      <c r="I198" s="76" t="n">
        <v>0.337</v>
      </c>
      <c r="J198" s="76" t="n">
        <v>0.34</v>
      </c>
      <c r="K198" s="76" t="n">
        <v>0.342</v>
      </c>
      <c r="L198" s="76" t="n">
        <v>0.3565</v>
      </c>
      <c r="M198" s="76" t="n">
        <v>0.365</v>
      </c>
      <c r="N198" s="76" t="n">
        <v>0.36775</v>
      </c>
      <c r="O198" s="76" t="n">
        <v>0.36975</v>
      </c>
      <c r="P198" s="76" t="n">
        <v>0.373</v>
      </c>
      <c r="Q198" s="76" t="n">
        <v>0.37475</v>
      </c>
      <c r="R198" s="76" t="n">
        <v>0.3885</v>
      </c>
      <c r="S198" s="76" t="n">
        <v>0.3947499999999999</v>
      </c>
      <c r="T198" s="76" t="n">
        <v>0.39</v>
      </c>
      <c r="U198" s="76" t="n">
        <v>0.38525</v>
      </c>
      <c r="V198" s="76" t="n">
        <v>0.38425</v>
      </c>
      <c r="W198" s="76" t="n">
        <v>0.38325</v>
      </c>
      <c r="X198" s="76" t="n">
        <v>0.376</v>
      </c>
      <c r="Y198" s="76" t="n">
        <v>0.369</v>
      </c>
      <c r="Z198" s="76" t="n">
        <v>0.36725</v>
      </c>
      <c r="AA198" s="76" t="n">
        <v>0.36575</v>
      </c>
      <c r="AB198" s="76" t="n">
        <v>0.36425</v>
      </c>
      <c r="AC198" s="76" t="n">
        <v>0.363</v>
      </c>
      <c r="AD198" s="76" t="n">
        <v>0.362</v>
      </c>
      <c r="AE198" s="76" t="n">
        <v>0.36075</v>
      </c>
      <c r="AF198" s="76" t="n">
        <v>0.3595</v>
      </c>
      <c r="AG198" s="76" t="n">
        <v>0.35825</v>
      </c>
      <c r="AH198" s="76" t="n">
        <v>0.365</v>
      </c>
      <c r="AI198" s="76" t="n">
        <v>0.371</v>
      </c>
      <c r="AJ198" s="76" t="n">
        <v>0.378</v>
      </c>
      <c r="AK198" s="76" t="n">
        <v>0.3855</v>
      </c>
      <c r="AL198" s="76" t="n">
        <v>0.3935</v>
      </c>
      <c r="AM198" s="76" t="n">
        <v>0.40075</v>
      </c>
      <c r="AN198" s="76" t="n">
        <v>0.40825</v>
      </c>
      <c r="AO198" s="76" t="n">
        <v>0.416</v>
      </c>
      <c r="AP198" s="76" t="n">
        <v>0.425</v>
      </c>
      <c r="AQ198" s="76" t="n">
        <v>0.4345</v>
      </c>
      <c r="AR198" s="76" t="n">
        <v>0.3695487804878048</v>
      </c>
    </row>
    <row r="199">
      <c r="A199" s="76" t="inlineStr">
        <is>
          <t>IN</t>
        </is>
      </c>
      <c r="B199" s="76" t="inlineStr">
        <is>
          <t>IN</t>
        </is>
      </c>
      <c r="C199" s="76" t="n">
        <v>0.2439411764705882</v>
      </c>
      <c r="D199" s="76" t="n">
        <v>0.2725263157894737</v>
      </c>
      <c r="E199" s="76" t="n">
        <v>0.3013684210526315</v>
      </c>
      <c r="F199" s="76" t="n">
        <v>0.2637391304347826</v>
      </c>
      <c r="G199" s="76" t="n">
        <v>0.2488695652173913</v>
      </c>
      <c r="H199" s="76" t="n">
        <v>0.27</v>
      </c>
      <c r="I199" s="76" t="n">
        <v>0.300375</v>
      </c>
      <c r="J199" s="76" t="n">
        <v>0.28072</v>
      </c>
      <c r="K199" s="76" t="n">
        <v>0.27144</v>
      </c>
      <c r="L199" s="76" t="n">
        <v>0.2964230769230769</v>
      </c>
      <c r="M199" s="76" t="n">
        <v>0.3168846153846154</v>
      </c>
      <c r="N199" s="76" t="n">
        <v>0.3057692307692308</v>
      </c>
      <c r="O199" s="76" t="n">
        <v>0.2948846153846154</v>
      </c>
      <c r="P199" s="76" t="n">
        <v>0.2848846153846153</v>
      </c>
      <c r="Q199" s="76" t="n">
        <v>0.2750384615384615</v>
      </c>
      <c r="R199" s="76" t="n">
        <v>0.2777777777777777</v>
      </c>
      <c r="S199" s="76" t="n">
        <v>0.2756296296296297</v>
      </c>
      <c r="T199" s="76" t="n">
        <v>0.2626296296296297</v>
      </c>
      <c r="U199" s="76" t="n">
        <v>0.2488148148148148</v>
      </c>
      <c r="V199" s="76" t="n">
        <v>0.2378518518518518</v>
      </c>
      <c r="W199" s="76" t="n">
        <v>0.2237407407407407</v>
      </c>
      <c r="X199" s="76" t="n">
        <v>0.2217037037037037</v>
      </c>
      <c r="Y199" s="76" t="n">
        <v>0.2163333333333333</v>
      </c>
      <c r="Z199" s="76" t="n">
        <v>0.2089629629629629</v>
      </c>
      <c r="AA199" s="76" t="n">
        <v>0.2018518518518518</v>
      </c>
      <c r="AB199" s="76" t="n">
        <v>0.18564</v>
      </c>
      <c r="AC199" s="76" t="n">
        <v>0.18708</v>
      </c>
      <c r="AD199" s="76" t="n">
        <v>0.18844</v>
      </c>
      <c r="AE199" s="76" t="n">
        <v>0.18996</v>
      </c>
      <c r="AF199" s="76" t="n">
        <v>0.19132</v>
      </c>
      <c r="AG199" s="76" t="n">
        <v>0.19276</v>
      </c>
      <c r="AH199" s="76" t="n">
        <v>0.19324</v>
      </c>
      <c r="AI199" s="76" t="n">
        <v>0.19336</v>
      </c>
      <c r="AJ199" s="76" t="n">
        <v>0.19344</v>
      </c>
      <c r="AK199" s="76" t="n">
        <v>0.19336</v>
      </c>
      <c r="AL199" s="76" t="n">
        <v>0.19332</v>
      </c>
      <c r="AM199" s="76" t="n">
        <v>0.2010384615384615</v>
      </c>
      <c r="AN199" s="76" t="n">
        <v>0.2001538461538462</v>
      </c>
      <c r="AO199" s="76" t="n">
        <v>0.1987307692307692</v>
      </c>
      <c r="AP199" s="76" t="n">
        <v>0.1971538461538461</v>
      </c>
      <c r="AQ199" s="76" t="n">
        <v>0.1951923076923077</v>
      </c>
      <c r="AR199" s="76" t="n">
        <v>0.2358592233009709</v>
      </c>
    </row>
    <row r="200">
      <c r="A200" s="76" t="inlineStr">
        <is>
          <t>IN</t>
        </is>
      </c>
      <c r="B200" s="76" t="inlineStr">
        <is>
          <t>Battery</t>
        </is>
      </c>
      <c r="C200" s="76" t="n">
        <v>0</v>
      </c>
      <c r="D200" s="76" t="n">
        <v>-0.018</v>
      </c>
      <c r="E200" s="76" t="n">
        <v>-0.036</v>
      </c>
      <c r="F200" s="76" t="n">
        <v>-0.025</v>
      </c>
      <c r="G200" s="76" t="n">
        <v>-0.013</v>
      </c>
      <c r="H200" s="76" t="n">
        <v>-0.006</v>
      </c>
      <c r="I200" s="76" t="n">
        <v>-0.0055</v>
      </c>
      <c r="J200" s="76" t="n">
        <v>-0.002666666666666667</v>
      </c>
      <c r="K200" s="76" t="n">
        <v>-0.002</v>
      </c>
      <c r="L200" s="76" t="n">
        <v>-0.002666666666666667</v>
      </c>
      <c r="M200" s="76" t="n">
        <v>-0.003</v>
      </c>
      <c r="N200" s="76" t="n">
        <v>-0.006000000000000001</v>
      </c>
      <c r="O200" s="76" t="n">
        <v>-0.009333333333333334</v>
      </c>
      <c r="P200" s="76" t="n">
        <v>-0.02666666666666667</v>
      </c>
      <c r="Q200" s="76" t="n">
        <v>-0.04433333333333334</v>
      </c>
      <c r="R200" s="76" t="n">
        <v>-0.04466666666666667</v>
      </c>
      <c r="S200" s="76" t="n">
        <v>-0.04600000000000001</v>
      </c>
      <c r="T200" s="76" t="n">
        <v>-0.05233333333333334</v>
      </c>
      <c r="U200" s="76" t="n">
        <v>-0.05933333333333333</v>
      </c>
      <c r="V200" s="76" t="n">
        <v>-0.05566666666666667</v>
      </c>
      <c r="W200" s="76" t="n">
        <v>-0.05266666666666667</v>
      </c>
      <c r="X200" s="76" t="n">
        <v>-0.05633333333333334</v>
      </c>
      <c r="Y200" s="76" t="n">
        <v>-0.056</v>
      </c>
      <c r="Z200" s="76" t="n">
        <v>-0.05733333333333333</v>
      </c>
      <c r="AA200" s="76" t="n">
        <v>-0.057</v>
      </c>
      <c r="AB200" s="76" t="n">
        <v>-0.05633333333333333</v>
      </c>
      <c r="AC200" s="76" t="n">
        <v>-0.05933333333333333</v>
      </c>
      <c r="AD200" s="76" t="n">
        <v>-0.06266666666666666</v>
      </c>
      <c r="AE200" s="76" t="n">
        <v>-0.065</v>
      </c>
      <c r="AF200" s="76" t="n">
        <v>-0.06766666666666667</v>
      </c>
      <c r="AG200" s="76" t="n">
        <v>-0.07033333333333334</v>
      </c>
      <c r="AH200" s="76" t="n">
        <v>-0.07100000000000001</v>
      </c>
      <c r="AI200" s="76" t="n">
        <v>-0.07166666666666667</v>
      </c>
      <c r="AJ200" s="76" t="n">
        <v>-0.07166666666666667</v>
      </c>
      <c r="AK200" s="76" t="n">
        <v>-0.07200000000000001</v>
      </c>
      <c r="AL200" s="76" t="n">
        <v>-0.07233333333333335</v>
      </c>
      <c r="AM200" s="76" t="n">
        <v>-0.06733333333333334</v>
      </c>
      <c r="AN200" s="76" t="n">
        <v>-0.064</v>
      </c>
      <c r="AO200" s="76" t="n">
        <v>-0.06166666666666667</v>
      </c>
      <c r="AP200" s="76" t="n">
        <v>-0.06</v>
      </c>
      <c r="AQ200" s="76" t="n">
        <v>-0.059</v>
      </c>
      <c r="AR200" s="76" t="n">
        <v>-0.0466036036036036</v>
      </c>
    </row>
    <row r="201">
      <c r="A201" s="76" t="inlineStr">
        <is>
          <t>IN</t>
        </is>
      </c>
      <c r="B201" s="76" t="inlineStr">
        <is>
          <t>Biopower</t>
        </is>
      </c>
      <c r="C201" s="76" t="n">
        <v>0.522</v>
      </c>
      <c r="D201" s="76" t="n">
        <v>0.522</v>
      </c>
      <c r="E201" s="76" t="n">
        <v>0.522</v>
      </c>
      <c r="F201" s="76" t="n">
        <v>0.522</v>
      </c>
      <c r="G201" s="76" t="n">
        <v>0.522</v>
      </c>
      <c r="H201" s="76" t="n">
        <v>0.522</v>
      </c>
      <c r="I201" s="76" t="n">
        <v>0.522</v>
      </c>
      <c r="J201" s="76" t="n">
        <v>0.522</v>
      </c>
      <c r="K201" s="76" t="n">
        <v>0.522</v>
      </c>
      <c r="L201" s="76" t="n">
        <v>0.522</v>
      </c>
      <c r="M201" s="76" t="n">
        <v>0.522</v>
      </c>
      <c r="N201" s="76" t="n">
        <v>0.522</v>
      </c>
      <c r="O201" s="76" t="n">
        <v>0.522</v>
      </c>
      <c r="P201" s="76" t="n">
        <v>0.522</v>
      </c>
      <c r="Q201" s="76" t="n">
        <v>0.522</v>
      </c>
      <c r="R201" s="76" t="n">
        <v>0.522</v>
      </c>
      <c r="S201" s="76" t="n">
        <v>0.522</v>
      </c>
      <c r="T201" s="76" t="n">
        <v>0.522</v>
      </c>
      <c r="U201" s="76" t="n">
        <v>0.522</v>
      </c>
      <c r="V201" s="76" t="n">
        <v>0.522</v>
      </c>
      <c r="W201" s="76" t="n">
        <v>0.522</v>
      </c>
      <c r="X201" s="76" t="n">
        <v>0.522</v>
      </c>
      <c r="Y201" s="76" t="n">
        <v>0.522</v>
      </c>
      <c r="Z201" s="76" t="n">
        <v>0.5004999999999999</v>
      </c>
      <c r="AA201" s="76" t="n">
        <v>0.479</v>
      </c>
      <c r="AB201" s="76" t="n">
        <v>0.4575</v>
      </c>
      <c r="AC201" s="76" t="n">
        <v>0.4705</v>
      </c>
      <c r="AD201" s="76" t="n">
        <v>0.4835</v>
      </c>
      <c r="AE201" s="76" t="n">
        <v>0.4965</v>
      </c>
      <c r="AF201" s="76" t="n">
        <v>0.5095000000000001</v>
      </c>
      <c r="AG201" s="76" t="n">
        <v>0.522</v>
      </c>
      <c r="AH201" s="76" t="n">
        <v>0.5195000000000001</v>
      </c>
      <c r="AI201" s="76" t="n">
        <v>0.5165</v>
      </c>
      <c r="AJ201" s="76" t="n">
        <v>0.5135000000000001</v>
      </c>
      <c r="AK201" s="76" t="n">
        <v>0.51</v>
      </c>
      <c r="AL201" s="76" t="n">
        <v>0.507</v>
      </c>
      <c r="AM201" s="76" t="n">
        <v>0.492</v>
      </c>
      <c r="AN201" s="76" t="n">
        <v>0.4775</v>
      </c>
      <c r="AO201" s="76" t="n">
        <v>0.463</v>
      </c>
      <c r="AP201" s="76" t="n">
        <v>0.4485</v>
      </c>
      <c r="AQ201" s="76" t="n">
        <v>0.434</v>
      </c>
      <c r="AR201" s="76" t="n">
        <v>0.5074756097560972</v>
      </c>
    </row>
    <row r="202">
      <c r="A202" s="76" t="inlineStr">
        <is>
          <t>IN</t>
        </is>
      </c>
      <c r="B202" s="76" t="inlineStr">
        <is>
          <t>Coal</t>
        </is>
      </c>
      <c r="C202" s="76" t="n">
        <v>0.724</v>
      </c>
      <c r="D202" s="76" t="n">
        <v>0.6659999999999999</v>
      </c>
      <c r="E202" s="76" t="n">
        <v>0.6045</v>
      </c>
      <c r="F202" s="76" t="n">
        <v>0.698</v>
      </c>
      <c r="G202" s="76" t="n">
        <v>0.8075000000000001</v>
      </c>
      <c r="H202" s="76" t="n">
        <v>0.7705</v>
      </c>
      <c r="I202" s="76" t="n">
        <v>0.7204999999999999</v>
      </c>
      <c r="J202" s="76" t="n">
        <v>0.711</v>
      </c>
      <c r="K202" s="76" t="n">
        <v>0.702</v>
      </c>
      <c r="L202" s="76" t="n">
        <v>0.6695</v>
      </c>
      <c r="M202" s="76" t="n">
        <v>0.636</v>
      </c>
      <c r="N202" s="76" t="n">
        <v>0.6575</v>
      </c>
      <c r="O202" s="76" t="n">
        <v>0.7015</v>
      </c>
      <c r="P202" s="76" t="n">
        <v>0.7185</v>
      </c>
      <c r="Q202" s="76" t="n">
        <v>0.7384999999999999</v>
      </c>
      <c r="R202" s="76" t="n">
        <v>0.745</v>
      </c>
      <c r="S202" s="76" t="n">
        <v>0.7535000000000001</v>
      </c>
      <c r="T202" s="76" t="n">
        <v>0.6865</v>
      </c>
      <c r="U202" s="76" t="n">
        <v>0.6174999999999999</v>
      </c>
      <c r="V202" s="76" t="n">
        <v>0.532</v>
      </c>
      <c r="W202" s="76" t="n">
        <v>0.408</v>
      </c>
      <c r="X202" s="76" t="n">
        <v>0.385</v>
      </c>
      <c r="Y202" s="76" t="n">
        <v>0.313</v>
      </c>
      <c r="Z202" s="76" t="n">
        <v>0.313</v>
      </c>
      <c r="AA202" s="76" t="n">
        <v>0.313</v>
      </c>
      <c r="AB202" s="76" t="n"/>
      <c r="AC202" s="76" t="n"/>
      <c r="AD202" s="76" t="n"/>
      <c r="AE202" s="76" t="n"/>
      <c r="AF202" s="76" t="n"/>
      <c r="AG202" s="76" t="n"/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>
        <v>0.6236799999999999</v>
      </c>
    </row>
    <row r="203">
      <c r="A203" s="76" t="inlineStr">
        <is>
          <t>IN</t>
        </is>
      </c>
      <c r="B203" s="76" t="inlineStr">
        <is>
          <t>CSP</t>
        </is>
      </c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6" t="n"/>
      <c r="AC203" s="76" t="n"/>
      <c r="AD203" s="76" t="n"/>
      <c r="AE203" s="76" t="n"/>
      <c r="AF203" s="76" t="n"/>
      <c r="AG203" s="76" t="n"/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</row>
    <row r="204">
      <c r="A204" s="76" t="inlineStr">
        <is>
          <t>IN</t>
        </is>
      </c>
      <c r="B204" s="76" t="inlineStr">
        <is>
          <t>Dist PV</t>
        </is>
      </c>
      <c r="C204" s="76" t="n"/>
      <c r="D204" s="76" t="n"/>
      <c r="E204" s="76" t="n"/>
      <c r="F204" s="76" t="n">
        <v>0.16</v>
      </c>
      <c r="G204" s="76" t="n">
        <v>0.16</v>
      </c>
      <c r="H204" s="76" t="n">
        <v>0.16</v>
      </c>
      <c r="I204" s="76" t="n">
        <v>0.16</v>
      </c>
      <c r="J204" s="76" t="n">
        <v>0.16</v>
      </c>
      <c r="K204" s="76" t="n">
        <v>0.16</v>
      </c>
      <c r="L204" s="76" t="n">
        <v>0.16</v>
      </c>
      <c r="M204" s="76" t="n">
        <v>0.16</v>
      </c>
      <c r="N204" s="76" t="n">
        <v>0.16</v>
      </c>
      <c r="O204" s="76" t="n">
        <v>0.16</v>
      </c>
      <c r="P204" s="76" t="n">
        <v>0.1576666666666666</v>
      </c>
      <c r="Q204" s="76" t="n">
        <v>0.1556666666666666</v>
      </c>
      <c r="R204" s="76" t="n">
        <v>0.158</v>
      </c>
      <c r="S204" s="76" t="n">
        <v>0.16</v>
      </c>
      <c r="T204" s="76" t="n">
        <v>0.16</v>
      </c>
      <c r="U204" s="76" t="n">
        <v>0.16</v>
      </c>
      <c r="V204" s="76" t="n">
        <v>0.16</v>
      </c>
      <c r="W204" s="76" t="n">
        <v>0.16</v>
      </c>
      <c r="X204" s="76" t="n">
        <v>0.16</v>
      </c>
      <c r="Y204" s="76" t="n">
        <v>0.16</v>
      </c>
      <c r="Z204" s="76" t="n">
        <v>0.1503333333333333</v>
      </c>
      <c r="AA204" s="76" t="n">
        <v>0.143</v>
      </c>
      <c r="AB204" s="76" t="n">
        <v>0.1366666666666667</v>
      </c>
      <c r="AC204" s="76" t="n">
        <v>0.1376666666666667</v>
      </c>
      <c r="AD204" s="76" t="n">
        <v>0.1383333333333333</v>
      </c>
      <c r="AE204" s="76" t="n">
        <v>0.1393333333333333</v>
      </c>
      <c r="AF204" s="76" t="n">
        <v>0.1396666666666667</v>
      </c>
      <c r="AG204" s="76" t="n">
        <v>0.1403333333333333</v>
      </c>
      <c r="AH204" s="76" t="n">
        <v>0.1453333333333333</v>
      </c>
      <c r="AI204" s="76" t="n">
        <v>0.1496666666666667</v>
      </c>
      <c r="AJ204" s="76" t="n">
        <v>0.1533333333333333</v>
      </c>
      <c r="AK204" s="76" t="n">
        <v>0.1566666666666666</v>
      </c>
      <c r="AL204" s="76" t="n">
        <v>0.16</v>
      </c>
      <c r="AM204" s="76" t="n">
        <v>0.16</v>
      </c>
      <c r="AN204" s="76" t="n">
        <v>0.16</v>
      </c>
      <c r="AO204" s="76" t="n">
        <v>0.16</v>
      </c>
      <c r="AP204" s="76" t="n">
        <v>0.16</v>
      </c>
      <c r="AQ204" s="76" t="n">
        <v>0.16</v>
      </c>
      <c r="AR204" s="76" t="n">
        <v>0.154780701754386</v>
      </c>
    </row>
    <row r="205">
      <c r="A205" s="76" t="inlineStr">
        <is>
          <t>IN</t>
        </is>
      </c>
      <c r="B205" s="76" t="inlineStr">
        <is>
          <t>Gas CCGT</t>
        </is>
      </c>
      <c r="C205" s="76" t="n">
        <v>0.05133333333333333</v>
      </c>
      <c r="D205" s="76" t="n">
        <v>0.2916666666666667</v>
      </c>
      <c r="E205" s="76" t="n">
        <v>0.5316666666666667</v>
      </c>
      <c r="F205" s="76" t="n">
        <v>0.3773333333333334</v>
      </c>
      <c r="G205" s="76" t="n">
        <v>0.2233333333333334</v>
      </c>
      <c r="H205" s="76" t="n">
        <v>0.444</v>
      </c>
      <c r="I205" s="76" t="n">
        <v>0.6646666666666667</v>
      </c>
      <c r="J205" s="76" t="n">
        <v>0.6253333333333333</v>
      </c>
      <c r="K205" s="76" t="n">
        <v>0.5813333333333334</v>
      </c>
      <c r="L205" s="76" t="n">
        <v>0.6623333333333333</v>
      </c>
      <c r="M205" s="76" t="n">
        <v>0.7440000000000001</v>
      </c>
      <c r="N205" s="76" t="n">
        <v>0.6899999999999999</v>
      </c>
      <c r="O205" s="76" t="n">
        <v>0.6356666666666667</v>
      </c>
      <c r="P205" s="76" t="n">
        <v>0.6026666666666666</v>
      </c>
      <c r="Q205" s="76" t="n">
        <v>0.57</v>
      </c>
      <c r="R205" s="76" t="n">
        <v>0.5546666666666668</v>
      </c>
      <c r="S205" s="76" t="n">
        <v>0.5393333333333333</v>
      </c>
      <c r="T205" s="76" t="n">
        <v>0.4746666666666666</v>
      </c>
      <c r="U205" s="76" t="n">
        <v>0.4106666666666667</v>
      </c>
      <c r="V205" s="76" t="n">
        <v>0.364</v>
      </c>
      <c r="W205" s="76" t="n">
        <v>0.3176666666666667</v>
      </c>
      <c r="X205" s="76" t="n">
        <v>0.319</v>
      </c>
      <c r="Y205" s="76" t="n">
        <v>0.3203333333333333</v>
      </c>
      <c r="Z205" s="76" t="n">
        <v>0.286</v>
      </c>
      <c r="AA205" s="76" t="n">
        <v>0.251</v>
      </c>
      <c r="AB205" s="76" t="n">
        <v>0.2166666666666667</v>
      </c>
      <c r="AC205" s="76" t="n">
        <v>0.2223333333333334</v>
      </c>
      <c r="AD205" s="76" t="n">
        <v>0.2276666666666667</v>
      </c>
      <c r="AE205" s="76" t="n">
        <v>0.2333333333333333</v>
      </c>
      <c r="AF205" s="76" t="n">
        <v>0.239</v>
      </c>
      <c r="AG205" s="76" t="n">
        <v>0.2446666666666667</v>
      </c>
      <c r="AH205" s="76" t="n">
        <v>0.245</v>
      </c>
      <c r="AI205" s="76" t="n">
        <v>0.2453333333333333</v>
      </c>
      <c r="AJ205" s="76" t="n">
        <v>0.2456666666666667</v>
      </c>
      <c r="AK205" s="76" t="n">
        <v>0.2456666666666667</v>
      </c>
      <c r="AL205" s="76" t="n">
        <v>0.246</v>
      </c>
      <c r="AM205" s="76" t="n">
        <v>0.233</v>
      </c>
      <c r="AN205" s="76" t="n">
        <v>0.2196666666666667</v>
      </c>
      <c r="AO205" s="76" t="n">
        <v>0.206</v>
      </c>
      <c r="AP205" s="76" t="n">
        <v>0.193</v>
      </c>
      <c r="AQ205" s="76" t="n">
        <v>0.1793333333333333</v>
      </c>
      <c r="AR205" s="76" t="n">
        <v>0.3701219512195122</v>
      </c>
    </row>
    <row r="206">
      <c r="A206" s="76" t="inlineStr">
        <is>
          <t>IN</t>
        </is>
      </c>
      <c r="B206" s="76" t="inlineStr">
        <is>
          <t>Gas CT</t>
        </is>
      </c>
      <c r="C206" s="76" t="n">
        <v>0.003333333333333334</v>
      </c>
      <c r="D206" s="76" t="n">
        <v>0.003666666666666667</v>
      </c>
      <c r="E206" s="76" t="n">
        <v>0.004</v>
      </c>
      <c r="F206" s="76" t="n">
        <v>0.004333333333333334</v>
      </c>
      <c r="G206" s="76" t="n">
        <v>0.004</v>
      </c>
      <c r="H206" s="76" t="n">
        <v>0.007</v>
      </c>
      <c r="I206" s="76" t="n">
        <v>0.008999999999999999</v>
      </c>
      <c r="J206" s="76" t="n">
        <v>0.008999999999999999</v>
      </c>
      <c r="K206" s="76" t="n">
        <v>0.008999999999999999</v>
      </c>
      <c r="L206" s="76" t="n">
        <v>0.01333333333333334</v>
      </c>
      <c r="M206" s="76" t="n">
        <v>0.018</v>
      </c>
      <c r="N206" s="76" t="n">
        <v>0.01633333333333334</v>
      </c>
      <c r="O206" s="76" t="n">
        <v>0.01433333333333334</v>
      </c>
      <c r="P206" s="76" t="n">
        <v>0.015</v>
      </c>
      <c r="Q206" s="76" t="n">
        <v>0.01566666666666667</v>
      </c>
      <c r="R206" s="76" t="n">
        <v>0.01066666666666667</v>
      </c>
      <c r="S206" s="76" t="n">
        <v>0.005333333333333333</v>
      </c>
      <c r="T206" s="76" t="n">
        <v>0.005333333333333333</v>
      </c>
      <c r="U206" s="76" t="n">
        <v>0.005</v>
      </c>
      <c r="V206" s="76" t="n">
        <v>0.003</v>
      </c>
      <c r="W206" s="76" t="n">
        <v>0.001</v>
      </c>
      <c r="X206" s="76" t="n">
        <v>0.002666666666666667</v>
      </c>
      <c r="Y206" s="76" t="n">
        <v>0.004</v>
      </c>
      <c r="Z206" s="76" t="n">
        <v>0.003333333333333334</v>
      </c>
      <c r="AA206" s="76" t="n">
        <v>0.002666666666666667</v>
      </c>
      <c r="AB206" s="76" t="n">
        <v>0.002</v>
      </c>
      <c r="AC206" s="76" t="n">
        <v>0.003</v>
      </c>
      <c r="AD206" s="76" t="n">
        <v>0.003666666666666667</v>
      </c>
      <c r="AE206" s="76" t="n">
        <v>0.004333333333333334</v>
      </c>
      <c r="AF206" s="76" t="n">
        <v>0.005</v>
      </c>
      <c r="AG206" s="76" t="n">
        <v>0.005999999999999999</v>
      </c>
      <c r="AH206" s="76" t="n">
        <v>0.005999999999999999</v>
      </c>
      <c r="AI206" s="76" t="n">
        <v>0.005666666666666667</v>
      </c>
      <c r="AJ206" s="76" t="n">
        <v>0.005333333333333333</v>
      </c>
      <c r="AK206" s="76" t="n">
        <v>0.005333333333333333</v>
      </c>
      <c r="AL206" s="76" t="n">
        <v>0.005</v>
      </c>
      <c r="AM206" s="76" t="n">
        <v>0.004333333333333334</v>
      </c>
      <c r="AN206" s="76" t="n">
        <v>0.003666666666666667</v>
      </c>
      <c r="AO206" s="76" t="n">
        <v>0.003</v>
      </c>
      <c r="AP206" s="76" t="n">
        <v>0.001666666666666667</v>
      </c>
      <c r="AQ206" s="76" t="n">
        <v>0</v>
      </c>
      <c r="AR206" s="76" t="n">
        <v>0.006170731707317077</v>
      </c>
    </row>
    <row r="207">
      <c r="A207" s="76" t="inlineStr">
        <is>
          <t>IN</t>
        </is>
      </c>
      <c r="B207" s="76" t="inlineStr">
        <is>
          <t>Geothermal</t>
        </is>
      </c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  <c r="AA207" s="76" t="n"/>
      <c r="AB207" s="76" t="n"/>
      <c r="AC207" s="76" t="n"/>
      <c r="AD207" s="76" t="n"/>
      <c r="AE207" s="76" t="n"/>
      <c r="AF207" s="76" t="n"/>
      <c r="AG207" s="76" t="n"/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</row>
    <row r="208">
      <c r="A208" s="76" t="inlineStr">
        <is>
          <t>IN</t>
        </is>
      </c>
      <c r="B208" s="76" t="inlineStr">
        <is>
          <t>Hydro</t>
        </is>
      </c>
      <c r="C208" s="76" t="n">
        <v>0.5900000000000001</v>
      </c>
      <c r="D208" s="76" t="n">
        <v>0.5525</v>
      </c>
      <c r="E208" s="76" t="n">
        <v>0.516</v>
      </c>
      <c r="F208" s="76" t="n">
        <v>0.4785</v>
      </c>
      <c r="G208" s="76" t="n">
        <v>0.441</v>
      </c>
      <c r="H208" s="76" t="n">
        <v>0.4865</v>
      </c>
      <c r="I208" s="76" t="n">
        <v>0.5315</v>
      </c>
      <c r="J208" s="76" t="n">
        <v>0.5315</v>
      </c>
      <c r="K208" s="76" t="n">
        <v>0.5315</v>
      </c>
      <c r="L208" s="76" t="n">
        <v>0.5315</v>
      </c>
      <c r="M208" s="76" t="n">
        <v>0.5315</v>
      </c>
      <c r="N208" s="76" t="n">
        <v>0.5315</v>
      </c>
      <c r="O208" s="76" t="n">
        <v>0.5315</v>
      </c>
      <c r="P208" s="76" t="n">
        <v>0.5315</v>
      </c>
      <c r="Q208" s="76" t="n">
        <v>0.5315</v>
      </c>
      <c r="R208" s="76" t="n">
        <v>0.5315</v>
      </c>
      <c r="S208" s="76" t="n">
        <v>0.5315</v>
      </c>
      <c r="T208" s="76" t="n">
        <v>0.5315</v>
      </c>
      <c r="U208" s="76" t="n">
        <v>0.5315</v>
      </c>
      <c r="V208" s="76" t="n">
        <v>0.5315</v>
      </c>
      <c r="W208" s="76" t="n">
        <v>0.5315</v>
      </c>
      <c r="X208" s="76" t="n">
        <v>0.5315</v>
      </c>
      <c r="Y208" s="76" t="n">
        <v>0.5315</v>
      </c>
      <c r="Z208" s="76" t="n">
        <v>0.5315</v>
      </c>
      <c r="AA208" s="76" t="n">
        <v>0.5315</v>
      </c>
      <c r="AB208" s="76" t="n">
        <v>0.5315</v>
      </c>
      <c r="AC208" s="76" t="n">
        <v>0.5315</v>
      </c>
      <c r="AD208" s="76" t="n">
        <v>0.5315</v>
      </c>
      <c r="AE208" s="76" t="n">
        <v>0.5315</v>
      </c>
      <c r="AF208" s="76" t="n">
        <v>0.5315</v>
      </c>
      <c r="AG208" s="76" t="n">
        <v>0.5315</v>
      </c>
      <c r="AH208" s="76" t="n">
        <v>0.5315</v>
      </c>
      <c r="AI208" s="76" t="n">
        <v>0.5315</v>
      </c>
      <c r="AJ208" s="76" t="n">
        <v>0.5315</v>
      </c>
      <c r="AK208" s="76" t="n">
        <v>0.5315</v>
      </c>
      <c r="AL208" s="76" t="n">
        <v>0.5315</v>
      </c>
      <c r="AM208" s="76" t="n">
        <v>0.5315</v>
      </c>
      <c r="AN208" s="76" t="n">
        <v>0.5315</v>
      </c>
      <c r="AO208" s="76" t="n">
        <v>0.5315</v>
      </c>
      <c r="AP208" s="76" t="n">
        <v>0.5315</v>
      </c>
      <c r="AQ208" s="76" t="n">
        <v>0.5315</v>
      </c>
      <c r="AR208" s="76" t="n">
        <v>0.5284634146341465</v>
      </c>
    </row>
    <row r="209">
      <c r="A209" s="76" t="inlineStr">
        <is>
          <t>IN</t>
        </is>
      </c>
      <c r="B209" s="76" t="inlineStr">
        <is>
          <t>Nuclear</t>
        </is>
      </c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  <c r="AA209" s="76" t="n"/>
      <c r="AB209" s="76" t="n"/>
      <c r="AC209" s="76" t="n"/>
      <c r="AD209" s="76" t="n"/>
      <c r="AE209" s="76" t="n"/>
      <c r="AF209" s="76" t="n"/>
      <c r="AG209" s="76" t="n"/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</row>
    <row r="210">
      <c r="A210" s="76" t="inlineStr">
        <is>
          <t>IN</t>
        </is>
      </c>
      <c r="B210" s="76" t="inlineStr">
        <is>
          <t>Other</t>
        </is>
      </c>
      <c r="C210" s="76" t="n">
        <v>0</v>
      </c>
      <c r="D210" s="76" t="n">
        <v>0.01066666666666667</v>
      </c>
      <c r="E210" s="76" t="n">
        <v>0.02333333333333333</v>
      </c>
      <c r="F210" s="76" t="n">
        <v>0.012</v>
      </c>
      <c r="G210" s="76" t="n">
        <v>0</v>
      </c>
      <c r="H210" s="76" t="n">
        <v>0.023</v>
      </c>
      <c r="I210" s="76" t="n">
        <v>0.04666666666666667</v>
      </c>
      <c r="J210" s="76" t="n">
        <v>0.02733333333333333</v>
      </c>
      <c r="K210" s="76" t="n">
        <v>0</v>
      </c>
      <c r="L210" s="76" t="n">
        <v>0.1133333333333333</v>
      </c>
      <c r="M210" s="76" t="n">
        <v>0.226</v>
      </c>
      <c r="N210" s="76" t="n">
        <v>0.1713333333333333</v>
      </c>
      <c r="O210" s="76" t="n">
        <v>0.1076666666666667</v>
      </c>
      <c r="P210" s="76" t="n">
        <v>0.063</v>
      </c>
      <c r="Q210" s="76" t="n">
        <v>0.01733333333333333</v>
      </c>
      <c r="R210" s="76" t="n">
        <v>0.008666666666666666</v>
      </c>
      <c r="S210" s="76" t="n">
        <v>0</v>
      </c>
      <c r="T210" s="76" t="n">
        <v>0</v>
      </c>
      <c r="U210" s="76" t="n">
        <v>0</v>
      </c>
      <c r="V210" s="76" t="n">
        <v>0</v>
      </c>
      <c r="W210" s="76" t="n">
        <v>0</v>
      </c>
      <c r="X210" s="76" t="n">
        <v>0</v>
      </c>
      <c r="Y210" s="76" t="n">
        <v>0</v>
      </c>
      <c r="Z210" s="76" t="n">
        <v>0</v>
      </c>
      <c r="AA210" s="76" t="n">
        <v>0</v>
      </c>
      <c r="AB210" s="76" t="n">
        <v>0</v>
      </c>
      <c r="AC210" s="76" t="n">
        <v>0</v>
      </c>
      <c r="AD210" s="76" t="n">
        <v>0</v>
      </c>
      <c r="AE210" s="76" t="n">
        <v>0</v>
      </c>
      <c r="AF210" s="76" t="n">
        <v>0</v>
      </c>
      <c r="AG210" s="76" t="n">
        <v>0</v>
      </c>
      <c r="AH210" s="76" t="n">
        <v>0</v>
      </c>
      <c r="AI210" s="76" t="n">
        <v>0</v>
      </c>
      <c r="AJ210" s="76" t="n">
        <v>0</v>
      </c>
      <c r="AK210" s="76" t="n">
        <v>0</v>
      </c>
      <c r="AL210" s="76" t="n">
        <v>0</v>
      </c>
      <c r="AM210" s="76" t="n">
        <v>0</v>
      </c>
      <c r="AN210" s="76" t="n">
        <v>0</v>
      </c>
      <c r="AO210" s="76" t="n">
        <v>0</v>
      </c>
      <c r="AP210" s="76" t="n">
        <v>0</v>
      </c>
      <c r="AQ210" s="76" t="n">
        <v>0</v>
      </c>
      <c r="AR210" s="76" t="n">
        <v>0.02073983739837398</v>
      </c>
    </row>
    <row r="211">
      <c r="A211" s="76" t="inlineStr">
        <is>
          <t>IN</t>
        </is>
      </c>
      <c r="B211" s="76" t="inlineStr">
        <is>
          <t>Utility PV</t>
        </is>
      </c>
      <c r="C211" s="76" t="n"/>
      <c r="D211" s="76" t="n">
        <v>0.241</v>
      </c>
      <c r="E211" s="76" t="n">
        <v>0.241</v>
      </c>
      <c r="F211" s="76" t="n">
        <v>0.2376666666666667</v>
      </c>
      <c r="G211" s="76" t="n">
        <v>0.2373333333333333</v>
      </c>
      <c r="H211" s="76" t="n">
        <v>0.2363333333333333</v>
      </c>
      <c r="I211" s="76" t="n">
        <v>0.236</v>
      </c>
      <c r="J211" s="76" t="n">
        <v>0.2353333333333333</v>
      </c>
      <c r="K211" s="76" t="n">
        <v>0.2343333333333333</v>
      </c>
      <c r="L211" s="76" t="n">
        <v>0.2333333333333333</v>
      </c>
      <c r="M211" s="76" t="n">
        <v>0.2323333333333333</v>
      </c>
      <c r="N211" s="76" t="n">
        <v>0.235</v>
      </c>
      <c r="O211" s="76" t="n">
        <v>0.2346666666666667</v>
      </c>
      <c r="P211" s="76" t="n">
        <v>0.2336666666666667</v>
      </c>
      <c r="Q211" s="76" t="n">
        <v>0.2323333333333333</v>
      </c>
      <c r="R211" s="76" t="n">
        <v>0.2316666666666667</v>
      </c>
      <c r="S211" s="76" t="n">
        <v>0.2303333333333333</v>
      </c>
      <c r="T211" s="76" t="n">
        <v>0.2326666666666667</v>
      </c>
      <c r="U211" s="76" t="n">
        <v>0.232</v>
      </c>
      <c r="V211" s="76" t="n">
        <v>0.2303333333333334</v>
      </c>
      <c r="W211" s="76" t="n">
        <v>0.2283333333333334</v>
      </c>
      <c r="X211" s="76" t="n">
        <v>0.2273333333333334</v>
      </c>
      <c r="Y211" s="76" t="n">
        <v>0.226</v>
      </c>
      <c r="Z211" s="76" t="n">
        <v>0.2246666666666667</v>
      </c>
      <c r="AA211" s="76" t="n">
        <v>0.2226666666666667</v>
      </c>
      <c r="AB211" s="76" t="n">
        <v>0.2213333333333334</v>
      </c>
      <c r="AC211" s="76" t="n">
        <v>0.2203333333333334</v>
      </c>
      <c r="AD211" s="76" t="n">
        <v>0.2193333333333334</v>
      </c>
      <c r="AE211" s="76" t="n">
        <v>0.2186666666666667</v>
      </c>
      <c r="AF211" s="76" t="n">
        <v>0.2173333333333334</v>
      </c>
      <c r="AG211" s="76" t="n">
        <v>0.2163333333333333</v>
      </c>
      <c r="AH211" s="76" t="n">
        <v>0.2193333333333334</v>
      </c>
      <c r="AI211" s="76" t="n">
        <v>0.2206666666666667</v>
      </c>
      <c r="AJ211" s="76" t="n">
        <v>0.2213333333333334</v>
      </c>
      <c r="AK211" s="76" t="n">
        <v>0.222</v>
      </c>
      <c r="AL211" s="76" t="n">
        <v>0.2223333333333334</v>
      </c>
      <c r="AM211" s="76" t="n">
        <v>0.2216666666666667</v>
      </c>
      <c r="AN211" s="76" t="n">
        <v>0.2213333333333334</v>
      </c>
      <c r="AO211" s="76" t="n">
        <v>0.2206666666666667</v>
      </c>
      <c r="AP211" s="76" t="n">
        <v>0.2203333333333334</v>
      </c>
      <c r="AQ211" s="76" t="n">
        <v>0.22</v>
      </c>
      <c r="AR211" s="76" t="n">
        <v>0.2275084745762712</v>
      </c>
    </row>
    <row r="212">
      <c r="A212" s="76" t="inlineStr">
        <is>
          <t>IN</t>
        </is>
      </c>
      <c r="B212" s="76" t="inlineStr">
        <is>
          <t>Wind offshore</t>
        </is>
      </c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  <c r="AA212" s="76" t="n"/>
      <c r="AB212" s="76" t="n"/>
      <c r="AC212" s="76" t="n"/>
      <c r="AD212" s="76" t="n"/>
      <c r="AE212" s="76" t="n"/>
      <c r="AF212" s="76" t="n"/>
      <c r="AG212" s="76" t="n"/>
      <c r="AH212" s="76" t="n"/>
      <c r="AI212" s="76" t="n"/>
      <c r="AJ212" s="76" t="n"/>
      <c r="AK212" s="76" t="n"/>
      <c r="AL212" s="76" t="n"/>
      <c r="AM212" s="76" t="n">
        <v>0.405</v>
      </c>
      <c r="AN212" s="76" t="n">
        <v>0.405</v>
      </c>
      <c r="AO212" s="76" t="n">
        <v>0.405</v>
      </c>
      <c r="AP212" s="76" t="n">
        <v>0.405</v>
      </c>
      <c r="AQ212" s="76" t="n">
        <v>0.405</v>
      </c>
      <c r="AR212" s="76" t="n">
        <v>0.4050000000000001</v>
      </c>
    </row>
    <row r="213">
      <c r="A213" s="76" t="inlineStr">
        <is>
          <t>IN</t>
        </is>
      </c>
      <c r="B213" s="76" t="inlineStr">
        <is>
          <t>Wind onshore</t>
        </is>
      </c>
      <c r="C213" s="76" t="n">
        <v>0.311</v>
      </c>
      <c r="D213" s="76" t="n">
        <v>0.315</v>
      </c>
      <c r="E213" s="76" t="n">
        <v>0.318</v>
      </c>
      <c r="F213" s="76" t="n">
        <v>0.32</v>
      </c>
      <c r="G213" s="76" t="n">
        <v>0.322</v>
      </c>
      <c r="H213" s="76" t="n">
        <v>0.323</v>
      </c>
      <c r="I213" s="76" t="n">
        <v>0.323</v>
      </c>
      <c r="J213" s="76" t="n">
        <v>0.326</v>
      </c>
      <c r="K213" s="76" t="n">
        <v>0.327</v>
      </c>
      <c r="L213" s="76" t="n">
        <v>0.361</v>
      </c>
      <c r="M213" s="76" t="n">
        <v>0.364</v>
      </c>
      <c r="N213" s="76" t="n">
        <v>0.364</v>
      </c>
      <c r="O213" s="76" t="n">
        <v>0.364</v>
      </c>
      <c r="P213" s="76" t="n">
        <v>0.3635</v>
      </c>
      <c r="Q213" s="76" t="n">
        <v>0.3635</v>
      </c>
      <c r="R213" s="76" t="n">
        <v>0.382</v>
      </c>
      <c r="S213" s="76" t="n">
        <v>0.387</v>
      </c>
      <c r="T213" s="76" t="n">
        <v>0.3833333333333333</v>
      </c>
      <c r="U213" s="76" t="n">
        <v>0.377</v>
      </c>
      <c r="V213" s="76" t="n">
        <v>0.3820000000000001</v>
      </c>
      <c r="W213" s="76" t="n">
        <v>0.385</v>
      </c>
      <c r="X213" s="76" t="n">
        <v>0.3836666666666667</v>
      </c>
      <c r="Y213" s="76" t="n">
        <v>0.3816666666666667</v>
      </c>
      <c r="Z213" s="76" t="n">
        <v>0.3770000000000001</v>
      </c>
      <c r="AA213" s="76" t="n">
        <v>0.3720000000000001</v>
      </c>
      <c r="AB213" s="76" t="n">
        <v>0.3673333333333333</v>
      </c>
      <c r="AC213" s="76" t="n">
        <v>0.367</v>
      </c>
      <c r="AD213" s="76" t="n">
        <v>0.3673333333333333</v>
      </c>
      <c r="AE213" s="76" t="n">
        <v>0.367</v>
      </c>
      <c r="AF213" s="76" t="n">
        <v>0.367</v>
      </c>
      <c r="AG213" s="76" t="n">
        <v>0.367</v>
      </c>
      <c r="AH213" s="76" t="n">
        <v>0.365</v>
      </c>
      <c r="AI213" s="76" t="n">
        <v>0.363</v>
      </c>
      <c r="AJ213" s="76" t="n">
        <v>0.3613333333333333</v>
      </c>
      <c r="AK213" s="76" t="n">
        <v>0.3593333333333333</v>
      </c>
      <c r="AL213" s="76" t="n">
        <v>0.3576666666666666</v>
      </c>
      <c r="AM213" s="76" t="n">
        <v>0.3733333333333334</v>
      </c>
      <c r="AN213" s="76" t="n">
        <v>0.3863333333333334</v>
      </c>
      <c r="AO213" s="76" t="n">
        <v>0.3963333333333334</v>
      </c>
      <c r="AP213" s="76" t="n">
        <v>0.4053333333333334</v>
      </c>
      <c r="AQ213" s="76" t="n">
        <v>0.4126666666666667</v>
      </c>
      <c r="AR213" s="76" t="n">
        <v>0.369959595959596</v>
      </c>
    </row>
    <row r="214">
      <c r="A214" s="76" t="inlineStr">
        <is>
          <t>KS</t>
        </is>
      </c>
      <c r="B214" s="76" t="inlineStr">
        <is>
          <t>KS</t>
        </is>
      </c>
      <c r="C214" s="76" t="n">
        <v>0.35425</v>
      </c>
      <c r="D214" s="76" t="n">
        <v>0.3640833333333333</v>
      </c>
      <c r="E214" s="76" t="n">
        <v>0.3727500000000001</v>
      </c>
      <c r="F214" s="76" t="n">
        <v>0.3455714285714285</v>
      </c>
      <c r="G214" s="76" t="n">
        <v>0.3449999999999999</v>
      </c>
      <c r="H214" s="76" t="n">
        <v>0.3703333333333333</v>
      </c>
      <c r="I214" s="76" t="n">
        <v>0.3824</v>
      </c>
      <c r="J214" s="76" t="n">
        <v>0.3748124999999999</v>
      </c>
      <c r="K214" s="76" t="n">
        <v>0.3731874999999999</v>
      </c>
      <c r="L214" s="76" t="n">
        <v>0.370125</v>
      </c>
      <c r="M214" s="76" t="n">
        <v>0.366125</v>
      </c>
      <c r="N214" s="76" t="n">
        <v>0.3603125</v>
      </c>
      <c r="O214" s="76" t="n">
        <v>0.3538749999999999</v>
      </c>
      <c r="P214" s="76" t="n">
        <v>0.3459375</v>
      </c>
      <c r="Q214" s="76" t="n">
        <v>0.3379999999999999</v>
      </c>
      <c r="R214" s="76" t="n">
        <v>0.2817222222222223</v>
      </c>
      <c r="S214" s="76" t="n">
        <v>0.2486470588235294</v>
      </c>
      <c r="T214" s="76" t="n">
        <v>0.2422941176470589</v>
      </c>
      <c r="U214" s="76" t="n">
        <v>0.2364705882352941</v>
      </c>
      <c r="V214" s="76" t="n">
        <v>0.2338235294117647</v>
      </c>
      <c r="W214" s="76" t="n">
        <v>0.2314117647058824</v>
      </c>
      <c r="X214" s="76" t="n">
        <v>0.2262352941176471</v>
      </c>
      <c r="Y214" s="76" t="n">
        <v>0.2211764705882353</v>
      </c>
      <c r="Z214" s="76" t="n">
        <v>0.2198235294117647</v>
      </c>
      <c r="AA214" s="76" t="n">
        <v>0.2182941176470588</v>
      </c>
      <c r="AB214" s="76" t="n">
        <v>0.2154375</v>
      </c>
      <c r="AC214" s="76" t="n">
        <v>0.215875</v>
      </c>
      <c r="AD214" s="76" t="n">
        <v>0.2163125</v>
      </c>
      <c r="AE214" s="76" t="n">
        <v>0.2168125</v>
      </c>
      <c r="AF214" s="76" t="n">
        <v>0.2173125</v>
      </c>
      <c r="AG214" s="76" t="n">
        <v>0.2178125</v>
      </c>
      <c r="AH214" s="76" t="n">
        <v>0.218875</v>
      </c>
      <c r="AI214" s="76" t="n">
        <v>0.2198125</v>
      </c>
      <c r="AJ214" s="76" t="n">
        <v>0.22075</v>
      </c>
      <c r="AK214" s="76" t="n">
        <v>0.2215625</v>
      </c>
      <c r="AL214" s="76" t="n">
        <v>0.1772</v>
      </c>
      <c r="AM214" s="76" t="n">
        <v>0.1750666666666666</v>
      </c>
      <c r="AN214" s="76" t="n">
        <v>0.1740666666666666</v>
      </c>
      <c r="AO214" s="76" t="n">
        <v>0.1735333333333333</v>
      </c>
      <c r="AP214" s="76" t="n">
        <v>0.1731333333333333</v>
      </c>
      <c r="AQ214" s="76" t="n">
        <v>0.1726</v>
      </c>
      <c r="AR214" s="76" t="n">
        <v>0.2661632970451011</v>
      </c>
    </row>
    <row r="215">
      <c r="A215" s="76" t="inlineStr">
        <is>
          <t>KS</t>
        </is>
      </c>
      <c r="B215" s="76" t="inlineStr">
        <is>
          <t>Battery</t>
        </is>
      </c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>
        <v>-0.061</v>
      </c>
      <c r="S215" s="76" t="n">
        <v>-0.061</v>
      </c>
      <c r="T215" s="76" t="n">
        <v>-0.066</v>
      </c>
      <c r="U215" s="76" t="n">
        <v>-0.0675</v>
      </c>
      <c r="V215" s="76" t="n">
        <v>-0.0675</v>
      </c>
      <c r="W215" s="76" t="n">
        <v>-0.068</v>
      </c>
      <c r="X215" s="76" t="n">
        <v>-0.06850000000000001</v>
      </c>
      <c r="Y215" s="76" t="n">
        <v>-0.07000000000000001</v>
      </c>
      <c r="Z215" s="76" t="n">
        <v>-0.07100000000000001</v>
      </c>
      <c r="AA215" s="76" t="n">
        <v>-0.0725</v>
      </c>
      <c r="AB215" s="76" t="n">
        <v>-0.0735</v>
      </c>
      <c r="AC215" s="76" t="n">
        <v>-0.074</v>
      </c>
      <c r="AD215" s="76" t="n">
        <v>-0.074</v>
      </c>
      <c r="AE215" s="76" t="n">
        <v>-0.074</v>
      </c>
      <c r="AF215" s="76" t="n">
        <v>-0.0745</v>
      </c>
      <c r="AG215" s="76" t="n">
        <v>-0.0745</v>
      </c>
      <c r="AH215" s="76" t="n">
        <v>-0.0735</v>
      </c>
      <c r="AI215" s="76" t="n">
        <v>-0.0725</v>
      </c>
      <c r="AJ215" s="76" t="n">
        <v>-0.07199999999999999</v>
      </c>
      <c r="AK215" s="76" t="n">
        <v>-0.07099999999999999</v>
      </c>
      <c r="AL215" s="76" t="n">
        <v>-0.07000000000000001</v>
      </c>
      <c r="AM215" s="76" t="n">
        <v>-0.06950000000000001</v>
      </c>
      <c r="AN215" s="76" t="n">
        <v>-0.06900000000000001</v>
      </c>
      <c r="AO215" s="76" t="n">
        <v>-0.068</v>
      </c>
      <c r="AP215" s="76" t="n">
        <v>-0.067</v>
      </c>
      <c r="AQ215" s="76" t="n">
        <v>-0.066</v>
      </c>
      <c r="AR215" s="76" t="n">
        <v>-0.06984615384615385</v>
      </c>
    </row>
    <row r="216">
      <c r="A216" s="76" t="inlineStr">
        <is>
          <t>KS</t>
        </is>
      </c>
      <c r="B216" s="76" t="inlineStr">
        <is>
          <t>Biopower</t>
        </is>
      </c>
      <c r="C216" s="76" t="n">
        <v>0.522</v>
      </c>
      <c r="D216" s="76" t="n">
        <v>0.522</v>
      </c>
      <c r="E216" s="76" t="n">
        <v>0.522</v>
      </c>
      <c r="F216" s="76" t="n">
        <v>0.522</v>
      </c>
      <c r="G216" s="76" t="n">
        <v>0.522</v>
      </c>
      <c r="H216" s="76" t="n">
        <v>0.522</v>
      </c>
      <c r="I216" s="76" t="n">
        <v>0.522</v>
      </c>
      <c r="J216" s="76" t="n">
        <v>0.522</v>
      </c>
      <c r="K216" s="76" t="n">
        <v>0.522</v>
      </c>
      <c r="L216" s="76" t="n">
        <v>0.522</v>
      </c>
      <c r="M216" s="76" t="n">
        <v>0.522</v>
      </c>
      <c r="N216" s="76" t="n">
        <v>0.522</v>
      </c>
      <c r="O216" s="76" t="n">
        <v>0.522</v>
      </c>
      <c r="P216" s="76" t="n">
        <v>0.522</v>
      </c>
      <c r="Q216" s="76" t="n">
        <v>0.522</v>
      </c>
      <c r="R216" s="76" t="n">
        <v>0.522</v>
      </c>
      <c r="S216" s="76" t="n">
        <v>0.522</v>
      </c>
      <c r="T216" s="76" t="n">
        <v>0.522</v>
      </c>
      <c r="U216" s="76" t="n">
        <v>0.522</v>
      </c>
      <c r="V216" s="76" t="n">
        <v>0.522</v>
      </c>
      <c r="W216" s="76" t="n">
        <v>0.522</v>
      </c>
      <c r="X216" s="76" t="n">
        <v>0.522</v>
      </c>
      <c r="Y216" s="76" t="n">
        <v>0.522</v>
      </c>
      <c r="Z216" s="76" t="n">
        <v>0.497</v>
      </c>
      <c r="AA216" s="76" t="n">
        <v>0.472</v>
      </c>
      <c r="AB216" s="76" t="n">
        <v>0.447</v>
      </c>
      <c r="AC216" s="76" t="n">
        <v>0.462</v>
      </c>
      <c r="AD216" s="76" t="n">
        <v>0.477</v>
      </c>
      <c r="AE216" s="76" t="n">
        <v>0.492</v>
      </c>
      <c r="AF216" s="76" t="n">
        <v>0.507</v>
      </c>
      <c r="AG216" s="76" t="n">
        <v>0.522</v>
      </c>
      <c r="AH216" s="76" t="n">
        <v>0.522</v>
      </c>
      <c r="AI216" s="76" t="n">
        <v>0.522</v>
      </c>
      <c r="AJ216" s="76" t="n">
        <v>0.522</v>
      </c>
      <c r="AK216" s="76" t="n">
        <v>0.522</v>
      </c>
      <c r="AL216" s="76" t="n">
        <v>0.522</v>
      </c>
      <c r="AM216" s="76" t="n">
        <v>0.497</v>
      </c>
      <c r="AN216" s="76" t="n">
        <v>0.471</v>
      </c>
      <c r="AO216" s="76" t="n">
        <v>0.445</v>
      </c>
      <c r="AP216" s="76" t="n">
        <v>0.419</v>
      </c>
      <c r="AQ216" s="76" t="n">
        <v>0.393</v>
      </c>
      <c r="AR216" s="76" t="n">
        <v>0.5052926829268292</v>
      </c>
    </row>
    <row r="217">
      <c r="A217" s="76" t="inlineStr">
        <is>
          <t>KS</t>
        </is>
      </c>
      <c r="B217" s="76" t="inlineStr">
        <is>
          <t>Coal</t>
        </is>
      </c>
      <c r="C217" s="76" t="n">
        <v>0.829</v>
      </c>
      <c r="D217" s="76" t="n">
        <v>0.8205</v>
      </c>
      <c r="E217" s="76" t="n">
        <v>0.8109999999999999</v>
      </c>
      <c r="F217" s="76" t="n">
        <v>0.8220000000000001</v>
      </c>
      <c r="G217" s="76" t="n">
        <v>0.8385</v>
      </c>
      <c r="H217" s="76" t="n">
        <v>0.7945</v>
      </c>
      <c r="I217" s="76" t="n">
        <v>0.748</v>
      </c>
      <c r="J217" s="76" t="n">
        <v>0.792</v>
      </c>
      <c r="K217" s="76" t="n">
        <v>0.8354999999999999</v>
      </c>
      <c r="L217" s="76" t="n">
        <v>0.7544999999999999</v>
      </c>
      <c r="M217" s="76" t="n">
        <v>0.666</v>
      </c>
      <c r="N217" s="76" t="n">
        <v>0.661</v>
      </c>
      <c r="O217" s="76" t="n">
        <v>0.6555</v>
      </c>
      <c r="P217" s="76" t="n">
        <v>0.6294999999999999</v>
      </c>
      <c r="Q217" s="76" t="n">
        <v>0.6034999999999999</v>
      </c>
      <c r="R217" s="76" t="n">
        <v>0.595</v>
      </c>
      <c r="S217" s="76" t="n">
        <v>0.542</v>
      </c>
      <c r="T217" s="76" t="n">
        <v>0.511</v>
      </c>
      <c r="U217" s="76" t="n">
        <v>0.48</v>
      </c>
      <c r="V217" s="76" t="n">
        <v>0.416</v>
      </c>
      <c r="W217" s="76" t="n">
        <v>0.353</v>
      </c>
      <c r="X217" s="76" t="n">
        <v>0.295</v>
      </c>
      <c r="Y217" s="76" t="n">
        <v>0.237</v>
      </c>
      <c r="Z217" s="76" t="n">
        <v>0.237</v>
      </c>
      <c r="AA217" s="76" t="n">
        <v>0.237</v>
      </c>
      <c r="AB217" s="76" t="n"/>
      <c r="AC217" s="76" t="n"/>
      <c r="AD217" s="76" t="n"/>
      <c r="AE217" s="76" t="n"/>
      <c r="AF217" s="76" t="n"/>
      <c r="AG217" s="76" t="n"/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>
        <v>0.6590243902439024</v>
      </c>
    </row>
    <row r="218">
      <c r="A218" s="76" t="inlineStr">
        <is>
          <t>KS</t>
        </is>
      </c>
      <c r="B218" s="76" t="inlineStr">
        <is>
          <t>CSP</t>
        </is>
      </c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  <c r="AA218" s="76" t="n"/>
      <c r="AB218" s="76" t="n"/>
      <c r="AC218" s="76" t="n"/>
      <c r="AD218" s="76" t="n"/>
      <c r="AE218" s="76" t="n"/>
      <c r="AF218" s="76" t="n"/>
      <c r="AG218" s="76" t="n"/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</row>
    <row r="219">
      <c r="A219" s="76" t="inlineStr">
        <is>
          <t>KS</t>
        </is>
      </c>
      <c r="B219" s="76" t="inlineStr">
        <is>
          <t>Dist PV</t>
        </is>
      </c>
      <c r="C219" s="76" t="n"/>
      <c r="D219" s="76" t="n"/>
      <c r="E219" s="76" t="n"/>
      <c r="F219" s="76" t="n">
        <v>0.1915</v>
      </c>
      <c r="G219" s="76" t="n">
        <v>0.1915</v>
      </c>
      <c r="H219" s="76" t="n">
        <v>0.1915</v>
      </c>
      <c r="I219" s="76" t="n">
        <v>0.1915</v>
      </c>
      <c r="J219" s="76" t="n">
        <v>0.1915</v>
      </c>
      <c r="K219" s="76" t="n">
        <v>0.1915</v>
      </c>
      <c r="L219" s="76" t="n">
        <v>0.1915</v>
      </c>
      <c r="M219" s="76" t="n">
        <v>0.1915</v>
      </c>
      <c r="N219" s="76" t="n">
        <v>0.1915</v>
      </c>
      <c r="O219" s="76" t="n">
        <v>0.1915</v>
      </c>
      <c r="P219" s="76" t="n">
        <v>0.1915</v>
      </c>
      <c r="Q219" s="76" t="n">
        <v>0.1915</v>
      </c>
      <c r="R219" s="76" t="n">
        <v>0.1915</v>
      </c>
      <c r="S219" s="76" t="n">
        <v>0.1915</v>
      </c>
      <c r="T219" s="76" t="n">
        <v>0.1915</v>
      </c>
      <c r="U219" s="76" t="n">
        <v>0.1915</v>
      </c>
      <c r="V219" s="76" t="n">
        <v>0.1915</v>
      </c>
      <c r="W219" s="76" t="n">
        <v>0.1915</v>
      </c>
      <c r="X219" s="76" t="n">
        <v>0.1875</v>
      </c>
      <c r="Y219" s="76" t="n">
        <v>0.1845</v>
      </c>
      <c r="Z219" s="76" t="n">
        <v>0.187</v>
      </c>
      <c r="AA219" s="76" t="n">
        <v>0.1895</v>
      </c>
      <c r="AB219" s="76" t="n">
        <v>0.1915</v>
      </c>
      <c r="AC219" s="76" t="n">
        <v>0.188</v>
      </c>
      <c r="AD219" s="76" t="n">
        <v>0.1845</v>
      </c>
      <c r="AE219" s="76" t="n">
        <v>0.1815</v>
      </c>
      <c r="AF219" s="76" t="n">
        <v>0.179</v>
      </c>
      <c r="AG219" s="76" t="n">
        <v>0.1765</v>
      </c>
      <c r="AH219" s="76" t="n">
        <v>0.1805</v>
      </c>
      <c r="AI219" s="76" t="n">
        <v>0.1835</v>
      </c>
      <c r="AJ219" s="76" t="n">
        <v>0.1865</v>
      </c>
      <c r="AK219" s="76" t="n">
        <v>0.189</v>
      </c>
      <c r="AL219" s="76" t="n">
        <v>0.1915</v>
      </c>
      <c r="AM219" s="76" t="n">
        <v>0.1915</v>
      </c>
      <c r="AN219" s="76" t="n">
        <v>0.1915</v>
      </c>
      <c r="AO219" s="76" t="n">
        <v>0.1915</v>
      </c>
      <c r="AP219" s="76" t="n">
        <v>0.1915</v>
      </c>
      <c r="AQ219" s="76" t="n">
        <v>0.1915</v>
      </c>
      <c r="AR219" s="76" t="n">
        <v>0.1890789473684212</v>
      </c>
    </row>
    <row r="220">
      <c r="A220" s="76" t="inlineStr">
        <is>
          <t>KS</t>
        </is>
      </c>
      <c r="B220" s="76" t="inlineStr">
        <is>
          <t>Gas CCGT</t>
        </is>
      </c>
      <c r="C220" s="76" t="n">
        <v>0.026</v>
      </c>
      <c r="D220" s="76" t="n">
        <v>0.139</v>
      </c>
      <c r="E220" s="76" t="n">
        <v>0.251</v>
      </c>
      <c r="F220" s="76" t="n">
        <v>0.187</v>
      </c>
      <c r="G220" s="76" t="n">
        <v>0.124</v>
      </c>
      <c r="H220" s="76" t="n">
        <v>0.623</v>
      </c>
      <c r="I220" s="76" t="n">
        <v>0.902</v>
      </c>
      <c r="J220" s="76" t="n">
        <v>0.791</v>
      </c>
      <c r="K220" s="76" t="n">
        <v>0.68</v>
      </c>
      <c r="L220" s="76" t="n">
        <v>0.791</v>
      </c>
      <c r="M220" s="76" t="n">
        <v>0.902</v>
      </c>
      <c r="N220" s="76" t="n">
        <v>0.839</v>
      </c>
      <c r="O220" s="76" t="n">
        <v>0.776</v>
      </c>
      <c r="P220" s="76" t="n">
        <v>0.719</v>
      </c>
      <c r="Q220" s="76" t="n">
        <v>0.662</v>
      </c>
      <c r="R220" s="76" t="n">
        <v>0.486</v>
      </c>
      <c r="S220" s="76" t="n">
        <v>0.311</v>
      </c>
      <c r="T220" s="76" t="n">
        <v>0.239</v>
      </c>
      <c r="U220" s="76" t="n">
        <v>0.168</v>
      </c>
      <c r="V220" s="76" t="n">
        <v>0.173</v>
      </c>
      <c r="W220" s="76" t="n">
        <v>0.179</v>
      </c>
      <c r="X220" s="76" t="n">
        <v>0.175</v>
      </c>
      <c r="Y220" s="76" t="n">
        <v>0.172</v>
      </c>
      <c r="Z220" s="76" t="n">
        <v>0.165</v>
      </c>
      <c r="AA220" s="76" t="n">
        <v>0.159</v>
      </c>
      <c r="AB220" s="76" t="n">
        <v>0.152</v>
      </c>
      <c r="AC220" s="76" t="n">
        <v>0.136</v>
      </c>
      <c r="AD220" s="76" t="n">
        <v>0.119</v>
      </c>
      <c r="AE220" s="76" t="n">
        <v>0.103</v>
      </c>
      <c r="AF220" s="76" t="n">
        <v>0.08699999999999999</v>
      </c>
      <c r="AG220" s="76" t="n">
        <v>0.07000000000000001</v>
      </c>
      <c r="AH220" s="76" t="n">
        <v>0.068</v>
      </c>
      <c r="AI220" s="76" t="n">
        <v>0.065</v>
      </c>
      <c r="AJ220" s="76" t="n">
        <v>0.063</v>
      </c>
      <c r="AK220" s="76" t="n">
        <v>0.06</v>
      </c>
      <c r="AL220" s="76" t="n">
        <v>0.058</v>
      </c>
      <c r="AM220" s="76" t="n">
        <v>0.077</v>
      </c>
      <c r="AN220" s="76" t="n">
        <v>0.096</v>
      </c>
      <c r="AO220" s="76" t="n">
        <v>0.116</v>
      </c>
      <c r="AP220" s="76" t="n">
        <v>0.135</v>
      </c>
      <c r="AQ220" s="76" t="n">
        <v>0.154</v>
      </c>
      <c r="AR220" s="76" t="n">
        <v>0.2975121951219512</v>
      </c>
    </row>
    <row r="221">
      <c r="A221" s="76" t="inlineStr">
        <is>
          <t>KS</t>
        </is>
      </c>
      <c r="B221" s="76" t="inlineStr">
        <is>
          <t>Gas CT</t>
        </is>
      </c>
      <c r="C221" s="76" t="n">
        <v>0.001</v>
      </c>
      <c r="D221" s="76" t="n">
        <v>0.002</v>
      </c>
      <c r="E221" s="76" t="n">
        <v>0.0035</v>
      </c>
      <c r="F221" s="76" t="n">
        <v>0.004500000000000001</v>
      </c>
      <c r="G221" s="76" t="n">
        <v>0.005</v>
      </c>
      <c r="H221" s="76" t="n">
        <v>0.005</v>
      </c>
      <c r="I221" s="76" t="n">
        <v>0.005</v>
      </c>
      <c r="J221" s="76" t="n">
        <v>0.004500000000000001</v>
      </c>
      <c r="K221" s="76" t="n">
        <v>0.005</v>
      </c>
      <c r="L221" s="76" t="n">
        <v>0.0055</v>
      </c>
      <c r="M221" s="76" t="n">
        <v>0.0065</v>
      </c>
      <c r="N221" s="76" t="n">
        <v>0.005</v>
      </c>
      <c r="O221" s="76" t="n">
        <v>0.0035</v>
      </c>
      <c r="P221" s="76" t="n">
        <v>0.0025</v>
      </c>
      <c r="Q221" s="76" t="n">
        <v>0.0015</v>
      </c>
      <c r="R221" s="76" t="n">
        <v>0.001</v>
      </c>
      <c r="S221" s="76" t="n">
        <v>0.0005</v>
      </c>
      <c r="T221" s="76" t="n">
        <v>0</v>
      </c>
      <c r="U221" s="76" t="n">
        <v>0</v>
      </c>
      <c r="V221" s="76" t="n">
        <v>0</v>
      </c>
      <c r="W221" s="76" t="n">
        <v>0</v>
      </c>
      <c r="X221" s="76" t="n">
        <v>0</v>
      </c>
      <c r="Y221" s="76" t="n">
        <v>0</v>
      </c>
      <c r="Z221" s="76" t="n">
        <v>0</v>
      </c>
      <c r="AA221" s="76" t="n">
        <v>0</v>
      </c>
      <c r="AB221" s="76" t="n">
        <v>0</v>
      </c>
      <c r="AC221" s="76" t="n">
        <v>0</v>
      </c>
      <c r="AD221" s="76" t="n">
        <v>0</v>
      </c>
      <c r="AE221" s="76" t="n">
        <v>0</v>
      </c>
      <c r="AF221" s="76" t="n">
        <v>0</v>
      </c>
      <c r="AG221" s="76" t="n">
        <v>0</v>
      </c>
      <c r="AH221" s="76" t="n">
        <v>0</v>
      </c>
      <c r="AI221" s="76" t="n">
        <v>0</v>
      </c>
      <c r="AJ221" s="76" t="n">
        <v>0</v>
      </c>
      <c r="AK221" s="76" t="n">
        <v>0</v>
      </c>
      <c r="AL221" s="76" t="n">
        <v>0</v>
      </c>
      <c r="AM221" s="76" t="n">
        <v>0</v>
      </c>
      <c r="AN221" s="76" t="n">
        <v>0</v>
      </c>
      <c r="AO221" s="76" t="n">
        <v>0</v>
      </c>
      <c r="AP221" s="76" t="n">
        <v>0</v>
      </c>
      <c r="AQ221" s="76" t="n">
        <v>0</v>
      </c>
      <c r="AR221" s="76" t="n">
        <v>0.0015</v>
      </c>
    </row>
    <row r="222">
      <c r="A222" s="76" t="inlineStr">
        <is>
          <t>KS</t>
        </is>
      </c>
      <c r="B222" s="76" t="inlineStr">
        <is>
          <t>Geothermal</t>
        </is>
      </c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  <c r="AA222" s="76" t="n"/>
      <c r="AB222" s="76" t="n"/>
      <c r="AC222" s="76" t="n"/>
      <c r="AD222" s="76" t="n"/>
      <c r="AE222" s="76" t="n"/>
      <c r="AF222" s="76" t="n"/>
      <c r="AG222" s="76" t="n"/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</row>
    <row r="223">
      <c r="A223" s="76" t="inlineStr">
        <is>
          <t>KS</t>
        </is>
      </c>
      <c r="B223" s="76" t="inlineStr">
        <is>
          <t>Hydro</t>
        </is>
      </c>
      <c r="C223" s="76" t="n">
        <v>0.534</v>
      </c>
      <c r="D223" s="76" t="n">
        <v>0.508</v>
      </c>
      <c r="E223" s="76" t="n">
        <v>0.499</v>
      </c>
      <c r="F223" s="76" t="n">
        <v>0.52</v>
      </c>
      <c r="G223" s="76" t="n">
        <v>0.54</v>
      </c>
      <c r="H223" s="76" t="n">
        <v>0.518</v>
      </c>
      <c r="I223" s="76" t="n">
        <v>0.496</v>
      </c>
      <c r="J223" s="76" t="n">
        <v>0.496</v>
      </c>
      <c r="K223" s="76" t="n">
        <v>0.496</v>
      </c>
      <c r="L223" s="76" t="n">
        <v>0.496</v>
      </c>
      <c r="M223" s="76" t="n">
        <v>0.496</v>
      </c>
      <c r="N223" s="76" t="n">
        <v>0.496</v>
      </c>
      <c r="O223" s="76" t="n">
        <v>0.496</v>
      </c>
      <c r="P223" s="76" t="n">
        <v>0.496</v>
      </c>
      <c r="Q223" s="76" t="n">
        <v>0.496</v>
      </c>
      <c r="R223" s="76" t="n">
        <v>0.496</v>
      </c>
      <c r="S223" s="76" t="n">
        <v>0.496</v>
      </c>
      <c r="T223" s="76" t="n">
        <v>0.496</v>
      </c>
      <c r="U223" s="76" t="n">
        <v>0.496</v>
      </c>
      <c r="V223" s="76" t="n">
        <v>0.496</v>
      </c>
      <c r="W223" s="76" t="n">
        <v>0.496</v>
      </c>
      <c r="X223" s="76" t="n">
        <v>0.496</v>
      </c>
      <c r="Y223" s="76" t="n">
        <v>0.496</v>
      </c>
      <c r="Z223" s="76" t="n">
        <v>0.496</v>
      </c>
      <c r="AA223" s="76" t="n">
        <v>0.496</v>
      </c>
      <c r="AB223" s="76" t="n">
        <v>0.496</v>
      </c>
      <c r="AC223" s="76" t="n">
        <v>0.496</v>
      </c>
      <c r="AD223" s="76" t="n">
        <v>0.496</v>
      </c>
      <c r="AE223" s="76" t="n">
        <v>0.496</v>
      </c>
      <c r="AF223" s="76" t="n">
        <v>0.496</v>
      </c>
      <c r="AG223" s="76" t="n">
        <v>0.496</v>
      </c>
      <c r="AH223" s="76" t="n">
        <v>0.496</v>
      </c>
      <c r="AI223" s="76" t="n">
        <v>0.496</v>
      </c>
      <c r="AJ223" s="76" t="n">
        <v>0.496</v>
      </c>
      <c r="AK223" s="76" t="n">
        <v>0.496</v>
      </c>
      <c r="AL223" s="76" t="n">
        <v>0.496</v>
      </c>
      <c r="AM223" s="76" t="n">
        <v>0.496</v>
      </c>
      <c r="AN223" s="76" t="n">
        <v>0.496</v>
      </c>
      <c r="AO223" s="76" t="n">
        <v>0.496</v>
      </c>
      <c r="AP223" s="76" t="n">
        <v>0.496</v>
      </c>
      <c r="AQ223" s="76" t="n">
        <v>0.496</v>
      </c>
      <c r="AR223" s="76" t="n">
        <v>0.4994878048780487</v>
      </c>
    </row>
    <row r="224">
      <c r="A224" s="76" t="inlineStr">
        <is>
          <t>KS</t>
        </is>
      </c>
      <c r="B224" s="76" t="inlineStr">
        <is>
          <t>Nuclear</t>
        </is>
      </c>
      <c r="C224" s="76" t="n">
        <v>0.902</v>
      </c>
      <c r="D224" s="76" t="n">
        <v>0.902</v>
      </c>
      <c r="E224" s="76" t="n">
        <v>0.902</v>
      </c>
      <c r="F224" s="76" t="n">
        <v>0.902</v>
      </c>
      <c r="G224" s="76" t="n">
        <v>0.902</v>
      </c>
      <c r="H224" s="76" t="n">
        <v>0.902</v>
      </c>
      <c r="I224" s="76" t="n">
        <v>0.902</v>
      </c>
      <c r="J224" s="76" t="n">
        <v>0.902</v>
      </c>
      <c r="K224" s="76" t="n">
        <v>0.902</v>
      </c>
      <c r="L224" s="76" t="n">
        <v>0.902</v>
      </c>
      <c r="M224" s="76" t="n">
        <v>0.902</v>
      </c>
      <c r="N224" s="76" t="n">
        <v>0.902</v>
      </c>
      <c r="O224" s="76" t="n">
        <v>0.902</v>
      </c>
      <c r="P224" s="76" t="n">
        <v>0.902</v>
      </c>
      <c r="Q224" s="76" t="n">
        <v>0.902</v>
      </c>
      <c r="R224" s="76" t="n">
        <v>0.902</v>
      </c>
      <c r="S224" s="76" t="n">
        <v>0.902</v>
      </c>
      <c r="T224" s="76" t="n">
        <v>0.902</v>
      </c>
      <c r="U224" s="76" t="n">
        <v>0.902</v>
      </c>
      <c r="V224" s="76" t="n">
        <v>0.902</v>
      </c>
      <c r="W224" s="76" t="n">
        <v>0.902</v>
      </c>
      <c r="X224" s="76" t="n">
        <v>0.902</v>
      </c>
      <c r="Y224" s="76" t="n">
        <v>0.902</v>
      </c>
      <c r="Z224" s="76" t="n">
        <v>0.901</v>
      </c>
      <c r="AA224" s="76" t="n">
        <v>0.899</v>
      </c>
      <c r="AB224" s="76" t="n">
        <v>0.898</v>
      </c>
      <c r="AC224" s="76" t="n">
        <v>0.899</v>
      </c>
      <c r="AD224" s="76" t="n">
        <v>0.9</v>
      </c>
      <c r="AE224" s="76" t="n">
        <v>0.9</v>
      </c>
      <c r="AF224" s="76" t="n">
        <v>0.901</v>
      </c>
      <c r="AG224" s="76" t="n">
        <v>0.902</v>
      </c>
      <c r="AH224" s="76" t="n">
        <v>0.902</v>
      </c>
      <c r="AI224" s="76" t="n">
        <v>0.902</v>
      </c>
      <c r="AJ224" s="76" t="n">
        <v>0.902</v>
      </c>
      <c r="AK224" s="76" t="n">
        <v>0.902</v>
      </c>
      <c r="AL224" s="76" t="n"/>
      <c r="AM224" s="76" t="n"/>
      <c r="AN224" s="76" t="n"/>
      <c r="AO224" s="76" t="n"/>
      <c r="AP224" s="76" t="n"/>
      <c r="AQ224" s="76" t="n"/>
      <c r="AR224" s="76" t="n">
        <v>0.9015428571428572</v>
      </c>
    </row>
    <row r="225">
      <c r="A225" s="76" t="inlineStr">
        <is>
          <t>KS</t>
        </is>
      </c>
      <c r="B225" s="76" t="inlineStr">
        <is>
          <t>Other</t>
        </is>
      </c>
      <c r="C225" s="76" t="n">
        <v>0</v>
      </c>
      <c r="D225" s="76" t="n">
        <v>0</v>
      </c>
      <c r="E225" s="76" t="n">
        <v>0</v>
      </c>
      <c r="F225" s="76" t="n">
        <v>0</v>
      </c>
      <c r="G225" s="76" t="n">
        <v>0</v>
      </c>
      <c r="H225" s="76" t="n">
        <v>0</v>
      </c>
      <c r="I225" s="76" t="n">
        <v>0</v>
      </c>
      <c r="J225" s="76" t="n">
        <v>0</v>
      </c>
      <c r="K225" s="76" t="n">
        <v>0</v>
      </c>
      <c r="L225" s="76" t="n">
        <v>0</v>
      </c>
      <c r="M225" s="76" t="n">
        <v>0</v>
      </c>
      <c r="N225" s="76" t="n">
        <v>0</v>
      </c>
      <c r="O225" s="76" t="n">
        <v>0</v>
      </c>
      <c r="P225" s="76" t="n">
        <v>0</v>
      </c>
      <c r="Q225" s="76" t="n">
        <v>0</v>
      </c>
      <c r="R225" s="76" t="n">
        <v>0</v>
      </c>
      <c r="S225" s="76" t="n">
        <v>0</v>
      </c>
      <c r="T225" s="76" t="n">
        <v>0</v>
      </c>
      <c r="U225" s="76" t="n">
        <v>0</v>
      </c>
      <c r="V225" s="76" t="n">
        <v>0</v>
      </c>
      <c r="W225" s="76" t="n">
        <v>0</v>
      </c>
      <c r="X225" s="76" t="n">
        <v>0</v>
      </c>
      <c r="Y225" s="76" t="n">
        <v>0</v>
      </c>
      <c r="Z225" s="76" t="n">
        <v>0</v>
      </c>
      <c r="AA225" s="76" t="n">
        <v>0</v>
      </c>
      <c r="AB225" s="76" t="n">
        <v>0</v>
      </c>
      <c r="AC225" s="76" t="n">
        <v>0</v>
      </c>
      <c r="AD225" s="76" t="n">
        <v>0</v>
      </c>
      <c r="AE225" s="76" t="n">
        <v>0</v>
      </c>
      <c r="AF225" s="76" t="n">
        <v>0</v>
      </c>
      <c r="AG225" s="76" t="n">
        <v>0</v>
      </c>
      <c r="AH225" s="76" t="n">
        <v>0</v>
      </c>
      <c r="AI225" s="76" t="n">
        <v>0</v>
      </c>
      <c r="AJ225" s="76" t="n">
        <v>0</v>
      </c>
      <c r="AK225" s="76" t="n">
        <v>0</v>
      </c>
      <c r="AL225" s="76" t="n">
        <v>0</v>
      </c>
      <c r="AM225" s="76" t="n">
        <v>0</v>
      </c>
      <c r="AN225" s="76" t="n">
        <v>0</v>
      </c>
      <c r="AO225" s="76" t="n">
        <v>0</v>
      </c>
      <c r="AP225" s="76" t="n">
        <v>0</v>
      </c>
      <c r="AQ225" s="76" t="n">
        <v>0</v>
      </c>
      <c r="AR225" s="76" t="n">
        <v>0</v>
      </c>
    </row>
    <row r="226">
      <c r="A226" s="76" t="inlineStr">
        <is>
          <t>KS</t>
        </is>
      </c>
      <c r="B226" s="76" t="inlineStr">
        <is>
          <t>Utility PV</t>
        </is>
      </c>
      <c r="C226" s="76" t="n"/>
      <c r="D226" s="76" t="n"/>
      <c r="E226" s="76" t="n"/>
      <c r="F226" s="76" t="n"/>
      <c r="G226" s="76" t="n"/>
      <c r="H226" s="76" t="n">
        <v>0.288</v>
      </c>
      <c r="I226" s="76" t="n">
        <v>0.288</v>
      </c>
      <c r="J226" s="76" t="n">
        <v>0.2865</v>
      </c>
      <c r="K226" s="76" t="n">
        <v>0.2855</v>
      </c>
      <c r="L226" s="76" t="n">
        <v>0.2845</v>
      </c>
      <c r="M226" s="76" t="n">
        <v>0.283</v>
      </c>
      <c r="N226" s="76" t="n">
        <v>0.287</v>
      </c>
      <c r="O226" s="76" t="n">
        <v>0.287</v>
      </c>
      <c r="P226" s="76" t="n">
        <v>0.286</v>
      </c>
      <c r="Q226" s="76" t="n">
        <v>0.285</v>
      </c>
      <c r="R226" s="76" t="n">
        <v>0.2825</v>
      </c>
      <c r="S226" s="76" t="n">
        <v>0.2805</v>
      </c>
      <c r="T226" s="76" t="n">
        <v>0.28</v>
      </c>
      <c r="U226" s="76" t="n">
        <v>0.279</v>
      </c>
      <c r="V226" s="76" t="n">
        <v>0.277</v>
      </c>
      <c r="W226" s="76" t="n">
        <v>0.276</v>
      </c>
      <c r="X226" s="76" t="n">
        <v>0.273</v>
      </c>
      <c r="Y226" s="76" t="n">
        <v>0.271</v>
      </c>
      <c r="Z226" s="76" t="n">
        <v>0.2705</v>
      </c>
      <c r="AA226" s="76" t="n">
        <v>0.2705</v>
      </c>
      <c r="AB226" s="76" t="n">
        <v>0.27</v>
      </c>
      <c r="AC226" s="76" t="n">
        <v>0.2685</v>
      </c>
      <c r="AD226" s="76" t="n">
        <v>0.267</v>
      </c>
      <c r="AE226" s="76" t="n">
        <v>0.2655</v>
      </c>
      <c r="AF226" s="76" t="n">
        <v>0.264</v>
      </c>
      <c r="AG226" s="76" t="n">
        <v>0.262</v>
      </c>
      <c r="AH226" s="76" t="n">
        <v>0.262</v>
      </c>
      <c r="AI226" s="76" t="n">
        <v>0.262</v>
      </c>
      <c r="AJ226" s="76" t="n">
        <v>0.262</v>
      </c>
      <c r="AK226" s="76" t="n">
        <v>0.2615</v>
      </c>
      <c r="AL226" s="76" t="n">
        <v>0.2615</v>
      </c>
      <c r="AM226" s="76" t="n">
        <v>0.2605</v>
      </c>
      <c r="AN226" s="76" t="n">
        <v>0.259</v>
      </c>
      <c r="AO226" s="76" t="n">
        <v>0.258</v>
      </c>
      <c r="AP226" s="76" t="n">
        <v>0.257</v>
      </c>
      <c r="AQ226" s="76" t="n">
        <v>0.2555</v>
      </c>
      <c r="AR226" s="76" t="n">
        <v>0.2722428571428572</v>
      </c>
    </row>
    <row r="227">
      <c r="A227" s="76" t="inlineStr">
        <is>
          <t>KS</t>
        </is>
      </c>
      <c r="B227" s="76" t="inlineStr">
        <is>
          <t>Wind offshore</t>
        </is>
      </c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  <c r="AA227" s="76" t="n"/>
      <c r="AB227" s="76" t="n"/>
      <c r="AC227" s="76" t="n"/>
      <c r="AD227" s="76" t="n"/>
      <c r="AE227" s="76" t="n"/>
      <c r="AF227" s="76" t="n"/>
      <c r="AG227" s="76" t="n"/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</row>
    <row r="228">
      <c r="A228" s="76" t="inlineStr">
        <is>
          <t>KS</t>
        </is>
      </c>
      <c r="B228" s="76" t="inlineStr">
        <is>
          <t>Wind onshore</t>
        </is>
      </c>
      <c r="C228" s="76" t="n">
        <v>0.3035</v>
      </c>
      <c r="D228" s="76" t="n">
        <v>0.3265</v>
      </c>
      <c r="E228" s="76" t="n">
        <v>0.335</v>
      </c>
      <c r="F228" s="76" t="n">
        <v>0.3355</v>
      </c>
      <c r="G228" s="76" t="n">
        <v>0.336</v>
      </c>
      <c r="H228" s="76" t="n">
        <v>0.36</v>
      </c>
      <c r="I228" s="76" t="n">
        <v>0.3685</v>
      </c>
      <c r="J228" s="76" t="n">
        <v>0.3685</v>
      </c>
      <c r="K228" s="76" t="n">
        <v>0.368</v>
      </c>
      <c r="L228" s="76" t="n">
        <v>0.3695</v>
      </c>
      <c r="M228" s="76" t="n">
        <v>0.371</v>
      </c>
      <c r="N228" s="76" t="n">
        <v>0.3585</v>
      </c>
      <c r="O228" s="76" t="n">
        <v>0.3455</v>
      </c>
      <c r="P228" s="76" t="n">
        <v>0.3385</v>
      </c>
      <c r="Q228" s="76" t="n">
        <v>0.3315</v>
      </c>
      <c r="R228" s="76" t="n">
        <v>0.3235</v>
      </c>
      <c r="S228" s="76" t="n">
        <v>0.3155</v>
      </c>
      <c r="T228" s="76" t="n">
        <v>0.319</v>
      </c>
      <c r="U228" s="76" t="n">
        <v>0.323</v>
      </c>
      <c r="V228" s="76" t="n">
        <v>0.332</v>
      </c>
      <c r="W228" s="76" t="n">
        <v>0.3415</v>
      </c>
      <c r="X228" s="76" t="n">
        <v>0.336</v>
      </c>
      <c r="Y228" s="76" t="n">
        <v>0.33</v>
      </c>
      <c r="Z228" s="76" t="n">
        <v>0.334</v>
      </c>
      <c r="AA228" s="76" t="n">
        <v>0.3365</v>
      </c>
      <c r="AB228" s="76" t="n">
        <v>0.339</v>
      </c>
      <c r="AC228" s="76" t="n">
        <v>0.348</v>
      </c>
      <c r="AD228" s="76" t="n">
        <v>0.357</v>
      </c>
      <c r="AE228" s="76" t="n">
        <v>0.366</v>
      </c>
      <c r="AF228" s="76" t="n">
        <v>0.3745</v>
      </c>
      <c r="AG228" s="76" t="n">
        <v>0.3835</v>
      </c>
      <c r="AH228" s="76" t="n">
        <v>0.388</v>
      </c>
      <c r="AI228" s="76" t="n">
        <v>0.393</v>
      </c>
      <c r="AJ228" s="76" t="n">
        <v>0.398</v>
      </c>
      <c r="AK228" s="76" t="n">
        <v>0.403</v>
      </c>
      <c r="AL228" s="76" t="n">
        <v>0.408</v>
      </c>
      <c r="AM228" s="76" t="n">
        <v>0.3955</v>
      </c>
      <c r="AN228" s="76" t="n">
        <v>0.3925</v>
      </c>
      <c r="AO228" s="76" t="n">
        <v>0.3915</v>
      </c>
      <c r="AP228" s="76" t="n">
        <v>0.392</v>
      </c>
      <c r="AQ228" s="76" t="n">
        <v>0.392</v>
      </c>
      <c r="AR228" s="76" t="n">
        <v>0.3567926829268293</v>
      </c>
    </row>
    <row r="229">
      <c r="A229" s="76" t="inlineStr">
        <is>
          <t>KY</t>
        </is>
      </c>
      <c r="B229" s="76" t="inlineStr">
        <is>
          <t>KY</t>
        </is>
      </c>
      <c r="C229" s="76" t="n">
        <v>0.3272727272727272</v>
      </c>
      <c r="D229" s="76" t="n">
        <v>0.3035454545454546</v>
      </c>
      <c r="E229" s="76" t="n">
        <v>0.275</v>
      </c>
      <c r="F229" s="76" t="n">
        <v>0.2849375</v>
      </c>
      <c r="G229" s="76" t="n">
        <v>0.309125</v>
      </c>
      <c r="H229" s="76" t="n">
        <v>0.3306111111111111</v>
      </c>
      <c r="I229" s="76" t="n">
        <v>0.3192777777777778</v>
      </c>
      <c r="J229" s="76" t="n">
        <v>0.3548947368421053</v>
      </c>
      <c r="K229" s="76" t="n">
        <v>0.3616842105263158</v>
      </c>
      <c r="L229" s="76" t="n">
        <v>0.3558421052631579</v>
      </c>
      <c r="M229" s="76" t="n">
        <v>0.3500526315789473</v>
      </c>
      <c r="N229" s="76" t="n">
        <v>0.3336818181818182</v>
      </c>
      <c r="O229" s="76" t="n">
        <v>0.3324545454545455</v>
      </c>
      <c r="P229" s="76" t="n">
        <v>0.3307727272727273</v>
      </c>
      <c r="Q229" s="76" t="n">
        <v>0.3449047619047619</v>
      </c>
      <c r="R229" s="76" t="n">
        <v>0.3109130434782608</v>
      </c>
      <c r="S229" s="76" t="n">
        <v>0.3253181818181818</v>
      </c>
      <c r="T229" s="76" t="n">
        <v>0.29248</v>
      </c>
      <c r="U229" s="76" t="n">
        <v>0.27388</v>
      </c>
      <c r="V229" s="76" t="n">
        <v>0.2632962962962963</v>
      </c>
      <c r="W229" s="76" t="n">
        <v>0.2643333333333333</v>
      </c>
      <c r="X229" s="76" t="n">
        <v>0.2656296296296297</v>
      </c>
      <c r="Y229" s="76" t="n">
        <v>0.2601923076923077</v>
      </c>
      <c r="Z229" s="76" t="n">
        <v>0.2515384615384615</v>
      </c>
      <c r="AA229" s="76" t="n">
        <v>0.2428846153846154</v>
      </c>
      <c r="AB229" s="76" t="n">
        <v>0.1994166666666667</v>
      </c>
      <c r="AC229" s="76" t="n">
        <v>0.19775</v>
      </c>
      <c r="AD229" s="76" t="n">
        <v>0.196625</v>
      </c>
      <c r="AE229" s="76" t="n">
        <v>0.1957083333333334</v>
      </c>
      <c r="AF229" s="76" t="n">
        <v>0.1950000000000001</v>
      </c>
      <c r="AG229" s="76" t="n">
        <v>0.1945</v>
      </c>
      <c r="AH229" s="76" t="n">
        <v>0.1941666666666667</v>
      </c>
      <c r="AI229" s="76" t="n">
        <v>0.1937083333333333</v>
      </c>
      <c r="AJ229" s="76" t="n">
        <v>0.1932916666666667</v>
      </c>
      <c r="AK229" s="76" t="n">
        <v>0.19275</v>
      </c>
      <c r="AL229" s="76" t="n">
        <v>0.19225</v>
      </c>
      <c r="AM229" s="76" t="n">
        <v>0.1933333333333334</v>
      </c>
      <c r="AN229" s="76" t="n">
        <v>0.1942916666666667</v>
      </c>
      <c r="AO229" s="76" t="n">
        <v>0.1949583333333333</v>
      </c>
      <c r="AP229" s="76" t="n">
        <v>0.1955</v>
      </c>
      <c r="AQ229" s="76" t="n">
        <v>0.196</v>
      </c>
      <c r="AR229" s="76" t="n">
        <v>0.2569135254988913</v>
      </c>
    </row>
    <row r="230">
      <c r="A230" s="76" t="inlineStr">
        <is>
          <t>KY</t>
        </is>
      </c>
      <c r="B230" s="76" t="inlineStr">
        <is>
          <t>Battery</t>
        </is>
      </c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>
        <v>-0.03700000000000001</v>
      </c>
      <c r="S230" s="76" t="n">
        <v>-0.03700000000000001</v>
      </c>
      <c r="T230" s="76" t="n">
        <v>-0.05566666666666667</v>
      </c>
      <c r="U230" s="76" t="n">
        <v>-0.05633333333333334</v>
      </c>
      <c r="V230" s="76" t="n">
        <v>-0.0485</v>
      </c>
      <c r="W230" s="76" t="n">
        <v>-0.04775</v>
      </c>
      <c r="X230" s="76" t="n">
        <v>-0.04975</v>
      </c>
      <c r="Y230" s="76" t="n">
        <v>-0.05075</v>
      </c>
      <c r="Z230" s="76" t="n">
        <v>-0.0515</v>
      </c>
      <c r="AA230" s="76" t="n">
        <v>-0.052</v>
      </c>
      <c r="AB230" s="76" t="n">
        <v>-0.05199999999999999</v>
      </c>
      <c r="AC230" s="76" t="n">
        <v>-0.05574999999999999</v>
      </c>
      <c r="AD230" s="76" t="n">
        <v>-0.0585</v>
      </c>
      <c r="AE230" s="76" t="n">
        <v>-0.06075</v>
      </c>
      <c r="AF230" s="76" t="n">
        <v>-0.06275</v>
      </c>
      <c r="AG230" s="76" t="n">
        <v>-0.06475</v>
      </c>
      <c r="AH230" s="76" t="n">
        <v>-0.06275</v>
      </c>
      <c r="AI230" s="76" t="n">
        <v>-0.06125</v>
      </c>
      <c r="AJ230" s="76" t="n">
        <v>-0.06</v>
      </c>
      <c r="AK230" s="76" t="n">
        <v>-0.059</v>
      </c>
      <c r="AL230" s="76" t="n">
        <v>-0.058</v>
      </c>
      <c r="AM230" s="76" t="n">
        <v>-0.05449999999999999</v>
      </c>
      <c r="AN230" s="76" t="n">
        <v>-0.05125</v>
      </c>
      <c r="AO230" s="76" t="n">
        <v>-0.0485</v>
      </c>
      <c r="AP230" s="76" t="n">
        <v>-0.04625</v>
      </c>
      <c r="AQ230" s="76" t="n">
        <v>-0.044</v>
      </c>
      <c r="AR230" s="76" t="n">
        <v>-0.05392857142857142</v>
      </c>
    </row>
    <row r="231">
      <c r="A231" s="76" t="inlineStr">
        <is>
          <t>KY</t>
        </is>
      </c>
      <c r="B231" s="76" t="inlineStr">
        <is>
          <t>Biopower</t>
        </is>
      </c>
      <c r="C231" s="76" t="n">
        <v>0.522</v>
      </c>
      <c r="D231" s="76" t="n">
        <v>0.522</v>
      </c>
      <c r="E231" s="76" t="n">
        <v>0.522</v>
      </c>
      <c r="F231" s="76" t="n">
        <v>0.522</v>
      </c>
      <c r="G231" s="76" t="n">
        <v>0.522</v>
      </c>
      <c r="H231" s="76" t="n">
        <v>0.522</v>
      </c>
      <c r="I231" s="76" t="n">
        <v>0.522</v>
      </c>
      <c r="J231" s="76" t="n">
        <v>0.522</v>
      </c>
      <c r="K231" s="76" t="n">
        <v>0.522</v>
      </c>
      <c r="L231" s="76" t="n">
        <v>0.522</v>
      </c>
      <c r="M231" s="76" t="n">
        <v>0.522</v>
      </c>
      <c r="N231" s="76" t="n">
        <v>0.522</v>
      </c>
      <c r="O231" s="76" t="n">
        <v>0.522</v>
      </c>
      <c r="P231" s="76" t="n">
        <v>0.522</v>
      </c>
      <c r="Q231" s="76" t="n">
        <v>0.522</v>
      </c>
      <c r="R231" s="76" t="n">
        <v>0.522</v>
      </c>
      <c r="S231" s="76" t="n">
        <v>0.522</v>
      </c>
      <c r="T231" s="76" t="n">
        <v>0.522</v>
      </c>
      <c r="U231" s="76" t="n">
        <v>0.522</v>
      </c>
      <c r="V231" s="76" t="n">
        <v>0.522</v>
      </c>
      <c r="W231" s="76" t="n">
        <v>0.522</v>
      </c>
      <c r="X231" s="76" t="n">
        <v>0.522</v>
      </c>
      <c r="Y231" s="76" t="n">
        <v>0.522</v>
      </c>
      <c r="Z231" s="76" t="n">
        <v>0.5</v>
      </c>
      <c r="AA231" s="76" t="n">
        <v>0.478</v>
      </c>
      <c r="AB231" s="76" t="n">
        <v>0.456</v>
      </c>
      <c r="AC231" s="76" t="n">
        <v>0.47</v>
      </c>
      <c r="AD231" s="76" t="n">
        <v>0.483</v>
      </c>
      <c r="AE231" s="76" t="n">
        <v>0.496</v>
      </c>
      <c r="AF231" s="76" t="n">
        <v>0.509</v>
      </c>
      <c r="AG231" s="76" t="n">
        <v>0.522</v>
      </c>
      <c r="AH231" s="76" t="n">
        <v>0.513</v>
      </c>
      <c r="AI231" s="76" t="n">
        <v>0.504</v>
      </c>
      <c r="AJ231" s="76" t="n">
        <v>0.495</v>
      </c>
      <c r="AK231" s="76" t="n">
        <v>0.486</v>
      </c>
      <c r="AL231" s="76" t="n">
        <v>0.477</v>
      </c>
      <c r="AM231" s="76" t="n">
        <v>0.471</v>
      </c>
      <c r="AN231" s="76" t="n">
        <v>0.465</v>
      </c>
      <c r="AO231" s="76" t="n">
        <v>0.459</v>
      </c>
      <c r="AP231" s="76" t="n">
        <v>0.453</v>
      </c>
      <c r="AQ231" s="76" t="n">
        <v>0.447</v>
      </c>
      <c r="AR231" s="76" t="n">
        <v>0.5046341463414636</v>
      </c>
    </row>
    <row r="232">
      <c r="A232" s="76" t="inlineStr">
        <is>
          <t>KY</t>
        </is>
      </c>
      <c r="B232" s="76" t="inlineStr">
        <is>
          <t>Coal</t>
        </is>
      </c>
      <c r="C232" s="76" t="n">
        <v>0.795</v>
      </c>
      <c r="D232" s="76" t="n">
        <v>0.6653333333333332</v>
      </c>
      <c r="E232" s="76" t="n">
        <v>0.5176666666666667</v>
      </c>
      <c r="F232" s="76" t="n">
        <v>0.646</v>
      </c>
      <c r="G232" s="76" t="n">
        <v>0.7946666666666667</v>
      </c>
      <c r="H232" s="76" t="n">
        <v>0.7290000000000001</v>
      </c>
      <c r="I232" s="76" t="n">
        <v>0.656</v>
      </c>
      <c r="J232" s="76" t="n">
        <v>0.7073333333333333</v>
      </c>
      <c r="K232" s="76" t="n">
        <v>0.7713333333333333</v>
      </c>
      <c r="L232" s="76" t="n">
        <v>0.735</v>
      </c>
      <c r="M232" s="76" t="n">
        <v>0.699</v>
      </c>
      <c r="N232" s="76" t="n">
        <v>0.6986666666666667</v>
      </c>
      <c r="O232" s="76" t="n">
        <v>0.6983333333333333</v>
      </c>
      <c r="P232" s="76" t="n">
        <v>0.6893333333333334</v>
      </c>
      <c r="Q232" s="76" t="n">
        <v>0.6806666666666666</v>
      </c>
      <c r="R232" s="76" t="n">
        <v>0.7163333333333334</v>
      </c>
      <c r="S232" s="76" t="n">
        <v>0.7556666666666666</v>
      </c>
      <c r="T232" s="76" t="n">
        <v>0.7013333333333334</v>
      </c>
      <c r="U232" s="76" t="n">
        <v>0.6443333333333334</v>
      </c>
      <c r="V232" s="76" t="n">
        <v>0.6356666666666667</v>
      </c>
      <c r="W232" s="76" t="n">
        <v>0.6463333333333333</v>
      </c>
      <c r="X232" s="76" t="n">
        <v>0.6123333333333333</v>
      </c>
      <c r="Y232" s="76" t="n">
        <v>0.6515</v>
      </c>
      <c r="Z232" s="76" t="n">
        <v>0.6515</v>
      </c>
      <c r="AA232" s="76" t="n">
        <v>0.6515</v>
      </c>
      <c r="AB232" s="76" t="n"/>
      <c r="AC232" s="76" t="n"/>
      <c r="AD232" s="76" t="n"/>
      <c r="AE232" s="76" t="n"/>
      <c r="AF232" s="76" t="n"/>
      <c r="AG232" s="76" t="n"/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>
        <v>0.6874305555555557</v>
      </c>
    </row>
    <row r="233">
      <c r="A233" s="76" t="inlineStr">
        <is>
          <t>KY</t>
        </is>
      </c>
      <c r="B233" s="76" t="inlineStr">
        <is>
          <t>CSP</t>
        </is>
      </c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6" t="n"/>
      <c r="AC233" s="76" t="n"/>
      <c r="AD233" s="76" t="n"/>
      <c r="AE233" s="76" t="n"/>
      <c r="AF233" s="76" t="n"/>
      <c r="AG233" s="76" t="n"/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</row>
    <row r="234">
      <c r="A234" s="76" t="inlineStr">
        <is>
          <t>KY</t>
        </is>
      </c>
      <c r="B234" s="76" t="inlineStr">
        <is>
          <t>Dist PV</t>
        </is>
      </c>
      <c r="C234" s="76" t="n"/>
      <c r="D234" s="76" t="n"/>
      <c r="E234" s="76" t="n"/>
      <c r="F234" s="76" t="n">
        <v>0.162</v>
      </c>
      <c r="G234" s="76" t="n">
        <v>0.162</v>
      </c>
      <c r="H234" s="76" t="n">
        <v>0.162</v>
      </c>
      <c r="I234" s="76" t="n">
        <v>0.162</v>
      </c>
      <c r="J234" s="76" t="n">
        <v>0.162</v>
      </c>
      <c r="K234" s="76" t="n">
        <v>0.162</v>
      </c>
      <c r="L234" s="76" t="n">
        <v>0.162</v>
      </c>
      <c r="M234" s="76" t="n">
        <v>0.162</v>
      </c>
      <c r="N234" s="76" t="n">
        <v>0.162</v>
      </c>
      <c r="O234" s="76" t="n">
        <v>0.162</v>
      </c>
      <c r="P234" s="76" t="n">
        <v>0.16125</v>
      </c>
      <c r="Q234" s="76" t="n">
        <v>0.1605</v>
      </c>
      <c r="R234" s="76" t="n">
        <v>0.14875</v>
      </c>
      <c r="S234" s="76" t="n">
        <v>0.13975</v>
      </c>
      <c r="T234" s="76" t="n">
        <v>0.14025</v>
      </c>
      <c r="U234" s="76" t="n">
        <v>0.14025</v>
      </c>
      <c r="V234" s="76" t="n">
        <v>0.13775</v>
      </c>
      <c r="W234" s="76" t="n">
        <v>0.13575</v>
      </c>
      <c r="X234" s="76" t="n">
        <v>0.1465</v>
      </c>
      <c r="Y234" s="76" t="n">
        <v>0.15425</v>
      </c>
      <c r="Z234" s="76" t="n">
        <v>0.1575</v>
      </c>
      <c r="AA234" s="76" t="n">
        <v>0.16</v>
      </c>
      <c r="AB234" s="76" t="n">
        <v>0.162</v>
      </c>
      <c r="AC234" s="76" t="n">
        <v>0.15325</v>
      </c>
      <c r="AD234" s="76" t="n">
        <v>0.1465</v>
      </c>
      <c r="AE234" s="76" t="n">
        <v>0.141</v>
      </c>
      <c r="AF234" s="76" t="n">
        <v>0.13675</v>
      </c>
      <c r="AG234" s="76" t="n">
        <v>0.13325</v>
      </c>
      <c r="AH234" s="76" t="n">
        <v>0.1335</v>
      </c>
      <c r="AI234" s="76" t="n">
        <v>0.1335</v>
      </c>
      <c r="AJ234" s="76" t="n">
        <v>0.1335</v>
      </c>
      <c r="AK234" s="76" t="n">
        <v>0.1335</v>
      </c>
      <c r="AL234" s="76" t="n">
        <v>0.1335</v>
      </c>
      <c r="AM234" s="76" t="n">
        <v>0.1405</v>
      </c>
      <c r="AN234" s="76" t="n">
        <v>0.14675</v>
      </c>
      <c r="AO234" s="76" t="n">
        <v>0.15225</v>
      </c>
      <c r="AP234" s="76" t="n">
        <v>0.15725</v>
      </c>
      <c r="AQ234" s="76" t="n">
        <v>0.162</v>
      </c>
      <c r="AR234" s="76" t="n">
        <v>0.1500394736842104</v>
      </c>
    </row>
    <row r="235">
      <c r="A235" s="76" t="inlineStr">
        <is>
          <t>KY</t>
        </is>
      </c>
      <c r="B235" s="76" t="inlineStr">
        <is>
          <t>Gas CCGT</t>
        </is>
      </c>
      <c r="C235" s="76" t="n"/>
      <c r="D235" s="76" t="n"/>
      <c r="E235" s="76" t="n"/>
      <c r="F235" s="76" t="n"/>
      <c r="G235" s="76" t="n"/>
      <c r="H235" s="76" t="n">
        <v>0.902</v>
      </c>
      <c r="I235" s="76" t="n">
        <v>0.902</v>
      </c>
      <c r="J235" s="76" t="n">
        <v>0.902</v>
      </c>
      <c r="K235" s="76" t="n">
        <v>0.902</v>
      </c>
      <c r="L235" s="76" t="n">
        <v>0.902</v>
      </c>
      <c r="M235" s="76" t="n">
        <v>0.902</v>
      </c>
      <c r="N235" s="76" t="n">
        <v>0.902</v>
      </c>
      <c r="O235" s="76" t="n">
        <v>0.902</v>
      </c>
      <c r="P235" s="76" t="n">
        <v>0.902</v>
      </c>
      <c r="Q235" s="76" t="n">
        <v>0.902</v>
      </c>
      <c r="R235" s="76" t="n">
        <v>0.8674999999999999</v>
      </c>
      <c r="S235" s="76" t="n">
        <v>0.8325</v>
      </c>
      <c r="T235" s="76" t="n">
        <v>0.6915</v>
      </c>
      <c r="U235" s="76" t="n">
        <v>0.55</v>
      </c>
      <c r="V235" s="76" t="n">
        <v>0.554</v>
      </c>
      <c r="W235" s="76" t="n">
        <v>0.5575</v>
      </c>
      <c r="X235" s="76" t="n">
        <v>0.6114999999999999</v>
      </c>
      <c r="Y235" s="76" t="n">
        <v>0.6659999999999999</v>
      </c>
      <c r="Z235" s="76" t="n">
        <v>0.5680000000000001</v>
      </c>
      <c r="AA235" s="76" t="n">
        <v>0.47</v>
      </c>
      <c r="AB235" s="76" t="n">
        <v>0.372</v>
      </c>
      <c r="AC235" s="76" t="n">
        <v>0.3765</v>
      </c>
      <c r="AD235" s="76" t="n">
        <v>0.381</v>
      </c>
      <c r="AE235" s="76" t="n">
        <v>0.3855</v>
      </c>
      <c r="AF235" s="76" t="n">
        <v>0.39</v>
      </c>
      <c r="AG235" s="76" t="n">
        <v>0.3945</v>
      </c>
      <c r="AH235" s="76" t="n">
        <v>0.3875</v>
      </c>
      <c r="AI235" s="76" t="n">
        <v>0.3805</v>
      </c>
      <c r="AJ235" s="76" t="n">
        <v>0.3735</v>
      </c>
      <c r="AK235" s="76" t="n">
        <v>0.3665</v>
      </c>
      <c r="AL235" s="76" t="n">
        <v>0.36</v>
      </c>
      <c r="AM235" s="76" t="n">
        <v>0.3525</v>
      </c>
      <c r="AN235" s="76" t="n">
        <v>0.346</v>
      </c>
      <c r="AO235" s="76" t="n">
        <v>0.339</v>
      </c>
      <c r="AP235" s="76" t="n">
        <v>0.3315</v>
      </c>
      <c r="AQ235" s="76" t="n">
        <v>0.325</v>
      </c>
      <c r="AR235" s="76" t="n">
        <v>0.5813714285714285</v>
      </c>
    </row>
    <row r="236">
      <c r="A236" s="76" t="inlineStr">
        <is>
          <t>KY</t>
        </is>
      </c>
      <c r="B236" s="76" t="inlineStr">
        <is>
          <t>Gas CT</t>
        </is>
      </c>
      <c r="C236" s="76" t="n">
        <v>0.0035</v>
      </c>
      <c r="D236" s="76" t="n">
        <v>0.04225</v>
      </c>
      <c r="E236" s="76" t="n">
        <v>0.081</v>
      </c>
      <c r="F236" s="76" t="n">
        <v>0.04225</v>
      </c>
      <c r="G236" s="76" t="n">
        <v>0.00725</v>
      </c>
      <c r="H236" s="76" t="n">
        <v>0.0355</v>
      </c>
      <c r="I236" s="76" t="n">
        <v>0.052</v>
      </c>
      <c r="J236" s="76" t="n">
        <v>0.03725000000000001</v>
      </c>
      <c r="K236" s="76" t="n">
        <v>0.0215</v>
      </c>
      <c r="L236" s="76" t="n">
        <v>0.021</v>
      </c>
      <c r="M236" s="76" t="n">
        <v>0.02025</v>
      </c>
      <c r="N236" s="76" t="n">
        <v>0.0135</v>
      </c>
      <c r="O236" s="76" t="n">
        <v>0.006999999999999999</v>
      </c>
      <c r="P236" s="76" t="n">
        <v>0.006999999999999999</v>
      </c>
      <c r="Q236" s="76" t="n">
        <v>0.006750000000000001</v>
      </c>
      <c r="R236" s="76" t="n">
        <v>0.0055</v>
      </c>
      <c r="S236" s="76" t="n">
        <v>0.006333333333333333</v>
      </c>
      <c r="T236" s="76" t="n">
        <v>0.004</v>
      </c>
      <c r="U236" s="76" t="n">
        <v>0.002</v>
      </c>
      <c r="V236" s="76" t="n">
        <v>0.001666666666666667</v>
      </c>
      <c r="W236" s="76" t="n">
        <v>0.001</v>
      </c>
      <c r="X236" s="76" t="n">
        <v>0.001333333333333333</v>
      </c>
      <c r="Y236" s="76" t="n">
        <v>0.001333333333333333</v>
      </c>
      <c r="Z236" s="76" t="n">
        <v>0.001</v>
      </c>
      <c r="AA236" s="76" t="n">
        <v>0.0006666666666666666</v>
      </c>
      <c r="AB236" s="76" t="n">
        <v>0.0006666666666666666</v>
      </c>
      <c r="AC236" s="76" t="n">
        <v>0.0006666666666666666</v>
      </c>
      <c r="AD236" s="76" t="n">
        <v>0.0006666666666666666</v>
      </c>
      <c r="AE236" s="76" t="n">
        <v>0.0006666666666666666</v>
      </c>
      <c r="AF236" s="76" t="n">
        <v>0.0006666666666666666</v>
      </c>
      <c r="AG236" s="76" t="n">
        <v>0.0006666666666666666</v>
      </c>
      <c r="AH236" s="76" t="n">
        <v>0.0006666666666666666</v>
      </c>
      <c r="AI236" s="76" t="n">
        <v>0.0003333333333333333</v>
      </c>
      <c r="AJ236" s="76" t="n">
        <v>0.0003333333333333333</v>
      </c>
      <c r="AK236" s="76" t="n">
        <v>0</v>
      </c>
      <c r="AL236" s="76" t="n">
        <v>0</v>
      </c>
      <c r="AM236" s="76" t="n">
        <v>0</v>
      </c>
      <c r="AN236" s="76" t="n">
        <v>0</v>
      </c>
      <c r="AO236" s="76" t="n">
        <v>0</v>
      </c>
      <c r="AP236" s="76" t="n">
        <v>0</v>
      </c>
      <c r="AQ236" s="76" t="n">
        <v>0</v>
      </c>
      <c r="AR236" s="76" t="n">
        <v>0.01214388489208632</v>
      </c>
    </row>
    <row r="237">
      <c r="A237" s="76" t="inlineStr">
        <is>
          <t>KY</t>
        </is>
      </c>
      <c r="B237" s="76" t="inlineStr">
        <is>
          <t>Geothermal</t>
        </is>
      </c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  <c r="AA237" s="76" t="n"/>
      <c r="AB237" s="76" t="n"/>
      <c r="AC237" s="76" t="n"/>
      <c r="AD237" s="76" t="n"/>
      <c r="AE237" s="76" t="n"/>
      <c r="AF237" s="76" t="n"/>
      <c r="AG237" s="76" t="n"/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</row>
    <row r="238">
      <c r="A238" s="76" t="inlineStr">
        <is>
          <t>KY</t>
        </is>
      </c>
      <c r="B238" s="76" t="inlineStr">
        <is>
          <t>Hydro</t>
        </is>
      </c>
      <c r="C238" s="76" t="n">
        <v>0.3395</v>
      </c>
      <c r="D238" s="76" t="n">
        <v>0.326</v>
      </c>
      <c r="E238" s="76" t="n">
        <v>0.313</v>
      </c>
      <c r="F238" s="76" t="n">
        <v>0.4273333333333333</v>
      </c>
      <c r="G238" s="76" t="n">
        <v>0.4543333333333333</v>
      </c>
      <c r="H238" s="76" t="n">
        <v>0.4373333333333334</v>
      </c>
      <c r="I238" s="76" t="n">
        <v>0.4203333333333334</v>
      </c>
      <c r="J238" s="76" t="n">
        <v>0.4203333333333334</v>
      </c>
      <c r="K238" s="76" t="n">
        <v>0.4203333333333334</v>
      </c>
      <c r="L238" s="76" t="n">
        <v>0.4203333333333334</v>
      </c>
      <c r="M238" s="76" t="n">
        <v>0.4206666666666667</v>
      </c>
      <c r="N238" s="76" t="n">
        <v>0.4206666666666667</v>
      </c>
      <c r="O238" s="76" t="n">
        <v>0.4206666666666667</v>
      </c>
      <c r="P238" s="76" t="n">
        <v>0.4206666666666667</v>
      </c>
      <c r="Q238" s="76" t="n">
        <v>0.4206666666666667</v>
      </c>
      <c r="R238" s="76" t="n">
        <v>0.4206666666666667</v>
      </c>
      <c r="S238" s="76" t="n">
        <v>0.4206666666666667</v>
      </c>
      <c r="T238" s="76" t="n">
        <v>0.4206666666666667</v>
      </c>
      <c r="U238" s="76" t="n">
        <v>0.4206666666666667</v>
      </c>
      <c r="V238" s="76" t="n">
        <v>0.4206666666666667</v>
      </c>
      <c r="W238" s="76" t="n">
        <v>0.4206666666666667</v>
      </c>
      <c r="X238" s="76" t="n">
        <v>0.4206666666666667</v>
      </c>
      <c r="Y238" s="76" t="n">
        <v>0.4206666666666667</v>
      </c>
      <c r="Z238" s="76" t="n">
        <v>0.4206666666666667</v>
      </c>
      <c r="AA238" s="76" t="n">
        <v>0.4206666666666667</v>
      </c>
      <c r="AB238" s="76" t="n">
        <v>0.4206666666666667</v>
      </c>
      <c r="AC238" s="76" t="n">
        <v>0.4206666666666667</v>
      </c>
      <c r="AD238" s="76" t="n">
        <v>0.4206666666666667</v>
      </c>
      <c r="AE238" s="76" t="n">
        <v>0.4206666666666667</v>
      </c>
      <c r="AF238" s="76" t="n">
        <v>0.4206666666666667</v>
      </c>
      <c r="AG238" s="76" t="n">
        <v>0.4206666666666667</v>
      </c>
      <c r="AH238" s="76" t="n">
        <v>0.4206666666666667</v>
      </c>
      <c r="AI238" s="76" t="n">
        <v>0.4206666666666667</v>
      </c>
      <c r="AJ238" s="76" t="n">
        <v>0.4206666666666667</v>
      </c>
      <c r="AK238" s="76" t="n">
        <v>0.4206666666666667</v>
      </c>
      <c r="AL238" s="76" t="n">
        <v>0.4206666666666667</v>
      </c>
      <c r="AM238" s="76" t="n">
        <v>0.4206666666666667</v>
      </c>
      <c r="AN238" s="76" t="n">
        <v>0.4206666666666667</v>
      </c>
      <c r="AO238" s="76" t="n">
        <v>0.4206666666666667</v>
      </c>
      <c r="AP238" s="76" t="n">
        <v>0.4206666666666667</v>
      </c>
      <c r="AQ238" s="76" t="n">
        <v>0.4206666666666667</v>
      </c>
      <c r="AR238" s="76" t="n">
        <v>0.4173333333333326</v>
      </c>
    </row>
    <row r="239">
      <c r="A239" s="76" t="inlineStr">
        <is>
          <t>KY</t>
        </is>
      </c>
      <c r="B239" s="76" t="inlineStr">
        <is>
          <t>Nuclear</t>
        </is>
      </c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  <c r="AE239" s="76" t="n"/>
      <c r="AF239" s="76" t="n"/>
      <c r="AG239" s="76" t="n"/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</row>
    <row r="240">
      <c r="A240" s="76" t="inlineStr">
        <is>
          <t>KY</t>
        </is>
      </c>
      <c r="B240" s="76" t="inlineStr">
        <is>
          <t>Other</t>
        </is>
      </c>
      <c r="C240" s="76" t="n">
        <v>0</v>
      </c>
      <c r="D240" s="76" t="n">
        <v>0</v>
      </c>
      <c r="E240" s="76" t="n">
        <v>0</v>
      </c>
      <c r="F240" s="76" t="n">
        <v>0</v>
      </c>
      <c r="G240" s="76" t="n">
        <v>0</v>
      </c>
      <c r="H240" s="76" t="n">
        <v>0</v>
      </c>
      <c r="I240" s="76" t="n">
        <v>0</v>
      </c>
      <c r="J240" s="76" t="n">
        <v>0</v>
      </c>
      <c r="K240" s="76" t="n">
        <v>0</v>
      </c>
      <c r="L240" s="76" t="n">
        <v>0</v>
      </c>
      <c r="M240" s="76" t="n">
        <v>0</v>
      </c>
      <c r="N240" s="76" t="n">
        <v>0</v>
      </c>
      <c r="O240" s="76" t="n">
        <v>0</v>
      </c>
      <c r="P240" s="76" t="n">
        <v>0</v>
      </c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  <c r="AA240" s="76" t="n"/>
      <c r="AB240" s="76" t="n"/>
      <c r="AC240" s="76" t="n"/>
      <c r="AD240" s="76" t="n"/>
      <c r="AE240" s="76" t="n"/>
      <c r="AF240" s="76" t="n"/>
      <c r="AG240" s="76" t="n"/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>
        <v>0</v>
      </c>
    </row>
    <row r="241">
      <c r="A241" s="76" t="inlineStr">
        <is>
          <t>KY</t>
        </is>
      </c>
      <c r="B241" s="76" t="inlineStr">
        <is>
          <t>Utility PV</t>
        </is>
      </c>
      <c r="C241" s="76" t="n"/>
      <c r="D241" s="76" t="n"/>
      <c r="E241" s="76" t="n"/>
      <c r="F241" s="76" t="n"/>
      <c r="G241" s="76" t="n"/>
      <c r="H241" s="76" t="n">
        <v>0.238</v>
      </c>
      <c r="I241" s="76" t="n">
        <v>0.238</v>
      </c>
      <c r="J241" s="76" t="n">
        <v>0.237</v>
      </c>
      <c r="K241" s="76" t="n">
        <v>0.237</v>
      </c>
      <c r="L241" s="76" t="n">
        <v>0.237</v>
      </c>
      <c r="M241" s="76" t="n">
        <v>0.237</v>
      </c>
      <c r="N241" s="76" t="n">
        <v>0.23875</v>
      </c>
      <c r="O241" s="76" t="n">
        <v>0.23875</v>
      </c>
      <c r="P241" s="76" t="n">
        <v>0.237</v>
      </c>
      <c r="Q241" s="76" t="n">
        <v>0.236</v>
      </c>
      <c r="R241" s="76" t="n">
        <v>0.235</v>
      </c>
      <c r="S241" s="76" t="n">
        <v>0.23425</v>
      </c>
      <c r="T241" s="76" t="n">
        <v>0.23125</v>
      </c>
      <c r="U241" s="76" t="n">
        <v>0.2305</v>
      </c>
      <c r="V241" s="76" t="n">
        <v>0.22975</v>
      </c>
      <c r="W241" s="76" t="n">
        <v>0.22975</v>
      </c>
      <c r="X241" s="76" t="n">
        <v>0.22825</v>
      </c>
      <c r="Y241" s="76" t="n">
        <v>0.2265</v>
      </c>
      <c r="Z241" s="76" t="n">
        <v>0.22525</v>
      </c>
      <c r="AA241" s="76" t="n">
        <v>0.22425</v>
      </c>
      <c r="AB241" s="76" t="n">
        <v>0.22275</v>
      </c>
      <c r="AC241" s="76" t="n">
        <v>0.2215</v>
      </c>
      <c r="AD241" s="76" t="n">
        <v>0.22075</v>
      </c>
      <c r="AE241" s="76" t="n">
        <v>0.2195</v>
      </c>
      <c r="AF241" s="76" t="n">
        <v>0.21825</v>
      </c>
      <c r="AG241" s="76" t="n">
        <v>0.217</v>
      </c>
      <c r="AH241" s="76" t="n">
        <v>0.216</v>
      </c>
      <c r="AI241" s="76" t="n">
        <v>0.215</v>
      </c>
      <c r="AJ241" s="76" t="n">
        <v>0.21475</v>
      </c>
      <c r="AK241" s="76" t="n">
        <v>0.214</v>
      </c>
      <c r="AL241" s="76" t="n">
        <v>0.213</v>
      </c>
      <c r="AM241" s="76" t="n">
        <v>0.2125</v>
      </c>
      <c r="AN241" s="76" t="n">
        <v>0.212</v>
      </c>
      <c r="AO241" s="76" t="n">
        <v>0.21125</v>
      </c>
      <c r="AP241" s="76" t="n">
        <v>0.21075</v>
      </c>
      <c r="AQ241" s="76" t="n">
        <v>0.21</v>
      </c>
      <c r="AR241" s="76" t="n">
        <v>0.2238174603174604</v>
      </c>
    </row>
    <row r="242">
      <c r="A242" s="76" t="inlineStr">
        <is>
          <t>KY</t>
        </is>
      </c>
      <c r="B242" s="76" t="inlineStr">
        <is>
          <t>Wind offshore</t>
        </is>
      </c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  <c r="AA242" s="76" t="n"/>
      <c r="AB242" s="76" t="n"/>
      <c r="AC242" s="76" t="n"/>
      <c r="AD242" s="76" t="n"/>
      <c r="AE242" s="76" t="n"/>
      <c r="AF242" s="76" t="n"/>
      <c r="AG242" s="76" t="n"/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</row>
    <row r="243">
      <c r="A243" s="76" t="inlineStr">
        <is>
          <t>KY</t>
        </is>
      </c>
      <c r="B243" s="76" t="inlineStr">
        <is>
          <t>Wind onshore</t>
        </is>
      </c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>
        <v>0.355</v>
      </c>
      <c r="U243" s="76" t="n">
        <v>0.355</v>
      </c>
      <c r="V243" s="76" t="n">
        <v>0.343</v>
      </c>
      <c r="W243" s="76" t="n">
        <v>0.3416666666666666</v>
      </c>
      <c r="X243" s="76" t="n">
        <v>0.3413333333333333</v>
      </c>
      <c r="Y243" s="76" t="n">
        <v>0.3406666666666667</v>
      </c>
      <c r="Z243" s="76" t="n">
        <v>0.337</v>
      </c>
      <c r="AA243" s="76" t="n">
        <v>0.3336666666666667</v>
      </c>
      <c r="AB243" s="76" t="n">
        <v>0.3303333333333334</v>
      </c>
      <c r="AC243" s="76" t="n">
        <v>0.3276666666666667</v>
      </c>
      <c r="AD243" s="76" t="n">
        <v>0.325</v>
      </c>
      <c r="AE243" s="76" t="n">
        <v>0.3223333333333334</v>
      </c>
      <c r="AF243" s="76" t="n">
        <v>0.3193333333333333</v>
      </c>
      <c r="AG243" s="76" t="n">
        <v>0.317</v>
      </c>
      <c r="AH243" s="76" t="n">
        <v>0.3203333333333334</v>
      </c>
      <c r="AI243" s="76" t="n">
        <v>0.324</v>
      </c>
      <c r="AJ243" s="76" t="n">
        <v>0.327</v>
      </c>
      <c r="AK243" s="76" t="n">
        <v>0.3303333333333334</v>
      </c>
      <c r="AL243" s="76" t="n">
        <v>0.3336666666666667</v>
      </c>
      <c r="AM243" s="76" t="n">
        <v>0.336</v>
      </c>
      <c r="AN243" s="76" t="n">
        <v>0.338</v>
      </c>
      <c r="AO243" s="76" t="n">
        <v>0.34</v>
      </c>
      <c r="AP243" s="76" t="n">
        <v>0.3423333333333334</v>
      </c>
      <c r="AQ243" s="76" t="n">
        <v>0.3443333333333333</v>
      </c>
      <c r="AR243" s="76" t="n">
        <v>0.3337857142857142</v>
      </c>
    </row>
    <row r="244">
      <c r="A244" s="76" t="inlineStr">
        <is>
          <t>LA</t>
        </is>
      </c>
      <c r="B244" s="76" t="inlineStr">
        <is>
          <t>LA</t>
        </is>
      </c>
      <c r="C244" s="76" t="n">
        <v>0.324</v>
      </c>
      <c r="D244" s="76" t="n">
        <v>0.3333636363636364</v>
      </c>
      <c r="E244" s="76" t="n">
        <v>0.3772</v>
      </c>
      <c r="F244" s="76" t="n">
        <v>0.3689</v>
      </c>
      <c r="G244" s="76" t="n">
        <v>0.3628</v>
      </c>
      <c r="H244" s="76" t="n">
        <v>0.3265833333333334</v>
      </c>
      <c r="I244" s="76" t="n">
        <v>0.3310833333333333</v>
      </c>
      <c r="J244" s="76" t="n">
        <v>0.3171538461538462</v>
      </c>
      <c r="K244" s="76" t="n">
        <v>0.3133846153846154</v>
      </c>
      <c r="L244" s="76" t="n">
        <v>0.3112307692307692</v>
      </c>
      <c r="M244" s="76" t="n">
        <v>0.3089230769230769</v>
      </c>
      <c r="N244" s="76" t="n">
        <v>0.301</v>
      </c>
      <c r="O244" s="76" t="n">
        <v>0.2972857142857143</v>
      </c>
      <c r="P244" s="76" t="n">
        <v>0.292</v>
      </c>
      <c r="Q244" s="76" t="n">
        <v>0.2956428571428572</v>
      </c>
      <c r="R244" s="76" t="n">
        <v>0.2793125</v>
      </c>
      <c r="S244" s="76" t="n">
        <v>0.2841875</v>
      </c>
      <c r="T244" s="76" t="n">
        <v>0.2788125</v>
      </c>
      <c r="U244" s="76" t="n">
        <v>0.2415333333333333</v>
      </c>
      <c r="V244" s="76" t="n">
        <v>0.2352</v>
      </c>
      <c r="W244" s="76" t="n">
        <v>0.2304666666666667</v>
      </c>
      <c r="X244" s="76" t="n">
        <v>0.2325333333333333</v>
      </c>
      <c r="Y244" s="76" t="n">
        <v>0.2330666666666667</v>
      </c>
      <c r="Z244" s="76" t="n">
        <v>0.2257333333333333</v>
      </c>
      <c r="AA244" s="76" t="n">
        <v>0.2178666666666667</v>
      </c>
      <c r="AB244" s="76" t="n">
        <v>0.2245714285714286</v>
      </c>
      <c r="AC244" s="76" t="n">
        <v>0.2232</v>
      </c>
      <c r="AD244" s="76" t="n">
        <v>0.2216666666666667</v>
      </c>
      <c r="AE244" s="76" t="n">
        <v>0.2202</v>
      </c>
      <c r="AF244" s="76" t="n">
        <v>0.2188</v>
      </c>
      <c r="AG244" s="76" t="n">
        <v>0.2173333333333333</v>
      </c>
      <c r="AH244" s="76" t="n">
        <v>0.2324375</v>
      </c>
      <c r="AI244" s="76" t="n">
        <v>0.2335625</v>
      </c>
      <c r="AJ244" s="76" t="n">
        <v>0.234375</v>
      </c>
      <c r="AK244" s="76" t="n">
        <v>0.235125</v>
      </c>
      <c r="AL244" s="76" t="n">
        <v>0.2358125</v>
      </c>
      <c r="AM244" s="76" t="n">
        <v>0.23675</v>
      </c>
      <c r="AN244" s="76" t="n">
        <v>0.23725</v>
      </c>
      <c r="AO244" s="76" t="n">
        <v>0.2375625</v>
      </c>
      <c r="AP244" s="76" t="n">
        <v>0.2378125</v>
      </c>
      <c r="AQ244" s="76" t="n">
        <v>0.1935333333333334</v>
      </c>
      <c r="AR244" s="76" t="n">
        <v>0.2620393162393163</v>
      </c>
    </row>
    <row r="245">
      <c r="A245" s="76" t="inlineStr">
        <is>
          <t>LA</t>
        </is>
      </c>
      <c r="B245" s="76" t="inlineStr">
        <is>
          <t>Battery</t>
        </is>
      </c>
      <c r="C245" s="76" t="n"/>
      <c r="D245" s="76" t="n"/>
      <c r="E245" s="76" t="n"/>
      <c r="F245" s="76" t="n"/>
      <c r="G245" s="76" t="n"/>
      <c r="H245" s="76" t="n">
        <v>0</v>
      </c>
      <c r="I245" s="76" t="n">
        <v>0</v>
      </c>
      <c r="J245" s="76" t="n">
        <v>0</v>
      </c>
      <c r="K245" s="76" t="n">
        <v>-0.001</v>
      </c>
      <c r="L245" s="76" t="n">
        <v>0</v>
      </c>
      <c r="M245" s="76" t="n">
        <v>0</v>
      </c>
      <c r="N245" s="76" t="n">
        <v>0</v>
      </c>
      <c r="O245" s="76" t="n">
        <v>0</v>
      </c>
      <c r="P245" s="76" t="n">
        <v>0</v>
      </c>
      <c r="Q245" s="76" t="n">
        <v>0</v>
      </c>
      <c r="R245" s="76" t="n">
        <v>-0.0375</v>
      </c>
      <c r="S245" s="76" t="n">
        <v>-0.043</v>
      </c>
      <c r="T245" s="76" t="n">
        <v>-0.0425</v>
      </c>
      <c r="U245" s="76" t="n">
        <v>-0.043</v>
      </c>
      <c r="V245" s="76" t="n">
        <v>-0.046</v>
      </c>
      <c r="W245" s="76" t="n">
        <v>-0.046</v>
      </c>
      <c r="X245" s="76" t="n">
        <v>-0.05</v>
      </c>
      <c r="Y245" s="76" t="n">
        <v>-0.0515</v>
      </c>
      <c r="Z245" s="76" t="n">
        <v>-0.054</v>
      </c>
      <c r="AA245" s="76" t="n">
        <v>-0.0545</v>
      </c>
      <c r="AB245" s="76" t="n">
        <v>-0.055</v>
      </c>
      <c r="AC245" s="76" t="n">
        <v>-0.056</v>
      </c>
      <c r="AD245" s="76" t="n">
        <v>-0.057</v>
      </c>
      <c r="AE245" s="76" t="n">
        <v>-0.0575</v>
      </c>
      <c r="AF245" s="76" t="n">
        <v>-0.0585</v>
      </c>
      <c r="AG245" s="76" t="n">
        <v>-0.059</v>
      </c>
      <c r="AH245" s="76" t="n">
        <v>-0.0585</v>
      </c>
      <c r="AI245" s="76" t="n">
        <v>-0.058</v>
      </c>
      <c r="AJ245" s="76" t="n">
        <v>-0.057</v>
      </c>
      <c r="AK245" s="76" t="n">
        <v>-0.056</v>
      </c>
      <c r="AL245" s="76" t="n">
        <v>-0.0555</v>
      </c>
      <c r="AM245" s="76" t="n">
        <v>-0.052</v>
      </c>
      <c r="AN245" s="76" t="n">
        <v>-0.049</v>
      </c>
      <c r="AO245" s="76" t="n">
        <v>-0.0465</v>
      </c>
      <c r="AP245" s="76" t="n">
        <v>-0.044</v>
      </c>
      <c r="AQ245" s="76" t="n">
        <v>-0.042</v>
      </c>
      <c r="AR245" s="76" t="n">
        <v>-0.04290322580645162</v>
      </c>
    </row>
    <row r="246">
      <c r="A246" s="76" t="inlineStr">
        <is>
          <t>LA</t>
        </is>
      </c>
      <c r="B246" s="76" t="inlineStr">
        <is>
          <t>Biopower</t>
        </is>
      </c>
      <c r="C246" s="76" t="n">
        <v>0</v>
      </c>
      <c r="D246" s="76" t="n">
        <v>0</v>
      </c>
      <c r="E246" s="76" t="n">
        <v>0</v>
      </c>
      <c r="F246" s="76" t="n">
        <v>0.036</v>
      </c>
      <c r="G246" s="76" t="n">
        <v>0.07199999999999999</v>
      </c>
      <c r="H246" s="76" t="n">
        <v>0.036</v>
      </c>
      <c r="I246" s="76" t="n">
        <v>0</v>
      </c>
      <c r="J246" s="76" t="n">
        <v>0</v>
      </c>
      <c r="K246" s="76" t="n">
        <v>0</v>
      </c>
      <c r="L246" s="76" t="n">
        <v>0</v>
      </c>
      <c r="M246" s="76" t="n">
        <v>0</v>
      </c>
      <c r="N246" s="76" t="n">
        <v>0</v>
      </c>
      <c r="O246" s="76" t="n">
        <v>0</v>
      </c>
      <c r="P246" s="76" t="n">
        <v>0</v>
      </c>
      <c r="Q246" s="76" t="n">
        <v>0</v>
      </c>
      <c r="R246" s="76" t="n">
        <v>0</v>
      </c>
      <c r="S246" s="76" t="n">
        <v>0</v>
      </c>
      <c r="T246" s="76" t="n">
        <v>0</v>
      </c>
      <c r="U246" s="76" t="n">
        <v>0</v>
      </c>
      <c r="V246" s="76" t="n">
        <v>0</v>
      </c>
      <c r="W246" s="76" t="n">
        <v>0</v>
      </c>
      <c r="X246" s="76" t="n">
        <v>0</v>
      </c>
      <c r="Y246" s="76" t="n">
        <v>0</v>
      </c>
      <c r="Z246" s="76" t="n">
        <v>0</v>
      </c>
      <c r="AA246" s="76" t="n">
        <v>0</v>
      </c>
      <c r="AB246" s="76" t="n"/>
      <c r="AC246" s="76" t="n"/>
      <c r="AD246" s="76" t="n"/>
      <c r="AE246" s="76" t="n"/>
      <c r="AF246" s="76" t="n"/>
      <c r="AG246" s="76" t="n"/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>
        <v>0.005759999999999999</v>
      </c>
    </row>
    <row r="247">
      <c r="A247" s="76" t="inlineStr">
        <is>
          <t>LA</t>
        </is>
      </c>
      <c r="B247" s="76" t="inlineStr">
        <is>
          <t>Coal</t>
        </is>
      </c>
      <c r="C247" s="76" t="n">
        <v>0.846</v>
      </c>
      <c r="D247" s="76" t="n">
        <v>0.749</v>
      </c>
      <c r="E247" s="76" t="n">
        <v>0.653</v>
      </c>
      <c r="F247" s="76" t="n">
        <v>0.728</v>
      </c>
      <c r="G247" s="76" t="n">
        <v>0.822</v>
      </c>
      <c r="H247" s="76" t="n">
        <v>0.545</v>
      </c>
      <c r="I247" s="76" t="n">
        <v>0.268</v>
      </c>
      <c r="J247" s="76" t="n">
        <v>0.334</v>
      </c>
      <c r="K247" s="76" t="n">
        <v>0.423</v>
      </c>
      <c r="L247" s="76" t="n">
        <v>0.247</v>
      </c>
      <c r="M247" s="76" t="n">
        <v>0.07199999999999999</v>
      </c>
      <c r="N247" s="76" t="n">
        <v>0.107</v>
      </c>
      <c r="O247" s="76" t="n">
        <v>0.141</v>
      </c>
      <c r="P247" s="76" t="n">
        <v>0.213</v>
      </c>
      <c r="Q247" s="76" t="n">
        <v>0.4</v>
      </c>
      <c r="R247" s="76" t="n">
        <v>0.576</v>
      </c>
      <c r="S247" s="76" t="n">
        <v>0.752</v>
      </c>
      <c r="T247" s="76" t="n">
        <v>0.752</v>
      </c>
      <c r="U247" s="76" t="n"/>
      <c r="V247" s="76" t="n"/>
      <c r="W247" s="76" t="n"/>
      <c r="X247" s="76" t="n"/>
      <c r="Y247" s="76" t="n"/>
      <c r="Z247" s="76" t="n"/>
      <c r="AA247" s="76" t="n"/>
      <c r="AB247" s="76" t="n"/>
      <c r="AC247" s="76" t="n"/>
      <c r="AD247" s="76" t="n"/>
      <c r="AE247" s="76" t="n"/>
      <c r="AF247" s="76" t="n"/>
      <c r="AG247" s="76" t="n"/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>
        <v>0.4793333333333333</v>
      </c>
    </row>
    <row r="248">
      <c r="A248" s="76" t="inlineStr">
        <is>
          <t>LA</t>
        </is>
      </c>
      <c r="B248" s="76" t="inlineStr">
        <is>
          <t>CSP</t>
        </is>
      </c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  <c r="AA248" s="76" t="n"/>
      <c r="AB248" s="76" t="n"/>
      <c r="AC248" s="76" t="n"/>
      <c r="AD248" s="76" t="n"/>
      <c r="AE248" s="76" t="n"/>
      <c r="AF248" s="76" t="n"/>
      <c r="AG248" s="76" t="n"/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</row>
    <row r="249">
      <c r="A249" s="76" t="inlineStr">
        <is>
          <t>LA</t>
        </is>
      </c>
      <c r="B249" s="76" t="inlineStr">
        <is>
          <t>Dist PV</t>
        </is>
      </c>
      <c r="C249" s="76" t="n">
        <v>0.173</v>
      </c>
      <c r="D249" s="76" t="n">
        <v>0.173</v>
      </c>
      <c r="E249" s="76" t="n">
        <v>0.173</v>
      </c>
      <c r="F249" s="76" t="n">
        <v>0.173</v>
      </c>
      <c r="G249" s="76" t="n">
        <v>0.173</v>
      </c>
      <c r="H249" s="76" t="n">
        <v>0.173</v>
      </c>
      <c r="I249" s="76" t="n">
        <v>0.173</v>
      </c>
      <c r="J249" s="76" t="n">
        <v>0.173</v>
      </c>
      <c r="K249" s="76" t="n">
        <v>0.173</v>
      </c>
      <c r="L249" s="76" t="n">
        <v>0.173</v>
      </c>
      <c r="M249" s="76" t="n">
        <v>0.173</v>
      </c>
      <c r="N249" s="76" t="n">
        <v>0.173</v>
      </c>
      <c r="O249" s="76" t="n">
        <v>0.173</v>
      </c>
      <c r="P249" s="76" t="n">
        <v>0.173</v>
      </c>
      <c r="Q249" s="76" t="n">
        <v>0.173</v>
      </c>
      <c r="R249" s="76" t="n">
        <v>0.173</v>
      </c>
      <c r="S249" s="76" t="n">
        <v>0.173</v>
      </c>
      <c r="T249" s="76" t="n">
        <v>0.173</v>
      </c>
      <c r="U249" s="76" t="n">
        <v>0.173</v>
      </c>
      <c r="V249" s="76" t="n">
        <v>0.1385</v>
      </c>
      <c r="W249" s="76" t="n">
        <v>0.1135</v>
      </c>
      <c r="X249" s="76" t="n">
        <v>0.1305</v>
      </c>
      <c r="Y249" s="76" t="n">
        <v>0.145</v>
      </c>
      <c r="Z249" s="76" t="n">
        <v>0.155</v>
      </c>
      <c r="AA249" s="76" t="n">
        <v>0.1645</v>
      </c>
      <c r="AB249" s="76" t="n">
        <v>0.173</v>
      </c>
      <c r="AC249" s="76" t="n">
        <v>0.173</v>
      </c>
      <c r="AD249" s="76" t="n">
        <v>0.173</v>
      </c>
      <c r="AE249" s="76" t="n">
        <v>0.173</v>
      </c>
      <c r="AF249" s="76" t="n">
        <v>0.173</v>
      </c>
      <c r="AG249" s="76" t="n">
        <v>0.173</v>
      </c>
      <c r="AH249" s="76" t="n">
        <v>0.17</v>
      </c>
      <c r="AI249" s="76" t="n">
        <v>0.167</v>
      </c>
      <c r="AJ249" s="76" t="n">
        <v>0.164</v>
      </c>
      <c r="AK249" s="76" t="n">
        <v>0.161</v>
      </c>
      <c r="AL249" s="76" t="n">
        <v>0.1585</v>
      </c>
      <c r="AM249" s="76" t="n">
        <v>0.1585</v>
      </c>
      <c r="AN249" s="76" t="n">
        <v>0.1585</v>
      </c>
      <c r="AO249" s="76" t="n">
        <v>0.1585</v>
      </c>
      <c r="AP249" s="76" t="n">
        <v>0.1585</v>
      </c>
      <c r="AQ249" s="76" t="n">
        <v>0.1585</v>
      </c>
      <c r="AR249" s="76" t="n">
        <v>0.1647866666666667</v>
      </c>
    </row>
    <row r="250">
      <c r="A250" s="76" t="inlineStr">
        <is>
          <t>LA</t>
        </is>
      </c>
      <c r="B250" s="76" t="inlineStr">
        <is>
          <t>Gas CCGT</t>
        </is>
      </c>
      <c r="C250" s="76" t="n">
        <v>0.4945</v>
      </c>
      <c r="D250" s="76" t="n">
        <v>0.6365000000000001</v>
      </c>
      <c r="E250" s="76" t="n">
        <v>0.7785</v>
      </c>
      <c r="F250" s="76" t="n">
        <v>0.6535</v>
      </c>
      <c r="G250" s="76" t="n">
        <v>0.529</v>
      </c>
      <c r="H250" s="76" t="n">
        <v>0.6725000000000001</v>
      </c>
      <c r="I250" s="76" t="n">
        <v>0.8140000000000001</v>
      </c>
      <c r="J250" s="76" t="n">
        <v>0.7935000000000001</v>
      </c>
      <c r="K250" s="76" t="n">
        <v>0.7735000000000001</v>
      </c>
      <c r="L250" s="76" t="n">
        <v>0.7805</v>
      </c>
      <c r="M250" s="76" t="n">
        <v>0.788</v>
      </c>
      <c r="N250" s="76" t="n">
        <v>0.7685</v>
      </c>
      <c r="O250" s="76" t="n">
        <v>0.749</v>
      </c>
      <c r="P250" s="76" t="n">
        <v>0.7155</v>
      </c>
      <c r="Q250" s="76" t="n">
        <v>0.6820000000000001</v>
      </c>
      <c r="R250" s="76" t="n">
        <v>0.656</v>
      </c>
      <c r="S250" s="76" t="n">
        <v>0.6305000000000001</v>
      </c>
      <c r="T250" s="76" t="n">
        <v>0.593</v>
      </c>
      <c r="U250" s="76" t="n">
        <v>0.5555</v>
      </c>
      <c r="V250" s="76" t="n">
        <v>0.5635</v>
      </c>
      <c r="W250" s="76" t="n">
        <v>0.5710000000000001</v>
      </c>
      <c r="X250" s="76" t="n">
        <v>0.5635</v>
      </c>
      <c r="Y250" s="76" t="n">
        <v>0.5565</v>
      </c>
      <c r="Z250" s="76" t="n">
        <v>0.4914999999999999</v>
      </c>
      <c r="AA250" s="76" t="n">
        <v>0.425</v>
      </c>
      <c r="AB250" s="76" t="n">
        <v>0.3565</v>
      </c>
      <c r="AC250" s="76" t="n">
        <v>0.3505</v>
      </c>
      <c r="AD250" s="76" t="n">
        <v>0.344</v>
      </c>
      <c r="AE250" s="76" t="n">
        <v>0.3375</v>
      </c>
      <c r="AF250" s="76" t="n">
        <v>0.331</v>
      </c>
      <c r="AG250" s="76" t="n">
        <v>0.3245</v>
      </c>
      <c r="AH250" s="76" t="n">
        <v>0.3275</v>
      </c>
      <c r="AI250" s="76" t="n">
        <v>0.3295</v>
      </c>
      <c r="AJ250" s="76" t="n">
        <v>0.332</v>
      </c>
      <c r="AK250" s="76" t="n">
        <v>0.3345</v>
      </c>
      <c r="AL250" s="76" t="n">
        <v>0.3375</v>
      </c>
      <c r="AM250" s="76" t="n">
        <v>0.3335</v>
      </c>
      <c r="AN250" s="76" t="n">
        <v>0.3295</v>
      </c>
      <c r="AO250" s="76" t="n">
        <v>0.326</v>
      </c>
      <c r="AP250" s="76" t="n">
        <v>0.3225</v>
      </c>
      <c r="AQ250" s="76" t="n">
        <v>0.318</v>
      </c>
      <c r="AR250" s="76" t="n">
        <v>0.5260853658536586</v>
      </c>
    </row>
    <row r="251">
      <c r="A251" s="76" t="inlineStr">
        <is>
          <t>LA</t>
        </is>
      </c>
      <c r="B251" s="76" t="inlineStr">
        <is>
          <t>Gas CT</t>
        </is>
      </c>
      <c r="C251" s="76" t="n">
        <v>0.0025</v>
      </c>
      <c r="D251" s="76" t="n">
        <v>0.0035</v>
      </c>
      <c r="E251" s="76" t="n">
        <v>0.005</v>
      </c>
      <c r="F251" s="76" t="n">
        <v>0.004500000000000001</v>
      </c>
      <c r="G251" s="76" t="n">
        <v>0.004500000000000001</v>
      </c>
      <c r="H251" s="76" t="n">
        <v>0.0075</v>
      </c>
      <c r="I251" s="76" t="n">
        <v>0.0105</v>
      </c>
      <c r="J251" s="76" t="n">
        <v>0.027</v>
      </c>
      <c r="K251" s="76" t="n">
        <v>0.032</v>
      </c>
      <c r="L251" s="76" t="n">
        <v>0.0655</v>
      </c>
      <c r="M251" s="76" t="n">
        <v>0.09950000000000001</v>
      </c>
      <c r="N251" s="76" t="n">
        <v>0.097</v>
      </c>
      <c r="O251" s="76" t="n">
        <v>0.095</v>
      </c>
      <c r="P251" s="76" t="n">
        <v>0.075</v>
      </c>
      <c r="Q251" s="76" t="n">
        <v>0.0545</v>
      </c>
      <c r="R251" s="76" t="n">
        <v>0.038</v>
      </c>
      <c r="S251" s="76" t="n">
        <v>0.021</v>
      </c>
      <c r="T251" s="76" t="n">
        <v>0.017</v>
      </c>
      <c r="U251" s="76" t="n">
        <v>0.0125</v>
      </c>
      <c r="V251" s="76" t="n">
        <v>0.01</v>
      </c>
      <c r="W251" s="76" t="n">
        <v>0.008</v>
      </c>
      <c r="X251" s="76" t="n">
        <v>0.0055</v>
      </c>
      <c r="Y251" s="76" t="n">
        <v>0.003</v>
      </c>
      <c r="Z251" s="76" t="n">
        <v>0.002</v>
      </c>
      <c r="AA251" s="76" t="n">
        <v>0.001</v>
      </c>
      <c r="AB251" s="76" t="n">
        <v>0</v>
      </c>
      <c r="AC251" s="76" t="n">
        <v>0</v>
      </c>
      <c r="AD251" s="76" t="n">
        <v>0</v>
      </c>
      <c r="AE251" s="76" t="n">
        <v>0</v>
      </c>
      <c r="AF251" s="76" t="n">
        <v>0</v>
      </c>
      <c r="AG251" s="76" t="n">
        <v>0</v>
      </c>
      <c r="AH251" s="76" t="n">
        <v>0</v>
      </c>
      <c r="AI251" s="76" t="n">
        <v>0</v>
      </c>
      <c r="AJ251" s="76" t="n">
        <v>0</v>
      </c>
      <c r="AK251" s="76" t="n">
        <v>0</v>
      </c>
      <c r="AL251" s="76" t="n">
        <v>0</v>
      </c>
      <c r="AM251" s="76" t="n">
        <v>0</v>
      </c>
      <c r="AN251" s="76" t="n">
        <v>0</v>
      </c>
      <c r="AO251" s="76" t="n">
        <v>0</v>
      </c>
      <c r="AP251" s="76" t="n">
        <v>0</v>
      </c>
      <c r="AQ251" s="76" t="n">
        <v>0</v>
      </c>
      <c r="AR251" s="76" t="n">
        <v>0.01710975609756097</v>
      </c>
    </row>
    <row r="252">
      <c r="A252" s="76" t="inlineStr">
        <is>
          <t>LA</t>
        </is>
      </c>
      <c r="B252" s="76" t="inlineStr">
        <is>
          <t>Geothermal</t>
        </is>
      </c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  <c r="AA252" s="76" t="n"/>
      <c r="AB252" s="76" t="n"/>
      <c r="AC252" s="76" t="n"/>
      <c r="AD252" s="76" t="n"/>
      <c r="AE252" s="76" t="n"/>
      <c r="AF252" s="76" t="n"/>
      <c r="AG252" s="76" t="n"/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</row>
    <row r="253">
      <c r="A253" s="76" t="inlineStr">
        <is>
          <t>LA</t>
        </is>
      </c>
      <c r="B253" s="76" t="inlineStr">
        <is>
          <t>Hydro</t>
        </is>
      </c>
      <c r="C253" s="76" t="n">
        <v>0.649</v>
      </c>
      <c r="D253" s="76" t="n">
        <v>0.5629999999999999</v>
      </c>
      <c r="E253" s="76" t="n">
        <v>0.477</v>
      </c>
      <c r="F253" s="76" t="n">
        <v>0.534</v>
      </c>
      <c r="G253" s="76" t="n">
        <v>0.592</v>
      </c>
      <c r="H253" s="76" t="n">
        <v>0.5600000000000001</v>
      </c>
      <c r="I253" s="76" t="n">
        <v>0.528</v>
      </c>
      <c r="J253" s="76" t="n">
        <v>0.528</v>
      </c>
      <c r="K253" s="76" t="n">
        <v>0.528</v>
      </c>
      <c r="L253" s="76" t="n">
        <v>0.528</v>
      </c>
      <c r="M253" s="76" t="n">
        <v>0.528</v>
      </c>
      <c r="N253" s="76" t="n">
        <v>0.528</v>
      </c>
      <c r="O253" s="76" t="n">
        <v>0.528</v>
      </c>
      <c r="P253" s="76" t="n">
        <v>0.528</v>
      </c>
      <c r="Q253" s="76" t="n">
        <v>0.528</v>
      </c>
      <c r="R253" s="76" t="n">
        <v>0.528</v>
      </c>
      <c r="S253" s="76" t="n">
        <v>0.528</v>
      </c>
      <c r="T253" s="76" t="n">
        <v>0.528</v>
      </c>
      <c r="U253" s="76" t="n">
        <v>0.528</v>
      </c>
      <c r="V253" s="76" t="n">
        <v>0.528</v>
      </c>
      <c r="W253" s="76" t="n">
        <v>0.528</v>
      </c>
      <c r="X253" s="76" t="n">
        <v>0.528</v>
      </c>
      <c r="Y253" s="76" t="n">
        <v>0.528</v>
      </c>
      <c r="Z253" s="76" t="n">
        <v>0.528</v>
      </c>
      <c r="AA253" s="76" t="n">
        <v>0.528</v>
      </c>
      <c r="AB253" s="76" t="n">
        <v>0.528</v>
      </c>
      <c r="AC253" s="76" t="n">
        <v>0.528</v>
      </c>
      <c r="AD253" s="76" t="n">
        <v>0.528</v>
      </c>
      <c r="AE253" s="76" t="n">
        <v>0.528</v>
      </c>
      <c r="AF253" s="76" t="n">
        <v>0.528</v>
      </c>
      <c r="AG253" s="76" t="n">
        <v>0.528</v>
      </c>
      <c r="AH253" s="76" t="n">
        <v>0.528</v>
      </c>
      <c r="AI253" s="76" t="n">
        <v>0.528</v>
      </c>
      <c r="AJ253" s="76" t="n">
        <v>0.528</v>
      </c>
      <c r="AK253" s="76" t="n">
        <v>0.528</v>
      </c>
      <c r="AL253" s="76" t="n">
        <v>0.528</v>
      </c>
      <c r="AM253" s="76" t="n">
        <v>0.528</v>
      </c>
      <c r="AN253" s="76" t="n">
        <v>0.528</v>
      </c>
      <c r="AO253" s="76" t="n">
        <v>0.528</v>
      </c>
      <c r="AP253" s="76" t="n">
        <v>0.528</v>
      </c>
      <c r="AQ253" s="76" t="n">
        <v>0.528</v>
      </c>
      <c r="AR253" s="76" t="n">
        <v>0.5330487804878047</v>
      </c>
    </row>
    <row r="254">
      <c r="A254" s="76" t="inlineStr">
        <is>
          <t>LA</t>
        </is>
      </c>
      <c r="B254" s="76" t="inlineStr">
        <is>
          <t>Nuclear</t>
        </is>
      </c>
      <c r="C254" s="76" t="n">
        <v>0.902</v>
      </c>
      <c r="D254" s="76" t="n">
        <v>0.902</v>
      </c>
      <c r="E254" s="76" t="n">
        <v>0.902</v>
      </c>
      <c r="F254" s="76" t="n">
        <v>0.902</v>
      </c>
      <c r="G254" s="76" t="n">
        <v>0.902</v>
      </c>
      <c r="H254" s="76" t="n">
        <v>0.902</v>
      </c>
      <c r="I254" s="76" t="n">
        <v>0.902</v>
      </c>
      <c r="J254" s="76" t="n">
        <v>0.902</v>
      </c>
      <c r="K254" s="76" t="n">
        <v>0.902</v>
      </c>
      <c r="L254" s="76" t="n">
        <v>0.902</v>
      </c>
      <c r="M254" s="76" t="n">
        <v>0.902</v>
      </c>
      <c r="N254" s="76" t="n">
        <v>0.902</v>
      </c>
      <c r="O254" s="76" t="n">
        <v>0.902</v>
      </c>
      <c r="P254" s="76" t="n">
        <v>0.902</v>
      </c>
      <c r="Q254" s="76" t="n">
        <v>0.902</v>
      </c>
      <c r="R254" s="76" t="n">
        <v>0.902</v>
      </c>
      <c r="S254" s="76" t="n">
        <v>0.902</v>
      </c>
      <c r="T254" s="76" t="n">
        <v>0.902</v>
      </c>
      <c r="U254" s="76" t="n">
        <v>0.902</v>
      </c>
      <c r="V254" s="76" t="n">
        <v>0.902</v>
      </c>
      <c r="W254" s="76" t="n">
        <v>0.902</v>
      </c>
      <c r="X254" s="76" t="n">
        <v>0.902</v>
      </c>
      <c r="Y254" s="76" t="n">
        <v>0.902</v>
      </c>
      <c r="Z254" s="76" t="n">
        <v>0.902</v>
      </c>
      <c r="AA254" s="76" t="n">
        <v>0.902</v>
      </c>
      <c r="AB254" s="76" t="n">
        <v>0.902</v>
      </c>
      <c r="AC254" s="76" t="n">
        <v>0.902</v>
      </c>
      <c r="AD254" s="76" t="n">
        <v>0.902</v>
      </c>
      <c r="AE254" s="76" t="n">
        <v>0.902</v>
      </c>
      <c r="AF254" s="76" t="n">
        <v>0.902</v>
      </c>
      <c r="AG254" s="76" t="n">
        <v>0.902</v>
      </c>
      <c r="AH254" s="76" t="n">
        <v>0.902</v>
      </c>
      <c r="AI254" s="76" t="n">
        <v>0.902</v>
      </c>
      <c r="AJ254" s="76" t="n">
        <v>0.902</v>
      </c>
      <c r="AK254" s="76" t="n">
        <v>0.902</v>
      </c>
      <c r="AL254" s="76" t="n">
        <v>0.902</v>
      </c>
      <c r="AM254" s="76" t="n">
        <v>0.902</v>
      </c>
      <c r="AN254" s="76" t="n">
        <v>0.902</v>
      </c>
      <c r="AO254" s="76" t="n">
        <v>0.902</v>
      </c>
      <c r="AP254" s="76" t="n">
        <v>0.902</v>
      </c>
      <c r="AQ254" s="76" t="n"/>
      <c r="AR254" s="76" t="n">
        <v>0.9020000000000004</v>
      </c>
    </row>
    <row r="255">
      <c r="A255" s="76" t="inlineStr">
        <is>
          <t>LA</t>
        </is>
      </c>
      <c r="B255" s="76" t="inlineStr">
        <is>
          <t>Other</t>
        </is>
      </c>
      <c r="C255" s="76" t="n">
        <v>0</v>
      </c>
      <c r="D255" s="76" t="n">
        <v>0</v>
      </c>
      <c r="E255" s="76" t="n">
        <v>0</v>
      </c>
      <c r="F255" s="76" t="n">
        <v>0</v>
      </c>
      <c r="G255" s="76" t="n">
        <v>0</v>
      </c>
      <c r="H255" s="76" t="n">
        <v>0.081</v>
      </c>
      <c r="I255" s="76" t="n">
        <v>0.191</v>
      </c>
      <c r="J255" s="76" t="n">
        <v>0.111</v>
      </c>
      <c r="K255" s="76" t="n">
        <v>0.006</v>
      </c>
      <c r="L255" s="76" t="n">
        <v>0.06900000000000001</v>
      </c>
      <c r="M255" s="76" t="n">
        <v>0.131</v>
      </c>
      <c r="N255" s="76" t="n">
        <v>0.091</v>
      </c>
      <c r="O255" s="76" t="n">
        <v>0.05</v>
      </c>
      <c r="P255" s="76" t="n">
        <v>0.025</v>
      </c>
      <c r="Q255" s="76" t="n">
        <v>0</v>
      </c>
      <c r="R255" s="76" t="n">
        <v>0</v>
      </c>
      <c r="S255" s="76" t="n">
        <v>0</v>
      </c>
      <c r="T255" s="76" t="n">
        <v>0</v>
      </c>
      <c r="U255" s="76" t="n">
        <v>0</v>
      </c>
      <c r="V255" s="76" t="n">
        <v>0</v>
      </c>
      <c r="W255" s="76" t="n">
        <v>0</v>
      </c>
      <c r="X255" s="76" t="n">
        <v>0</v>
      </c>
      <c r="Y255" s="76" t="n">
        <v>0</v>
      </c>
      <c r="Z255" s="76" t="n">
        <v>0</v>
      </c>
      <c r="AA255" s="76" t="n">
        <v>0</v>
      </c>
      <c r="AB255" s="76" t="n">
        <v>0</v>
      </c>
      <c r="AC255" s="76" t="n">
        <v>0</v>
      </c>
      <c r="AD255" s="76" t="n">
        <v>0</v>
      </c>
      <c r="AE255" s="76" t="n">
        <v>0</v>
      </c>
      <c r="AF255" s="76" t="n">
        <v>0</v>
      </c>
      <c r="AG255" s="76" t="n">
        <v>0</v>
      </c>
      <c r="AH255" s="76" t="n">
        <v>0</v>
      </c>
      <c r="AI255" s="76" t="n">
        <v>0</v>
      </c>
      <c r="AJ255" s="76" t="n">
        <v>0</v>
      </c>
      <c r="AK255" s="76" t="n">
        <v>0</v>
      </c>
      <c r="AL255" s="76" t="n">
        <v>0</v>
      </c>
      <c r="AM255" s="76" t="n">
        <v>0</v>
      </c>
      <c r="AN255" s="76" t="n">
        <v>0</v>
      </c>
      <c r="AO255" s="76" t="n">
        <v>0</v>
      </c>
      <c r="AP255" s="76" t="n">
        <v>0</v>
      </c>
      <c r="AQ255" s="76" t="n">
        <v>0</v>
      </c>
      <c r="AR255" s="76" t="n">
        <v>0.01755813953488372</v>
      </c>
    </row>
    <row r="256">
      <c r="A256" s="76" t="inlineStr">
        <is>
          <t>LA</t>
        </is>
      </c>
      <c r="B256" s="76" t="inlineStr">
        <is>
          <t>Utility PV</t>
        </is>
      </c>
      <c r="C256" s="76" t="n"/>
      <c r="D256" s="76" t="n"/>
      <c r="E256" s="76" t="n"/>
      <c r="F256" s="76" t="n"/>
      <c r="G256" s="76" t="n"/>
      <c r="H256" s="76" t="n">
        <v>0.262</v>
      </c>
      <c r="I256" s="76" t="n">
        <v>0.262</v>
      </c>
      <c r="J256" s="76" t="n">
        <v>0.261</v>
      </c>
      <c r="K256" s="76" t="n">
        <v>0.259</v>
      </c>
      <c r="L256" s="76" t="n">
        <v>0.262</v>
      </c>
      <c r="M256" s="76" t="n">
        <v>0.262</v>
      </c>
      <c r="N256" s="76" t="n">
        <v>0.2545</v>
      </c>
      <c r="O256" s="76" t="n">
        <v>0.2535</v>
      </c>
      <c r="P256" s="76" t="n">
        <v>0.2465</v>
      </c>
      <c r="Q256" s="76" t="n">
        <v>0.245</v>
      </c>
      <c r="R256" s="76" t="n">
        <v>0.244</v>
      </c>
      <c r="S256" s="76" t="n">
        <v>0.243</v>
      </c>
      <c r="T256" s="76" t="n">
        <v>0.24</v>
      </c>
      <c r="U256" s="76" t="n">
        <v>0.2385</v>
      </c>
      <c r="V256" s="76" t="n">
        <v>0.235</v>
      </c>
      <c r="W256" s="76" t="n">
        <v>0.231</v>
      </c>
      <c r="X256" s="76" t="n">
        <v>0.232</v>
      </c>
      <c r="Y256" s="76" t="n">
        <v>0.2325</v>
      </c>
      <c r="Z256" s="76" t="n">
        <v>0.2315</v>
      </c>
      <c r="AA256" s="76" t="n">
        <v>0.23</v>
      </c>
      <c r="AB256" s="76" t="n">
        <v>0.2285</v>
      </c>
      <c r="AC256" s="76" t="n">
        <v>0.227</v>
      </c>
      <c r="AD256" s="76" t="n">
        <v>0.2255</v>
      </c>
      <c r="AE256" s="76" t="n">
        <v>0.224</v>
      </c>
      <c r="AF256" s="76" t="n">
        <v>0.2235</v>
      </c>
      <c r="AG256" s="76" t="n">
        <v>0.222</v>
      </c>
      <c r="AH256" s="76" t="n">
        <v>0.2215</v>
      </c>
      <c r="AI256" s="76" t="n">
        <v>0.222</v>
      </c>
      <c r="AJ256" s="76" t="n">
        <v>0.2225</v>
      </c>
      <c r="AK256" s="76" t="n">
        <v>0.223</v>
      </c>
      <c r="AL256" s="76" t="n">
        <v>0.2235</v>
      </c>
      <c r="AM256" s="76" t="n">
        <v>0.223</v>
      </c>
      <c r="AN256" s="76" t="n">
        <v>0.2225</v>
      </c>
      <c r="AO256" s="76" t="n">
        <v>0.2215</v>
      </c>
      <c r="AP256" s="76" t="n">
        <v>0.221</v>
      </c>
      <c r="AQ256" s="76" t="n">
        <v>0.2205</v>
      </c>
      <c r="AR256" s="76" t="n">
        <v>0.2337121212121212</v>
      </c>
    </row>
    <row r="257">
      <c r="A257" s="76" t="inlineStr">
        <is>
          <t>LA</t>
        </is>
      </c>
      <c r="B257" s="76" t="inlineStr">
        <is>
          <t>Wind offshore</t>
        </is>
      </c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76" t="n"/>
      <c r="AC257" s="76" t="n"/>
      <c r="AD257" s="76" t="n"/>
      <c r="AE257" s="76" t="n"/>
      <c r="AF257" s="76" t="n"/>
      <c r="AG257" s="76" t="n"/>
      <c r="AH257" s="76" t="n">
        <v>0.383</v>
      </c>
      <c r="AI257" s="76" t="n">
        <v>0.383</v>
      </c>
      <c r="AJ257" s="76" t="n">
        <v>0.383</v>
      </c>
      <c r="AK257" s="76" t="n">
        <v>0.383</v>
      </c>
      <c r="AL257" s="76" t="n">
        <v>0.383</v>
      </c>
      <c r="AM257" s="76" t="n">
        <v>0.397</v>
      </c>
      <c r="AN257" s="76" t="n">
        <v>0.406</v>
      </c>
      <c r="AO257" s="76" t="n">
        <v>0.412</v>
      </c>
      <c r="AP257" s="76" t="n">
        <v>0.416</v>
      </c>
      <c r="AQ257" s="76" t="n">
        <v>0.419</v>
      </c>
      <c r="AR257" s="76" t="n">
        <v>0.3965</v>
      </c>
    </row>
    <row r="258">
      <c r="A258" s="76" t="inlineStr">
        <is>
          <t>LA</t>
        </is>
      </c>
      <c r="B258" s="76" t="inlineStr">
        <is>
          <t>Wind onshore</t>
        </is>
      </c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>
        <v>0.316</v>
      </c>
      <c r="S258" s="76" t="n">
        <v>0.316</v>
      </c>
      <c r="T258" s="76" t="n">
        <v>0.318</v>
      </c>
      <c r="U258" s="76" t="n">
        <v>0.32</v>
      </c>
      <c r="V258" s="76" t="n">
        <v>0.296</v>
      </c>
      <c r="W258" s="76" t="n">
        <v>0.272</v>
      </c>
      <c r="X258" s="76" t="n">
        <v>0.295</v>
      </c>
      <c r="Y258" s="76" t="n">
        <v>0.295</v>
      </c>
      <c r="Z258" s="76" t="n">
        <v>0.304</v>
      </c>
      <c r="AA258" s="76" t="n">
        <v>0.306</v>
      </c>
      <c r="AB258" s="76" t="n">
        <v>0.308</v>
      </c>
      <c r="AC258" s="76" t="n">
        <v>0.2645</v>
      </c>
      <c r="AD258" s="76" t="n">
        <v>0.262</v>
      </c>
      <c r="AE258" s="76" t="n">
        <v>0.2595</v>
      </c>
      <c r="AF258" s="76" t="n">
        <v>0.257</v>
      </c>
      <c r="AG258" s="76" t="n">
        <v>0.2545</v>
      </c>
      <c r="AH258" s="76" t="n">
        <v>0.2925</v>
      </c>
      <c r="AI258" s="76" t="n">
        <v>0.3015</v>
      </c>
      <c r="AJ258" s="76" t="n">
        <v>0.307</v>
      </c>
      <c r="AK258" s="76" t="n">
        <v>0.312</v>
      </c>
      <c r="AL258" s="76" t="n">
        <v>0.316</v>
      </c>
      <c r="AM258" s="76" t="n">
        <v>0.3175</v>
      </c>
      <c r="AN258" s="76" t="n">
        <v>0.3185</v>
      </c>
      <c r="AO258" s="76" t="n">
        <v>0.32</v>
      </c>
      <c r="AP258" s="76" t="n">
        <v>0.3215</v>
      </c>
      <c r="AQ258" s="76" t="n">
        <v>0.323</v>
      </c>
      <c r="AR258" s="76" t="n">
        <v>0.297560975609756</v>
      </c>
    </row>
    <row r="259">
      <c r="A259" s="76" t="inlineStr">
        <is>
          <t>MA</t>
        </is>
      </c>
      <c r="B259" s="76" t="inlineStr">
        <is>
          <t>MA</t>
        </is>
      </c>
      <c r="C259" s="76" t="n">
        <v>0.3515</v>
      </c>
      <c r="D259" s="76" t="n">
        <v>0.3228</v>
      </c>
      <c r="E259" s="76" t="n">
        <v>0.2891</v>
      </c>
      <c r="F259" s="76" t="n">
        <v>0.3148</v>
      </c>
      <c r="G259" s="76" t="n">
        <v>0.3546</v>
      </c>
      <c r="H259" s="76" t="n">
        <v>0.3175</v>
      </c>
      <c r="I259" s="76" t="n">
        <v>0.2803</v>
      </c>
      <c r="J259" s="76" t="n">
        <v>0.245</v>
      </c>
      <c r="K259" s="76" t="n">
        <v>0.2476</v>
      </c>
      <c r="L259" s="76" t="n">
        <v>0.2447</v>
      </c>
      <c r="M259" s="76" t="n">
        <v>0.1688888888888889</v>
      </c>
      <c r="N259" s="76" t="n">
        <v>0.202</v>
      </c>
      <c r="O259" s="76" t="n">
        <v>0.2024</v>
      </c>
      <c r="P259" s="76" t="n">
        <v>0.2028</v>
      </c>
      <c r="Q259" s="76" t="n">
        <v>0.2032</v>
      </c>
      <c r="R259" s="76" t="n">
        <v>0.2004</v>
      </c>
      <c r="S259" s="76" t="n">
        <v>0.1978</v>
      </c>
      <c r="T259" s="76" t="n">
        <v>0.1963</v>
      </c>
      <c r="U259" s="76" t="n">
        <v>0.1946</v>
      </c>
      <c r="V259" s="76" t="n">
        <v>0.1938</v>
      </c>
      <c r="W259" s="76" t="n">
        <v>0.193</v>
      </c>
      <c r="X259" s="76" t="n">
        <v>0.1887</v>
      </c>
      <c r="Y259" s="76" t="n">
        <v>0.1845</v>
      </c>
      <c r="Z259" s="76" t="n">
        <v>0.1825</v>
      </c>
      <c r="AA259" s="76" t="n">
        <v>0.1796</v>
      </c>
      <c r="AB259" s="76" t="n">
        <v>0.1768</v>
      </c>
      <c r="AC259" s="76" t="n">
        <v>0.1739</v>
      </c>
      <c r="AD259" s="76" t="n">
        <v>0.1711</v>
      </c>
      <c r="AE259" s="76" t="n">
        <v>0.1673</v>
      </c>
      <c r="AF259" s="76" t="n">
        <v>0.1628</v>
      </c>
      <c r="AG259" s="76" t="n">
        <v>0.1574</v>
      </c>
      <c r="AH259" s="76" t="n">
        <v>0.1566</v>
      </c>
      <c r="AI259" s="76" t="n">
        <v>0.1564</v>
      </c>
      <c r="AJ259" s="76" t="n">
        <v>0.1564</v>
      </c>
      <c r="AK259" s="76" t="n">
        <v>0.1563</v>
      </c>
      <c r="AL259" s="76" t="n">
        <v>0.1566</v>
      </c>
      <c r="AM259" s="76" t="n">
        <v>0.1542</v>
      </c>
      <c r="AN259" s="76" t="n">
        <v>0.152</v>
      </c>
      <c r="AO259" s="76" t="n">
        <v>0.1495</v>
      </c>
      <c r="AP259" s="76" t="n">
        <v>0.1469</v>
      </c>
      <c r="AQ259" s="76" t="n">
        <v>0.1442</v>
      </c>
      <c r="AR259" s="76" t="n">
        <v>0.2049853658536585</v>
      </c>
    </row>
    <row r="260">
      <c r="A260" s="76" t="inlineStr">
        <is>
          <t>MA</t>
        </is>
      </c>
      <c r="B260" s="76" t="inlineStr">
        <is>
          <t>Battery</t>
        </is>
      </c>
      <c r="C260" s="76" t="n"/>
      <c r="D260" s="76" t="n"/>
      <c r="E260" s="76" t="n"/>
      <c r="F260" s="76" t="n"/>
      <c r="G260" s="76" t="n"/>
      <c r="H260" s="76" t="n"/>
      <c r="I260" s="76" t="n"/>
      <c r="J260" s="76" t="n">
        <v>0</v>
      </c>
      <c r="K260" s="76" t="n">
        <v>0</v>
      </c>
      <c r="L260" s="76" t="n">
        <v>0</v>
      </c>
      <c r="M260" s="76" t="n">
        <v>0</v>
      </c>
      <c r="N260" s="76" t="n">
        <v>0</v>
      </c>
      <c r="O260" s="76" t="n">
        <v>0</v>
      </c>
      <c r="P260" s="76" t="n">
        <v>0</v>
      </c>
      <c r="Q260" s="76" t="n">
        <v>0</v>
      </c>
      <c r="R260" s="76" t="n">
        <v>0</v>
      </c>
      <c r="S260" s="76" t="n">
        <v>0</v>
      </c>
      <c r="T260" s="76" t="n">
        <v>0</v>
      </c>
      <c r="U260" s="76" t="n">
        <v>0</v>
      </c>
      <c r="V260" s="76" t="n">
        <v>0</v>
      </c>
      <c r="W260" s="76" t="n">
        <v>0</v>
      </c>
      <c r="X260" s="76" t="n">
        <v>0</v>
      </c>
      <c r="Y260" s="76" t="n">
        <v>0</v>
      </c>
      <c r="Z260" s="76" t="n">
        <v>-0.002</v>
      </c>
      <c r="AA260" s="76" t="n">
        <v>-0.005</v>
      </c>
      <c r="AB260" s="76" t="n">
        <v>-0.007</v>
      </c>
      <c r="AC260" s="76" t="n">
        <v>-0.016</v>
      </c>
      <c r="AD260" s="76" t="n">
        <v>-0.024</v>
      </c>
      <c r="AE260" s="76" t="n">
        <v>-0.033</v>
      </c>
      <c r="AF260" s="76" t="n">
        <v>-0.042</v>
      </c>
      <c r="AG260" s="76" t="n">
        <v>-0.05</v>
      </c>
      <c r="AH260" s="76" t="n">
        <v>-0.061</v>
      </c>
      <c r="AI260" s="76" t="n">
        <v>-0.064</v>
      </c>
      <c r="AJ260" s="76" t="n">
        <v>-0.066</v>
      </c>
      <c r="AK260" s="76" t="n">
        <v>-0.067</v>
      </c>
      <c r="AL260" s="76" t="n">
        <v>-0.067</v>
      </c>
      <c r="AM260" s="76" t="n">
        <v>-0.06900000000000001</v>
      </c>
      <c r="AN260" s="76" t="n">
        <v>-0.06900000000000001</v>
      </c>
      <c r="AO260" s="76" t="n">
        <v>-0.06900000000000001</v>
      </c>
      <c r="AP260" s="76" t="n">
        <v>-0.07000000000000001</v>
      </c>
      <c r="AQ260" s="76" t="n">
        <v>-0.07000000000000001</v>
      </c>
      <c r="AR260" s="76" t="n">
        <v>-0.02502941176470588</v>
      </c>
    </row>
    <row r="261">
      <c r="A261" s="76" t="inlineStr">
        <is>
          <t>MA</t>
        </is>
      </c>
      <c r="B261" s="76" t="inlineStr">
        <is>
          <t>Biopower</t>
        </is>
      </c>
      <c r="C261" s="76" t="n">
        <v>0.486</v>
      </c>
      <c r="D261" s="76" t="n">
        <v>0.489</v>
      </c>
      <c r="E261" s="76" t="n">
        <v>0.492</v>
      </c>
      <c r="F261" s="76" t="n">
        <v>0.504</v>
      </c>
      <c r="G261" s="76" t="n">
        <v>0.516</v>
      </c>
      <c r="H261" s="76" t="n">
        <v>0.504</v>
      </c>
      <c r="I261" s="76" t="n">
        <v>0.492</v>
      </c>
      <c r="J261" s="76" t="n">
        <v>0.492</v>
      </c>
      <c r="K261" s="76" t="n">
        <v>0.492</v>
      </c>
      <c r="L261" s="76" t="n">
        <v>0.457</v>
      </c>
      <c r="M261" s="76" t="n">
        <v>0.427</v>
      </c>
      <c r="N261" s="76" t="n">
        <v>0.427</v>
      </c>
      <c r="O261" s="76" t="n">
        <v>0.427</v>
      </c>
      <c r="P261" s="76" t="n">
        <v>0.427</v>
      </c>
      <c r="Q261" s="76" t="n">
        <v>0.427</v>
      </c>
      <c r="R261" s="76" t="n">
        <v>0.427</v>
      </c>
      <c r="S261" s="76" t="n">
        <v>0.427</v>
      </c>
      <c r="T261" s="76" t="n">
        <v>0.427</v>
      </c>
      <c r="U261" s="76" t="n">
        <v>0.427</v>
      </c>
      <c r="V261" s="76" t="n">
        <v>0.427</v>
      </c>
      <c r="W261" s="76" t="n">
        <v>0.427</v>
      </c>
      <c r="X261" s="76" t="n">
        <v>0.43</v>
      </c>
      <c r="Y261" s="76" t="n">
        <v>0.434</v>
      </c>
      <c r="Z261" s="76" t="n">
        <v>0.435</v>
      </c>
      <c r="AA261" s="76" t="n">
        <v>0.436</v>
      </c>
      <c r="AB261" s="76" t="n">
        <v>0.438</v>
      </c>
      <c r="AC261" s="76" t="n">
        <v>0.427</v>
      </c>
      <c r="AD261" s="76" t="n">
        <v>0.414</v>
      </c>
      <c r="AE261" s="76" t="n">
        <v>0.395</v>
      </c>
      <c r="AF261" s="76" t="n">
        <v>0.369</v>
      </c>
      <c r="AG261" s="76" t="n">
        <v>0.33</v>
      </c>
      <c r="AH261" s="76" t="n">
        <v>0.331</v>
      </c>
      <c r="AI261" s="76" t="n">
        <v>0.331</v>
      </c>
      <c r="AJ261" s="76" t="n">
        <v>0.332</v>
      </c>
      <c r="AK261" s="76" t="n">
        <v>0.332</v>
      </c>
      <c r="AL261" s="76" t="n">
        <v>0.333</v>
      </c>
      <c r="AM261" s="76" t="n">
        <v>0.304</v>
      </c>
      <c r="AN261" s="76" t="n">
        <v>0.274</v>
      </c>
      <c r="AO261" s="76" t="n">
        <v>0.244</v>
      </c>
      <c r="AP261" s="76" t="n">
        <v>0.212</v>
      </c>
      <c r="AQ261" s="76" t="n">
        <v>0.179</v>
      </c>
      <c r="AR261" s="76" t="n">
        <v>0.4049024390243902</v>
      </c>
    </row>
    <row r="262">
      <c r="A262" s="76" t="inlineStr">
        <is>
          <t>MA</t>
        </is>
      </c>
      <c r="B262" s="76" t="inlineStr">
        <is>
          <t>Coal</t>
        </is>
      </c>
      <c r="C262" s="76" t="n">
        <v>0.672</v>
      </c>
      <c r="D262" s="76" t="n">
        <v>0.348</v>
      </c>
      <c r="E262" s="76" t="n">
        <v>0</v>
      </c>
      <c r="F262" s="76" t="n">
        <v>0.331</v>
      </c>
      <c r="G262" s="76" t="n">
        <v>0.805</v>
      </c>
      <c r="H262" s="76" t="n">
        <v>0.463</v>
      </c>
      <c r="I262" s="76" t="n">
        <v>0.121</v>
      </c>
      <c r="J262" s="76" t="n">
        <v>0.121</v>
      </c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  <c r="AA262" s="76" t="n"/>
      <c r="AB262" s="76" t="n"/>
      <c r="AC262" s="76" t="n"/>
      <c r="AD262" s="76" t="n"/>
      <c r="AE262" s="76" t="n"/>
      <c r="AF262" s="76" t="n"/>
      <c r="AG262" s="76" t="n"/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>
        <v>0.357625</v>
      </c>
    </row>
    <row r="263">
      <c r="A263" s="76" t="inlineStr">
        <is>
          <t>MA</t>
        </is>
      </c>
      <c r="B263" s="76" t="inlineStr">
        <is>
          <t>CSP</t>
        </is>
      </c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6" t="n"/>
      <c r="AC263" s="76" t="n"/>
      <c r="AD263" s="76" t="n"/>
      <c r="AE263" s="76" t="n"/>
      <c r="AF263" s="76" t="n"/>
      <c r="AG263" s="76" t="n"/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</row>
    <row r="264">
      <c r="A264" s="76" t="inlineStr">
        <is>
          <t>MA</t>
        </is>
      </c>
      <c r="B264" s="76" t="inlineStr">
        <is>
          <t>Dist PV</t>
        </is>
      </c>
      <c r="C264" s="76" t="n">
        <v>0.159</v>
      </c>
      <c r="D264" s="76" t="n">
        <v>0.159</v>
      </c>
      <c r="E264" s="76" t="n">
        <v>0.159</v>
      </c>
      <c r="F264" s="76" t="n">
        <v>0.159</v>
      </c>
      <c r="G264" s="76" t="n">
        <v>0.159</v>
      </c>
      <c r="H264" s="76" t="n">
        <v>0.159</v>
      </c>
      <c r="I264" s="76" t="n">
        <v>0.159</v>
      </c>
      <c r="J264" s="76" t="n">
        <v>0.159</v>
      </c>
      <c r="K264" s="76" t="n">
        <v>0.159</v>
      </c>
      <c r="L264" s="76" t="n">
        <v>0.159</v>
      </c>
      <c r="M264" s="76" t="n">
        <v>0.159</v>
      </c>
      <c r="N264" s="76" t="n">
        <v>0.159</v>
      </c>
      <c r="O264" s="76" t="n">
        <v>0.159</v>
      </c>
      <c r="P264" s="76" t="n">
        <v>0.159</v>
      </c>
      <c r="Q264" s="76" t="n">
        <v>0.159</v>
      </c>
      <c r="R264" s="76" t="n">
        <v>0.159</v>
      </c>
      <c r="S264" s="76" t="n">
        <v>0.159</v>
      </c>
      <c r="T264" s="76" t="n">
        <v>0.159</v>
      </c>
      <c r="U264" s="76" t="n">
        <v>0.159</v>
      </c>
      <c r="V264" s="76" t="n">
        <v>0.159</v>
      </c>
      <c r="W264" s="76" t="n">
        <v>0.159</v>
      </c>
      <c r="X264" s="76" t="n">
        <v>0.159</v>
      </c>
      <c r="Y264" s="76" t="n">
        <v>0.159</v>
      </c>
      <c r="Z264" s="76" t="n">
        <v>0.159</v>
      </c>
      <c r="AA264" s="76" t="n">
        <v>0.159</v>
      </c>
      <c r="AB264" s="76" t="n">
        <v>0.159</v>
      </c>
      <c r="AC264" s="76" t="n">
        <v>0.159</v>
      </c>
      <c r="AD264" s="76" t="n">
        <v>0.159</v>
      </c>
      <c r="AE264" s="76" t="n">
        <v>0.159</v>
      </c>
      <c r="AF264" s="76" t="n">
        <v>0.159</v>
      </c>
      <c r="AG264" s="76" t="n">
        <v>0.159</v>
      </c>
      <c r="AH264" s="76" t="n">
        <v>0.159</v>
      </c>
      <c r="AI264" s="76" t="n">
        <v>0.159</v>
      </c>
      <c r="AJ264" s="76" t="n">
        <v>0.159</v>
      </c>
      <c r="AK264" s="76" t="n">
        <v>0.159</v>
      </c>
      <c r="AL264" s="76" t="n">
        <v>0.159</v>
      </c>
      <c r="AM264" s="76" t="n">
        <v>0.159</v>
      </c>
      <c r="AN264" s="76" t="n">
        <v>0.159</v>
      </c>
      <c r="AO264" s="76" t="n">
        <v>0.159</v>
      </c>
      <c r="AP264" s="76" t="n">
        <v>0.159</v>
      </c>
      <c r="AQ264" s="76" t="n">
        <v>0.159</v>
      </c>
      <c r="AR264" s="76" t="n">
        <v>0.1589999999999999</v>
      </c>
    </row>
    <row r="265">
      <c r="A265" s="76" t="inlineStr">
        <is>
          <t>MA</t>
        </is>
      </c>
      <c r="B265" s="76" t="inlineStr">
        <is>
          <t>Gas CCGT</t>
        </is>
      </c>
      <c r="C265" s="76" t="n">
        <v>0.651</v>
      </c>
      <c r="D265" s="76" t="n">
        <v>0.663</v>
      </c>
      <c r="E265" s="76" t="n">
        <v>0.675</v>
      </c>
      <c r="F265" s="76" t="n">
        <v>0.586</v>
      </c>
      <c r="G265" s="76" t="n">
        <v>0.497</v>
      </c>
      <c r="H265" s="76" t="n">
        <v>0.478</v>
      </c>
      <c r="I265" s="76" t="n">
        <v>0.458</v>
      </c>
      <c r="J265" s="76" t="n">
        <v>0.349</v>
      </c>
      <c r="K265" s="76" t="n">
        <v>0.252</v>
      </c>
      <c r="L265" s="76" t="n">
        <v>0.25</v>
      </c>
      <c r="M265" s="76" t="n">
        <v>0.249</v>
      </c>
      <c r="N265" s="76" t="n">
        <v>0.247</v>
      </c>
      <c r="O265" s="76" t="n">
        <v>0.246</v>
      </c>
      <c r="P265" s="76" t="n">
        <v>0.251</v>
      </c>
      <c r="Q265" s="76" t="n">
        <v>0.256</v>
      </c>
      <c r="R265" s="76" t="n">
        <v>0.231</v>
      </c>
      <c r="S265" s="76" t="n">
        <v>0.207</v>
      </c>
      <c r="T265" s="76" t="n">
        <v>0.194</v>
      </c>
      <c r="U265" s="76" t="n">
        <v>0.181</v>
      </c>
      <c r="V265" s="76" t="n">
        <v>0.178</v>
      </c>
      <c r="W265" s="76" t="n">
        <v>0.174</v>
      </c>
      <c r="X265" s="76" t="n">
        <v>0.137</v>
      </c>
      <c r="Y265" s="76" t="n">
        <v>0.1</v>
      </c>
      <c r="Z265" s="76" t="n">
        <v>0.09</v>
      </c>
      <c r="AA265" s="76" t="n">
        <v>0.08</v>
      </c>
      <c r="AB265" s="76" t="n">
        <v>0.07000000000000001</v>
      </c>
      <c r="AC265" s="76" t="n">
        <v>0.063</v>
      </c>
      <c r="AD265" s="76" t="n">
        <v>0.056</v>
      </c>
      <c r="AE265" s="76" t="n">
        <v>0.049</v>
      </c>
      <c r="AF265" s="76" t="n">
        <v>0.041</v>
      </c>
      <c r="AG265" s="76" t="n">
        <v>0.034</v>
      </c>
      <c r="AH265" s="76" t="n">
        <v>0.037</v>
      </c>
      <c r="AI265" s="76" t="n">
        <v>0.04</v>
      </c>
      <c r="AJ265" s="76" t="n">
        <v>0.043</v>
      </c>
      <c r="AK265" s="76" t="n">
        <v>0.046</v>
      </c>
      <c r="AL265" s="76" t="n">
        <v>0.049</v>
      </c>
      <c r="AM265" s="76" t="n">
        <v>0.046</v>
      </c>
      <c r="AN265" s="76" t="n">
        <v>0.044</v>
      </c>
      <c r="AO265" s="76" t="n">
        <v>0.041</v>
      </c>
      <c r="AP265" s="76" t="n">
        <v>0.038</v>
      </c>
      <c r="AQ265" s="76" t="n">
        <v>0.035</v>
      </c>
      <c r="AR265" s="76" t="n">
        <v>0.2051707317073171</v>
      </c>
    </row>
    <row r="266">
      <c r="A266" s="76" t="inlineStr">
        <is>
          <t>MA</t>
        </is>
      </c>
      <c r="B266" s="76" t="inlineStr">
        <is>
          <t>Gas CT</t>
        </is>
      </c>
      <c r="C266" s="76" t="n">
        <v>0.004</v>
      </c>
      <c r="D266" s="76" t="n">
        <v>0.004</v>
      </c>
      <c r="E266" s="76" t="n">
        <v>0.004</v>
      </c>
      <c r="F266" s="76" t="n">
        <v>0.004</v>
      </c>
      <c r="G266" s="76" t="n">
        <v>0.004</v>
      </c>
      <c r="H266" s="76" t="n">
        <v>0.004</v>
      </c>
      <c r="I266" s="76" t="n">
        <v>0.004</v>
      </c>
      <c r="J266" s="76" t="n">
        <v>0.004</v>
      </c>
      <c r="K266" s="76" t="n">
        <v>0.004</v>
      </c>
      <c r="L266" s="76" t="n">
        <v>0.004</v>
      </c>
      <c r="M266" s="76" t="n">
        <v>0.004</v>
      </c>
      <c r="N266" s="76" t="n">
        <v>0.004</v>
      </c>
      <c r="O266" s="76" t="n">
        <v>0.004</v>
      </c>
      <c r="P266" s="76" t="n">
        <v>0.004</v>
      </c>
      <c r="Q266" s="76" t="n">
        <v>0.004</v>
      </c>
      <c r="R266" s="76" t="n">
        <v>0.004</v>
      </c>
      <c r="S266" s="76" t="n">
        <v>0.003</v>
      </c>
      <c r="T266" s="76" t="n">
        <v>0.002</v>
      </c>
      <c r="U266" s="76" t="n">
        <v>0</v>
      </c>
      <c r="V266" s="76" t="n">
        <v>0</v>
      </c>
      <c r="W266" s="76" t="n">
        <v>0</v>
      </c>
      <c r="X266" s="76" t="n">
        <v>0</v>
      </c>
      <c r="Y266" s="76" t="n">
        <v>0</v>
      </c>
      <c r="Z266" s="76" t="n">
        <v>0</v>
      </c>
      <c r="AA266" s="76" t="n">
        <v>0</v>
      </c>
      <c r="AB266" s="76" t="n">
        <v>0</v>
      </c>
      <c r="AC266" s="76" t="n">
        <v>0</v>
      </c>
      <c r="AD266" s="76" t="n">
        <v>0</v>
      </c>
      <c r="AE266" s="76" t="n">
        <v>0</v>
      </c>
      <c r="AF266" s="76" t="n">
        <v>0</v>
      </c>
      <c r="AG266" s="76" t="n">
        <v>0</v>
      </c>
      <c r="AH266" s="76" t="n">
        <v>0</v>
      </c>
      <c r="AI266" s="76" t="n">
        <v>0</v>
      </c>
      <c r="AJ266" s="76" t="n">
        <v>0</v>
      </c>
      <c r="AK266" s="76" t="n">
        <v>0</v>
      </c>
      <c r="AL266" s="76" t="n">
        <v>0</v>
      </c>
      <c r="AM266" s="76" t="n">
        <v>0</v>
      </c>
      <c r="AN266" s="76" t="n">
        <v>0</v>
      </c>
      <c r="AO266" s="76" t="n">
        <v>0</v>
      </c>
      <c r="AP266" s="76" t="n">
        <v>0</v>
      </c>
      <c r="AQ266" s="76" t="n">
        <v>0</v>
      </c>
      <c r="AR266" s="76" t="n">
        <v>0.001682926829268294</v>
      </c>
    </row>
    <row r="267">
      <c r="A267" s="76" t="inlineStr">
        <is>
          <t>MA</t>
        </is>
      </c>
      <c r="B267" s="76" t="inlineStr">
        <is>
          <t>Geothermal</t>
        </is>
      </c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  <c r="AA267" s="76" t="n"/>
      <c r="AB267" s="76" t="n"/>
      <c r="AC267" s="76" t="n"/>
      <c r="AD267" s="76" t="n"/>
      <c r="AE267" s="76" t="n"/>
      <c r="AF267" s="76" t="n"/>
      <c r="AG267" s="76" t="n"/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</row>
    <row r="268">
      <c r="A268" s="76" t="inlineStr">
        <is>
          <t>MA</t>
        </is>
      </c>
      <c r="B268" s="76" t="inlineStr">
        <is>
          <t>Hydro</t>
        </is>
      </c>
      <c r="C268" s="76" t="n">
        <v>0.05</v>
      </c>
      <c r="D268" s="76" t="n">
        <v>0.049</v>
      </c>
      <c r="E268" s="76" t="n">
        <v>0.048</v>
      </c>
      <c r="F268" s="76" t="n">
        <v>0.049</v>
      </c>
      <c r="G268" s="76" t="n">
        <v>0.05</v>
      </c>
      <c r="H268" s="76" t="n">
        <v>0.053</v>
      </c>
      <c r="I268" s="76" t="n">
        <v>0.056</v>
      </c>
      <c r="J268" s="76" t="n">
        <v>0.057</v>
      </c>
      <c r="K268" s="76" t="n">
        <v>0.057</v>
      </c>
      <c r="L268" s="76" t="n">
        <v>0.057</v>
      </c>
      <c r="M268" s="76" t="n">
        <v>0.057</v>
      </c>
      <c r="N268" s="76" t="n">
        <v>0.057</v>
      </c>
      <c r="O268" s="76" t="n">
        <v>0.057</v>
      </c>
      <c r="P268" s="76" t="n">
        <v>0.057</v>
      </c>
      <c r="Q268" s="76" t="n">
        <v>0.057</v>
      </c>
      <c r="R268" s="76" t="n">
        <v>0.057</v>
      </c>
      <c r="S268" s="76" t="n">
        <v>0.057</v>
      </c>
      <c r="T268" s="76" t="n">
        <v>0.055</v>
      </c>
      <c r="U268" s="76" t="n">
        <v>0.053</v>
      </c>
      <c r="V268" s="76" t="n">
        <v>0.049</v>
      </c>
      <c r="W268" s="76" t="n">
        <v>0.045</v>
      </c>
      <c r="X268" s="76" t="n">
        <v>0.04</v>
      </c>
      <c r="Y268" s="76" t="n">
        <v>0.034</v>
      </c>
      <c r="Z268" s="76" t="n">
        <v>0.023</v>
      </c>
      <c r="AA268" s="76" t="n">
        <v>0.012</v>
      </c>
      <c r="AB268" s="76" t="n">
        <v>0.001</v>
      </c>
      <c r="AC268" s="76" t="n">
        <v>-0.001</v>
      </c>
      <c r="AD268" s="76" t="n">
        <v>-0.002</v>
      </c>
      <c r="AE268" s="76" t="n">
        <v>-0.004</v>
      </c>
      <c r="AF268" s="76" t="n">
        <v>-0.006</v>
      </c>
      <c r="AG268" s="76" t="n">
        <v>-0.007</v>
      </c>
      <c r="AH268" s="76" t="n">
        <v>-0.007</v>
      </c>
      <c r="AI268" s="76" t="n">
        <v>-0.007</v>
      </c>
      <c r="AJ268" s="76" t="n">
        <v>-0.007</v>
      </c>
      <c r="AK268" s="76" t="n">
        <v>-0.007</v>
      </c>
      <c r="AL268" s="76" t="n">
        <v>-0.007</v>
      </c>
      <c r="AM268" s="76" t="n">
        <v>-0.001</v>
      </c>
      <c r="AN268" s="76" t="n">
        <v>0.006</v>
      </c>
      <c r="AO268" s="76" t="n">
        <v>0.012</v>
      </c>
      <c r="AP268" s="76" t="n">
        <v>0.018</v>
      </c>
      <c r="AQ268" s="76" t="n">
        <v>0.025</v>
      </c>
      <c r="AR268" s="76" t="n">
        <v>0.03029268292682929</v>
      </c>
    </row>
    <row r="269">
      <c r="A269" s="76" t="inlineStr">
        <is>
          <t>MA</t>
        </is>
      </c>
      <c r="B269" s="76" t="inlineStr">
        <is>
          <t>Nuclear</t>
        </is>
      </c>
      <c r="C269" s="76" t="n">
        <v>0.902</v>
      </c>
      <c r="D269" s="76" t="n">
        <v>0.902</v>
      </c>
      <c r="E269" s="76" t="n">
        <v>0.902</v>
      </c>
      <c r="F269" s="76" t="n">
        <v>0.902</v>
      </c>
      <c r="G269" s="76" t="n">
        <v>0.902</v>
      </c>
      <c r="H269" s="76" t="n">
        <v>0.902</v>
      </c>
      <c r="I269" s="76" t="n">
        <v>0.902</v>
      </c>
      <c r="J269" s="76" t="n">
        <v>0.902</v>
      </c>
      <c r="K269" s="76" t="n">
        <v>0.902</v>
      </c>
      <c r="L269" s="76" t="n">
        <v>0.902</v>
      </c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  <c r="AA269" s="76" t="n"/>
      <c r="AB269" s="76" t="n"/>
      <c r="AC269" s="76" t="n"/>
      <c r="AD269" s="76" t="n"/>
      <c r="AE269" s="76" t="n"/>
      <c r="AF269" s="76" t="n"/>
      <c r="AG269" s="76" t="n"/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>
        <v>0.9019999999999999</v>
      </c>
    </row>
    <row r="270">
      <c r="A270" s="76" t="inlineStr">
        <is>
          <t>MA</t>
        </is>
      </c>
      <c r="B270" s="76" t="inlineStr">
        <is>
          <t>Other</t>
        </is>
      </c>
      <c r="C270" s="76" t="n">
        <v>0.013</v>
      </c>
      <c r="D270" s="76" t="n">
        <v>0.006</v>
      </c>
      <c r="E270" s="76" t="n">
        <v>0</v>
      </c>
      <c r="F270" s="76" t="n">
        <v>0</v>
      </c>
      <c r="G270" s="76" t="n">
        <v>0</v>
      </c>
      <c r="H270" s="76" t="n">
        <v>0</v>
      </c>
      <c r="I270" s="76" t="n">
        <v>0</v>
      </c>
      <c r="J270" s="76" t="n">
        <v>0</v>
      </c>
      <c r="K270" s="76" t="n">
        <v>0</v>
      </c>
      <c r="L270" s="76" t="n">
        <v>0</v>
      </c>
      <c r="M270" s="76" t="n">
        <v>0</v>
      </c>
      <c r="N270" s="76" t="n">
        <v>0</v>
      </c>
      <c r="O270" s="76" t="n">
        <v>0</v>
      </c>
      <c r="P270" s="76" t="n">
        <v>0</v>
      </c>
      <c r="Q270" s="76" t="n">
        <v>0</v>
      </c>
      <c r="R270" s="76" t="n">
        <v>0</v>
      </c>
      <c r="S270" s="76" t="n">
        <v>0</v>
      </c>
      <c r="T270" s="76" t="n">
        <v>0</v>
      </c>
      <c r="U270" s="76" t="n">
        <v>0</v>
      </c>
      <c r="V270" s="76" t="n">
        <v>0</v>
      </c>
      <c r="W270" s="76" t="n">
        <v>0</v>
      </c>
      <c r="X270" s="76" t="n">
        <v>0</v>
      </c>
      <c r="Y270" s="76" t="n">
        <v>0</v>
      </c>
      <c r="Z270" s="76" t="n">
        <v>0</v>
      </c>
      <c r="AA270" s="76" t="n">
        <v>0</v>
      </c>
      <c r="AB270" s="76" t="n">
        <v>0</v>
      </c>
      <c r="AC270" s="76" t="n">
        <v>0</v>
      </c>
      <c r="AD270" s="76" t="n">
        <v>0</v>
      </c>
      <c r="AE270" s="76" t="n">
        <v>0</v>
      </c>
      <c r="AF270" s="76" t="n">
        <v>0</v>
      </c>
      <c r="AG270" s="76" t="n">
        <v>0</v>
      </c>
      <c r="AH270" s="76" t="n">
        <v>0</v>
      </c>
      <c r="AI270" s="76" t="n">
        <v>0</v>
      </c>
      <c r="AJ270" s="76" t="n">
        <v>0</v>
      </c>
      <c r="AK270" s="76" t="n">
        <v>0</v>
      </c>
      <c r="AL270" s="76" t="n">
        <v>0</v>
      </c>
      <c r="AM270" s="76" t="n">
        <v>0</v>
      </c>
      <c r="AN270" s="76" t="n">
        <v>0</v>
      </c>
      <c r="AO270" s="76" t="n">
        <v>0</v>
      </c>
      <c r="AP270" s="76" t="n">
        <v>0</v>
      </c>
      <c r="AQ270" s="76" t="n">
        <v>0</v>
      </c>
      <c r="AR270" s="76" t="n">
        <v>0.0004634146341463414</v>
      </c>
    </row>
    <row r="271">
      <c r="A271" s="76" t="inlineStr">
        <is>
          <t>MA</t>
        </is>
      </c>
      <c r="B271" s="76" t="inlineStr">
        <is>
          <t>Utility PV</t>
        </is>
      </c>
      <c r="C271" s="76" t="n">
        <v>0.215</v>
      </c>
      <c r="D271" s="76" t="n">
        <v>0.213</v>
      </c>
      <c r="E271" s="76" t="n">
        <v>0.212</v>
      </c>
      <c r="F271" s="76" t="n">
        <v>0.214</v>
      </c>
      <c r="G271" s="76" t="n">
        <v>0.214</v>
      </c>
      <c r="H271" s="76" t="n">
        <v>0.214</v>
      </c>
      <c r="I271" s="76" t="n">
        <v>0.213</v>
      </c>
      <c r="J271" s="76" t="n">
        <v>0.213</v>
      </c>
      <c r="K271" s="76" t="n">
        <v>0.212</v>
      </c>
      <c r="L271" s="76" t="n">
        <v>0.211</v>
      </c>
      <c r="M271" s="76" t="n">
        <v>0.21</v>
      </c>
      <c r="N271" s="76" t="n">
        <v>0.209</v>
      </c>
      <c r="O271" s="76" t="n">
        <v>0.208</v>
      </c>
      <c r="P271" s="76" t="n">
        <v>0.207</v>
      </c>
      <c r="Q271" s="76" t="n">
        <v>0.206</v>
      </c>
      <c r="R271" s="76" t="n">
        <v>0.205</v>
      </c>
      <c r="S271" s="76" t="n">
        <v>0.204</v>
      </c>
      <c r="T271" s="76" t="n">
        <v>0.203</v>
      </c>
      <c r="U271" s="76" t="n">
        <v>0.202</v>
      </c>
      <c r="V271" s="76" t="n">
        <v>0.201</v>
      </c>
      <c r="W271" s="76" t="n">
        <v>0.2</v>
      </c>
      <c r="X271" s="76" t="n">
        <v>0.199</v>
      </c>
      <c r="Y271" s="76" t="n">
        <v>0.198</v>
      </c>
      <c r="Z271" s="76" t="n">
        <v>0.21</v>
      </c>
      <c r="AA271" s="76" t="n">
        <v>0.212</v>
      </c>
      <c r="AB271" s="76" t="n">
        <v>0.213</v>
      </c>
      <c r="AC271" s="76" t="n">
        <v>0.212</v>
      </c>
      <c r="AD271" s="76" t="n">
        <v>0.211</v>
      </c>
      <c r="AE271" s="76" t="n">
        <v>0.21</v>
      </c>
      <c r="AF271" s="76" t="n">
        <v>0.208</v>
      </c>
      <c r="AG271" s="76" t="n">
        <v>0.207</v>
      </c>
      <c r="AH271" s="76" t="n">
        <v>0.207</v>
      </c>
      <c r="AI271" s="76" t="n">
        <v>0.206</v>
      </c>
      <c r="AJ271" s="76" t="n">
        <v>0.205</v>
      </c>
      <c r="AK271" s="76" t="n">
        <v>0.204</v>
      </c>
      <c r="AL271" s="76" t="n">
        <v>0.203</v>
      </c>
      <c r="AM271" s="76" t="n">
        <v>0.203</v>
      </c>
      <c r="AN271" s="76" t="n">
        <v>0.202</v>
      </c>
      <c r="AO271" s="76" t="n">
        <v>0.201</v>
      </c>
      <c r="AP271" s="76" t="n">
        <v>0.201</v>
      </c>
      <c r="AQ271" s="76" t="n">
        <v>0.2</v>
      </c>
      <c r="AR271" s="76" t="n">
        <v>0.2072682926829268</v>
      </c>
    </row>
    <row r="272">
      <c r="A272" s="76" t="inlineStr">
        <is>
          <t>MA</t>
        </is>
      </c>
      <c r="B272" s="76" t="inlineStr">
        <is>
          <t>Wind offshore</t>
        </is>
      </c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>
        <v>0.461</v>
      </c>
      <c r="O272" s="76" t="n">
        <v>0.461</v>
      </c>
      <c r="P272" s="76" t="n">
        <v>0.461</v>
      </c>
      <c r="Q272" s="76" t="n">
        <v>0.461</v>
      </c>
      <c r="R272" s="76" t="n">
        <v>0.462</v>
      </c>
      <c r="S272" s="76" t="n">
        <v>0.463</v>
      </c>
      <c r="T272" s="76" t="n">
        <v>0.464</v>
      </c>
      <c r="U272" s="76" t="n">
        <v>0.465</v>
      </c>
      <c r="V272" s="76" t="n">
        <v>0.465</v>
      </c>
      <c r="W272" s="76" t="n">
        <v>0.466</v>
      </c>
      <c r="X272" s="76" t="n">
        <v>0.466</v>
      </c>
      <c r="Y272" s="76" t="n">
        <v>0.466</v>
      </c>
      <c r="Z272" s="76" t="n">
        <v>0.466</v>
      </c>
      <c r="AA272" s="76" t="n">
        <v>0.466</v>
      </c>
      <c r="AB272" s="76" t="n">
        <v>0.466</v>
      </c>
      <c r="AC272" s="76" t="n">
        <v>0.464</v>
      </c>
      <c r="AD272" s="76" t="n">
        <v>0.463</v>
      </c>
      <c r="AE272" s="76" t="n">
        <v>0.461</v>
      </c>
      <c r="AF272" s="76" t="n">
        <v>0.46</v>
      </c>
      <c r="AG272" s="76" t="n">
        <v>0.459</v>
      </c>
      <c r="AH272" s="76" t="n">
        <v>0.46</v>
      </c>
      <c r="AI272" s="76" t="n">
        <v>0.462</v>
      </c>
      <c r="AJ272" s="76" t="n">
        <v>0.463</v>
      </c>
      <c r="AK272" s="76" t="n">
        <v>0.464</v>
      </c>
      <c r="AL272" s="76" t="n">
        <v>0.466</v>
      </c>
      <c r="AM272" s="76" t="n">
        <v>0.467</v>
      </c>
      <c r="AN272" s="76" t="n">
        <v>0.468</v>
      </c>
      <c r="AO272" s="76" t="n">
        <v>0.468</v>
      </c>
      <c r="AP272" s="76" t="n">
        <v>0.469</v>
      </c>
      <c r="AQ272" s="76" t="n">
        <v>0.469</v>
      </c>
      <c r="AR272" s="76" t="n">
        <v>0.4640666666666667</v>
      </c>
    </row>
    <row r="273">
      <c r="A273" s="76" t="inlineStr">
        <is>
          <t>MA</t>
        </is>
      </c>
      <c r="B273" s="76" t="inlineStr">
        <is>
          <t>Wind onshore</t>
        </is>
      </c>
      <c r="C273" s="76" t="n">
        <v>0.363</v>
      </c>
      <c r="D273" s="76" t="n">
        <v>0.395</v>
      </c>
      <c r="E273" s="76" t="n">
        <v>0.399</v>
      </c>
      <c r="F273" s="76" t="n">
        <v>0.399</v>
      </c>
      <c r="G273" s="76" t="n">
        <v>0.399</v>
      </c>
      <c r="H273" s="76" t="n">
        <v>0.398</v>
      </c>
      <c r="I273" s="76" t="n">
        <v>0.398</v>
      </c>
      <c r="J273" s="76" t="n">
        <v>0.398</v>
      </c>
      <c r="K273" s="76" t="n">
        <v>0.398</v>
      </c>
      <c r="L273" s="76" t="n">
        <v>0.407</v>
      </c>
      <c r="M273" s="76" t="n">
        <v>0.414</v>
      </c>
      <c r="N273" s="76" t="n">
        <v>0.456</v>
      </c>
      <c r="O273" s="76" t="n">
        <v>0.462</v>
      </c>
      <c r="P273" s="76" t="n">
        <v>0.462</v>
      </c>
      <c r="Q273" s="76" t="n">
        <v>0.462</v>
      </c>
      <c r="R273" s="76" t="n">
        <v>0.459</v>
      </c>
      <c r="S273" s="76" t="n">
        <v>0.458</v>
      </c>
      <c r="T273" s="76" t="n">
        <v>0.459</v>
      </c>
      <c r="U273" s="76" t="n">
        <v>0.459</v>
      </c>
      <c r="V273" s="76" t="n">
        <v>0.459</v>
      </c>
      <c r="W273" s="76" t="n">
        <v>0.459</v>
      </c>
      <c r="X273" s="76" t="n">
        <v>0.456</v>
      </c>
      <c r="Y273" s="76" t="n">
        <v>0.454</v>
      </c>
      <c r="Z273" s="76" t="n">
        <v>0.444</v>
      </c>
      <c r="AA273" s="76" t="n">
        <v>0.436</v>
      </c>
      <c r="AB273" s="76" t="n">
        <v>0.428</v>
      </c>
      <c r="AC273" s="76" t="n">
        <v>0.431</v>
      </c>
      <c r="AD273" s="76" t="n">
        <v>0.434</v>
      </c>
      <c r="AE273" s="76" t="n">
        <v>0.436</v>
      </c>
      <c r="AF273" s="76" t="n">
        <v>0.439</v>
      </c>
      <c r="AG273" s="76" t="n">
        <v>0.442</v>
      </c>
      <c r="AH273" s="76" t="n">
        <v>0.44</v>
      </c>
      <c r="AI273" s="76" t="n">
        <v>0.437</v>
      </c>
      <c r="AJ273" s="76" t="n">
        <v>0.435</v>
      </c>
      <c r="AK273" s="76" t="n">
        <v>0.432</v>
      </c>
      <c r="AL273" s="76" t="n">
        <v>0.43</v>
      </c>
      <c r="AM273" s="76" t="n">
        <v>0.433</v>
      </c>
      <c r="AN273" s="76" t="n">
        <v>0.436</v>
      </c>
      <c r="AO273" s="76" t="n">
        <v>0.439</v>
      </c>
      <c r="AP273" s="76" t="n">
        <v>0.442</v>
      </c>
      <c r="AQ273" s="76" t="n">
        <v>0.445</v>
      </c>
      <c r="AR273" s="76" t="n">
        <v>0.4324878048780488</v>
      </c>
    </row>
    <row r="274">
      <c r="A274" s="76" t="inlineStr">
        <is>
          <t>MD</t>
        </is>
      </c>
      <c r="B274" s="76" t="inlineStr">
        <is>
          <t>MD</t>
        </is>
      </c>
      <c r="C274" s="76" t="n">
        <v>0.3327692307692308</v>
      </c>
      <c r="D274" s="76" t="n">
        <v>0.3020666666666666</v>
      </c>
      <c r="E274" s="76" t="n">
        <v>0.2852666666666667</v>
      </c>
      <c r="F274" s="76" t="n">
        <v>0.2703333333333333</v>
      </c>
      <c r="G274" s="76" t="n">
        <v>0.2555333333333333</v>
      </c>
      <c r="H274" s="76" t="n">
        <v>0.2370625</v>
      </c>
      <c r="I274" s="76" t="n">
        <v>0.234625</v>
      </c>
      <c r="J274" s="76" t="n">
        <v>0.2765</v>
      </c>
      <c r="K274" s="76" t="n">
        <v>0.2804375</v>
      </c>
      <c r="L274" s="76" t="n">
        <v>0.2878125</v>
      </c>
      <c r="M274" s="76" t="n">
        <v>0.2950625000000001</v>
      </c>
      <c r="N274" s="76" t="n">
        <v>0.3046111111111111</v>
      </c>
      <c r="O274" s="76" t="n">
        <v>0.3015555555555555</v>
      </c>
      <c r="P274" s="76" t="n">
        <v>0.3045</v>
      </c>
      <c r="Q274" s="76" t="n">
        <v>0.3217058823529411</v>
      </c>
      <c r="R274" s="76" t="n">
        <v>0.3128235294117647</v>
      </c>
      <c r="S274" s="76" t="n">
        <v>0.3059411764705882</v>
      </c>
      <c r="T274" s="76" t="n">
        <v>0.272888888888889</v>
      </c>
      <c r="U274" s="76" t="n">
        <v>0.2612222222222222</v>
      </c>
      <c r="V274" s="76" t="n">
        <v>0.2539444444444445</v>
      </c>
      <c r="W274" s="76" t="n">
        <v>0.2480000000000001</v>
      </c>
      <c r="X274" s="76" t="n">
        <v>0.2457777777777778</v>
      </c>
      <c r="Y274" s="76" t="n">
        <v>0.2436666666666667</v>
      </c>
      <c r="Z274" s="76" t="n">
        <v>0.243</v>
      </c>
      <c r="AA274" s="76" t="n">
        <v>0.2418333333333334</v>
      </c>
      <c r="AB274" s="76" t="n">
        <v>0.2523529411764706</v>
      </c>
      <c r="AC274" s="76" t="n">
        <v>0.2520588235294118</v>
      </c>
      <c r="AD274" s="76" t="n">
        <v>0.2518235294117647</v>
      </c>
      <c r="AE274" s="76" t="n">
        <v>0.2517058823529412</v>
      </c>
      <c r="AF274" s="76" t="n">
        <v>0.2517058823529412</v>
      </c>
      <c r="AG274" s="76" t="n">
        <v>0.2108125</v>
      </c>
      <c r="AH274" s="76" t="n">
        <v>0.210875</v>
      </c>
      <c r="AI274" s="76" t="n">
        <v>0.210875</v>
      </c>
      <c r="AJ274" s="76" t="n">
        <v>0.210625</v>
      </c>
      <c r="AK274" s="76" t="n">
        <v>0.210125</v>
      </c>
      <c r="AL274" s="76" t="n">
        <v>0.208375</v>
      </c>
      <c r="AM274" s="76" t="n">
        <v>0.2103125</v>
      </c>
      <c r="AN274" s="76" t="n">
        <v>0.2118125</v>
      </c>
      <c r="AO274" s="76" t="n">
        <v>0.2131875</v>
      </c>
      <c r="AP274" s="76" t="n">
        <v>0.2142500000000001</v>
      </c>
      <c r="AQ274" s="76" t="n">
        <v>0.215</v>
      </c>
      <c r="AR274" s="76" t="n">
        <v>0.2562709867452134</v>
      </c>
    </row>
    <row r="275">
      <c r="A275" s="76" t="inlineStr">
        <is>
          <t>MD</t>
        </is>
      </c>
      <c r="B275" s="76" t="inlineStr">
        <is>
          <t>Battery</t>
        </is>
      </c>
      <c r="C275" s="76" t="n"/>
      <c r="D275" s="76" t="n"/>
      <c r="E275" s="76" t="n"/>
      <c r="F275" s="76" t="n"/>
      <c r="G275" s="76" t="n"/>
      <c r="H275" s="76" t="n">
        <v>-0.001</v>
      </c>
      <c r="I275" s="76" t="n">
        <v>-0.001</v>
      </c>
      <c r="J275" s="76" t="n">
        <v>0</v>
      </c>
      <c r="K275" s="76" t="n">
        <v>0</v>
      </c>
      <c r="L275" s="76" t="n">
        <v>0</v>
      </c>
      <c r="M275" s="76" t="n">
        <v>0</v>
      </c>
      <c r="N275" s="76" t="n">
        <v>0</v>
      </c>
      <c r="O275" s="76" t="n">
        <v>0</v>
      </c>
      <c r="P275" s="76" t="n">
        <v>0</v>
      </c>
      <c r="Q275" s="76" t="n">
        <v>0</v>
      </c>
      <c r="R275" s="76" t="n">
        <v>-0.007</v>
      </c>
      <c r="S275" s="76" t="n">
        <v>-0.013</v>
      </c>
      <c r="T275" s="76" t="n">
        <v>-0.053</v>
      </c>
      <c r="U275" s="76" t="n">
        <v>-0.062</v>
      </c>
      <c r="V275" s="76" t="n">
        <v>-0.064</v>
      </c>
      <c r="W275" s="76" t="n">
        <v>-0.067</v>
      </c>
      <c r="X275" s="76" t="n">
        <v>-0.068</v>
      </c>
      <c r="Y275" s="76" t="n">
        <v>-0.068</v>
      </c>
      <c r="Z275" s="76" t="n">
        <v>-0.0625</v>
      </c>
      <c r="AA275" s="76" t="n">
        <v>-0.059</v>
      </c>
      <c r="AB275" s="76" t="n">
        <v>-0.056</v>
      </c>
      <c r="AC275" s="76" t="n">
        <v>-0.059</v>
      </c>
      <c r="AD275" s="76" t="n">
        <v>-0.061</v>
      </c>
      <c r="AE275" s="76" t="n">
        <v>-0.0625</v>
      </c>
      <c r="AF275" s="76" t="n">
        <v>-0.0635</v>
      </c>
      <c r="AG275" s="76" t="n">
        <v>-0.065</v>
      </c>
      <c r="AH275" s="76" t="n">
        <v>-0.0645</v>
      </c>
      <c r="AI275" s="76" t="n">
        <v>-0.0645</v>
      </c>
      <c r="AJ275" s="76" t="n">
        <v>-0.0645</v>
      </c>
      <c r="AK275" s="76" t="n">
        <v>-0.0645</v>
      </c>
      <c r="AL275" s="76" t="n">
        <v>-0.0645</v>
      </c>
      <c r="AM275" s="76" t="n">
        <v>-0.0575</v>
      </c>
      <c r="AN275" s="76" t="n">
        <v>-0.053</v>
      </c>
      <c r="AO275" s="76" t="n">
        <v>-0.0495</v>
      </c>
      <c r="AP275" s="76" t="n">
        <v>-0.0465</v>
      </c>
      <c r="AQ275" s="76" t="n">
        <v>-0.044</v>
      </c>
      <c r="AR275" s="76" t="n">
        <v>-0.04848333333333333</v>
      </c>
    </row>
    <row r="276">
      <c r="A276" s="76" t="inlineStr">
        <is>
          <t>MD</t>
        </is>
      </c>
      <c r="B276" s="76" t="inlineStr">
        <is>
          <t>Biopower</t>
        </is>
      </c>
      <c r="C276" s="76" t="n">
        <v>0.521</v>
      </c>
      <c r="D276" s="76" t="n">
        <v>0.52</v>
      </c>
      <c r="E276" s="76" t="n">
        <v>0.5185</v>
      </c>
      <c r="F276" s="76" t="n">
        <v>0.5205</v>
      </c>
      <c r="G276" s="76" t="n">
        <v>0.522</v>
      </c>
      <c r="H276" s="76" t="n">
        <v>0.52</v>
      </c>
      <c r="I276" s="76" t="n">
        <v>0.5185</v>
      </c>
      <c r="J276" s="76" t="n">
        <v>0.518</v>
      </c>
      <c r="K276" s="76" t="n">
        <v>0.518</v>
      </c>
      <c r="L276" s="76" t="n">
        <v>0.515</v>
      </c>
      <c r="M276" s="76" t="n">
        <v>0.5125</v>
      </c>
      <c r="N276" s="76" t="n">
        <v>0.515</v>
      </c>
      <c r="O276" s="76" t="n">
        <v>0.5175000000000001</v>
      </c>
      <c r="P276" s="76" t="n">
        <v>0.518</v>
      </c>
      <c r="Q276" s="76" t="n">
        <v>0.5185</v>
      </c>
      <c r="R276" s="76" t="n">
        <v>0.5185</v>
      </c>
      <c r="S276" s="76" t="n">
        <v>0.5185</v>
      </c>
      <c r="T276" s="76" t="n">
        <v>0.5185</v>
      </c>
      <c r="U276" s="76" t="n">
        <v>0.5185</v>
      </c>
      <c r="V276" s="76" t="n">
        <v>0.5185</v>
      </c>
      <c r="W276" s="76" t="n">
        <v>0.5185</v>
      </c>
      <c r="X276" s="76" t="n">
        <v>0.5185</v>
      </c>
      <c r="Y276" s="76" t="n">
        <v>0.5185</v>
      </c>
      <c r="Z276" s="76" t="n">
        <v>0.5165</v>
      </c>
      <c r="AA276" s="76" t="n">
        <v>0.513</v>
      </c>
      <c r="AB276" s="76" t="n">
        <v>0.5085</v>
      </c>
      <c r="AC276" s="76" t="n">
        <v>0.509</v>
      </c>
      <c r="AD276" s="76" t="n">
        <v>0.51</v>
      </c>
      <c r="AE276" s="76" t="n">
        <v>0.5105</v>
      </c>
      <c r="AF276" s="76" t="n">
        <v>0.5115000000000001</v>
      </c>
      <c r="AG276" s="76" t="n">
        <v>0.512</v>
      </c>
      <c r="AH276" s="76" t="n">
        <v>0.5095000000000001</v>
      </c>
      <c r="AI276" s="76" t="n">
        <v>0.506</v>
      </c>
      <c r="AJ276" s="76" t="n">
        <v>0.5004999999999999</v>
      </c>
      <c r="AK276" s="76" t="n">
        <v>0.4915</v>
      </c>
      <c r="AL276" s="76" t="n">
        <v>0.473</v>
      </c>
      <c r="AM276" s="76" t="n">
        <v>0.4625</v>
      </c>
      <c r="AN276" s="76" t="n">
        <v>0.452</v>
      </c>
      <c r="AO276" s="76" t="n">
        <v>0.4415</v>
      </c>
      <c r="AP276" s="76" t="n">
        <v>0.431</v>
      </c>
      <c r="AQ276" s="76" t="n">
        <v>0.4205</v>
      </c>
      <c r="AR276" s="76" t="n">
        <v>0.5048780487804874</v>
      </c>
    </row>
    <row r="277">
      <c r="A277" s="76" t="inlineStr">
        <is>
          <t>MD</t>
        </is>
      </c>
      <c r="B277" s="76" t="inlineStr">
        <is>
          <t>Coal</t>
        </is>
      </c>
      <c r="C277" s="76" t="n">
        <v>0.5285</v>
      </c>
      <c r="D277" s="76" t="n">
        <v>0.354</v>
      </c>
      <c r="E277" s="76" t="n">
        <v>0.146</v>
      </c>
      <c r="F277" s="76" t="n">
        <v>0.09999999999999999</v>
      </c>
      <c r="G277" s="76" t="n">
        <v>0.0545</v>
      </c>
      <c r="H277" s="76" t="n">
        <v>0.0385</v>
      </c>
      <c r="I277" s="76" t="n">
        <v>0.021</v>
      </c>
      <c r="J277" s="76" t="n">
        <v>0.0255</v>
      </c>
      <c r="K277" s="76" t="n">
        <v>0.0305</v>
      </c>
      <c r="L277" s="76" t="n">
        <v>0.0815</v>
      </c>
      <c r="M277" s="76" t="n">
        <v>0.133</v>
      </c>
      <c r="N277" s="76" t="n">
        <v>0.102</v>
      </c>
      <c r="O277" s="76" t="n">
        <v>0.07100000000000001</v>
      </c>
      <c r="P277" s="76" t="n">
        <v>0.083</v>
      </c>
      <c r="Q277" s="76" t="n">
        <v>0.124</v>
      </c>
      <c r="R277" s="76" t="n">
        <v>0.158</v>
      </c>
      <c r="S277" s="76" t="n">
        <v>0.202</v>
      </c>
      <c r="T277" s="76" t="n">
        <v>0.173</v>
      </c>
      <c r="U277" s="76" t="n">
        <v>0.144</v>
      </c>
      <c r="V277" s="76" t="n">
        <v>0.101</v>
      </c>
      <c r="W277" s="76" t="n">
        <v>0.051</v>
      </c>
      <c r="X277" s="76" t="n">
        <v>0.046</v>
      </c>
      <c r="Y277" s="76" t="n">
        <v>0.04</v>
      </c>
      <c r="Z277" s="76" t="n">
        <v>0.04</v>
      </c>
      <c r="AA277" s="76" t="n">
        <v>0.04</v>
      </c>
      <c r="AB277" s="76" t="n"/>
      <c r="AC277" s="76" t="n"/>
      <c r="AD277" s="76" t="n"/>
      <c r="AE277" s="76" t="n"/>
      <c r="AF277" s="76" t="n"/>
      <c r="AG277" s="76" t="n"/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>
        <v>0.1194102564102564</v>
      </c>
    </row>
    <row r="278">
      <c r="A278" s="76" t="inlineStr">
        <is>
          <t>MD</t>
        </is>
      </c>
      <c r="B278" s="76" t="inlineStr">
        <is>
          <t>CSP</t>
        </is>
      </c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76" t="n"/>
      <c r="AC278" s="76" t="n"/>
      <c r="AD278" s="76" t="n"/>
      <c r="AE278" s="76" t="n"/>
      <c r="AF278" s="76" t="n"/>
      <c r="AG278" s="76" t="n"/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</row>
    <row r="279">
      <c r="A279" s="76" t="inlineStr">
        <is>
          <t>MD</t>
        </is>
      </c>
      <c r="B279" s="76" t="inlineStr">
        <is>
          <t>Dist PV</t>
        </is>
      </c>
      <c r="C279" s="76" t="n">
        <v>0.167</v>
      </c>
      <c r="D279" s="76" t="n">
        <v>0.165</v>
      </c>
      <c r="E279" s="76" t="n">
        <v>0.165</v>
      </c>
      <c r="F279" s="76" t="n">
        <v>0.165</v>
      </c>
      <c r="G279" s="76" t="n">
        <v>0.165</v>
      </c>
      <c r="H279" s="76" t="n">
        <v>0.165</v>
      </c>
      <c r="I279" s="76" t="n">
        <v>0.165</v>
      </c>
      <c r="J279" s="76" t="n">
        <v>0.165</v>
      </c>
      <c r="K279" s="76" t="n">
        <v>0.165</v>
      </c>
      <c r="L279" s="76" t="n">
        <v>0.165</v>
      </c>
      <c r="M279" s="76" t="n">
        <v>0.165</v>
      </c>
      <c r="N279" s="76" t="n">
        <v>0.165</v>
      </c>
      <c r="O279" s="76" t="n">
        <v>0.165</v>
      </c>
      <c r="P279" s="76" t="n">
        <v>0.165</v>
      </c>
      <c r="Q279" s="76" t="n">
        <v>0.165</v>
      </c>
      <c r="R279" s="76" t="n">
        <v>0.165</v>
      </c>
      <c r="S279" s="76" t="n">
        <v>0.165</v>
      </c>
      <c r="T279" s="76" t="n">
        <v>0.165</v>
      </c>
      <c r="U279" s="76" t="n">
        <v>0.165</v>
      </c>
      <c r="V279" s="76" t="n">
        <v>0.165</v>
      </c>
      <c r="W279" s="76" t="n">
        <v>0.165</v>
      </c>
      <c r="X279" s="76" t="n">
        <v>0.165</v>
      </c>
      <c r="Y279" s="76" t="n">
        <v>0.1645</v>
      </c>
      <c r="Z279" s="76" t="n">
        <v>0.165</v>
      </c>
      <c r="AA279" s="76" t="n">
        <v>0.165</v>
      </c>
      <c r="AB279" s="76" t="n">
        <v>0.165</v>
      </c>
      <c r="AC279" s="76" t="n">
        <v>0.165</v>
      </c>
      <c r="AD279" s="76" t="n">
        <v>0.165</v>
      </c>
      <c r="AE279" s="76" t="n">
        <v>0.165</v>
      </c>
      <c r="AF279" s="76" t="n">
        <v>0.165</v>
      </c>
      <c r="AG279" s="76" t="n">
        <v>0.165</v>
      </c>
      <c r="AH279" s="76" t="n">
        <v>0.165</v>
      </c>
      <c r="AI279" s="76" t="n">
        <v>0.165</v>
      </c>
      <c r="AJ279" s="76" t="n">
        <v>0.165</v>
      </c>
      <c r="AK279" s="76" t="n">
        <v>0.165</v>
      </c>
      <c r="AL279" s="76" t="n">
        <v>0.165</v>
      </c>
      <c r="AM279" s="76" t="n">
        <v>0.165</v>
      </c>
      <c r="AN279" s="76" t="n">
        <v>0.165</v>
      </c>
      <c r="AO279" s="76" t="n">
        <v>0.165</v>
      </c>
      <c r="AP279" s="76" t="n">
        <v>0.165</v>
      </c>
      <c r="AQ279" s="76" t="n">
        <v>0.165</v>
      </c>
      <c r="AR279" s="76" t="n">
        <v>0.1650123456790124</v>
      </c>
    </row>
    <row r="280">
      <c r="A280" s="76" t="inlineStr">
        <is>
          <t>MD</t>
        </is>
      </c>
      <c r="B280" s="76" t="inlineStr">
        <is>
          <t>Gas CCGT</t>
        </is>
      </c>
      <c r="C280" s="76" t="n">
        <v>0.06</v>
      </c>
      <c r="D280" s="76" t="n">
        <v>0.194</v>
      </c>
      <c r="E280" s="76" t="n">
        <v>0.328</v>
      </c>
      <c r="F280" s="76" t="n">
        <v>0.23</v>
      </c>
      <c r="G280" s="76" t="n">
        <v>0.131</v>
      </c>
      <c r="H280" s="76" t="n">
        <v>0.111</v>
      </c>
      <c r="I280" s="76" t="n">
        <v>0.091</v>
      </c>
      <c r="J280" s="76" t="n">
        <v>0.753</v>
      </c>
      <c r="K280" s="76" t="n">
        <v>0.8070000000000001</v>
      </c>
      <c r="L280" s="76" t="n">
        <v>0.821</v>
      </c>
      <c r="M280" s="76" t="n">
        <v>0.834</v>
      </c>
      <c r="N280" s="76" t="n">
        <v>0.834</v>
      </c>
      <c r="O280" s="76" t="n">
        <v>0.833</v>
      </c>
      <c r="P280" s="76" t="n">
        <v>0.831</v>
      </c>
      <c r="Q280" s="76" t="n">
        <v>0.83</v>
      </c>
      <c r="R280" s="76" t="n">
        <v>0.681</v>
      </c>
      <c r="S280" s="76" t="n">
        <v>0.532</v>
      </c>
      <c r="T280" s="76" t="n">
        <v>0.382</v>
      </c>
      <c r="U280" s="76" t="n">
        <v>0.232</v>
      </c>
      <c r="V280" s="76" t="n">
        <v>0.184</v>
      </c>
      <c r="W280" s="76" t="n">
        <v>0.136</v>
      </c>
      <c r="X280" s="76" t="n">
        <v>0.106</v>
      </c>
      <c r="Y280" s="76" t="n">
        <v>0.077</v>
      </c>
      <c r="Z280" s="76" t="n">
        <v>0.068</v>
      </c>
      <c r="AA280" s="76" t="n">
        <v>0.059</v>
      </c>
      <c r="AB280" s="76" t="n">
        <v>0.05</v>
      </c>
      <c r="AC280" s="76" t="n">
        <v>0.051</v>
      </c>
      <c r="AD280" s="76" t="n">
        <v>0.052</v>
      </c>
      <c r="AE280" s="76" t="n">
        <v>0.053</v>
      </c>
      <c r="AF280" s="76" t="n">
        <v>0.054</v>
      </c>
      <c r="AG280" s="76" t="n">
        <v>0.055</v>
      </c>
      <c r="AH280" s="76" t="n">
        <v>0.07099999999999999</v>
      </c>
      <c r="AI280" s="76" t="n">
        <v>0.08699999999999999</v>
      </c>
      <c r="AJ280" s="76" t="n">
        <v>0.103</v>
      </c>
      <c r="AK280" s="76" t="n">
        <v>0.12</v>
      </c>
      <c r="AL280" s="76" t="n">
        <v>0.136</v>
      </c>
      <c r="AM280" s="76" t="n">
        <v>0.149</v>
      </c>
      <c r="AN280" s="76" t="n">
        <v>0.163</v>
      </c>
      <c r="AO280" s="76" t="n">
        <v>0.176</v>
      </c>
      <c r="AP280" s="76" t="n">
        <v>0.19</v>
      </c>
      <c r="AQ280" s="76" t="n">
        <v>0.203</v>
      </c>
      <c r="AR280" s="76" t="n">
        <v>0.2892195121951218</v>
      </c>
    </row>
    <row r="281">
      <c r="A281" s="76" t="inlineStr">
        <is>
          <t>MD</t>
        </is>
      </c>
      <c r="B281" s="76" t="inlineStr">
        <is>
          <t>Gas CT</t>
        </is>
      </c>
      <c r="C281" s="76" t="n">
        <v>0.004</v>
      </c>
      <c r="D281" s="76" t="n">
        <v>0.004</v>
      </c>
      <c r="E281" s="76" t="n">
        <v>0.004</v>
      </c>
      <c r="F281" s="76" t="n">
        <v>0.004</v>
      </c>
      <c r="G281" s="76" t="n">
        <v>0.004</v>
      </c>
      <c r="H281" s="76" t="n">
        <v>0.004</v>
      </c>
      <c r="I281" s="76" t="n">
        <v>0.004</v>
      </c>
      <c r="J281" s="76" t="n">
        <v>0.004</v>
      </c>
      <c r="K281" s="76" t="n">
        <v>0.004</v>
      </c>
      <c r="L281" s="76" t="n">
        <v>0.004</v>
      </c>
      <c r="M281" s="76" t="n">
        <v>0.003</v>
      </c>
      <c r="N281" s="76" t="n">
        <v>0.002</v>
      </c>
      <c r="O281" s="76" t="n">
        <v>0.001</v>
      </c>
      <c r="P281" s="76" t="n">
        <v>0.001</v>
      </c>
      <c r="Q281" s="76" t="n">
        <v>0</v>
      </c>
      <c r="R281" s="76" t="n">
        <v>0</v>
      </c>
      <c r="S281" s="76" t="n">
        <v>0</v>
      </c>
      <c r="T281" s="76" t="n">
        <v>0</v>
      </c>
      <c r="U281" s="76" t="n">
        <v>0</v>
      </c>
      <c r="V281" s="76" t="n">
        <v>0</v>
      </c>
      <c r="W281" s="76" t="n">
        <v>0</v>
      </c>
      <c r="X281" s="76" t="n">
        <v>0</v>
      </c>
      <c r="Y281" s="76" t="n">
        <v>0</v>
      </c>
      <c r="Z281" s="76" t="n">
        <v>0</v>
      </c>
      <c r="AA281" s="76" t="n">
        <v>0</v>
      </c>
      <c r="AB281" s="76" t="n">
        <v>0</v>
      </c>
      <c r="AC281" s="76" t="n">
        <v>0</v>
      </c>
      <c r="AD281" s="76" t="n">
        <v>0</v>
      </c>
      <c r="AE281" s="76" t="n">
        <v>0</v>
      </c>
      <c r="AF281" s="76" t="n">
        <v>0</v>
      </c>
      <c r="AG281" s="76" t="n">
        <v>0</v>
      </c>
      <c r="AH281" s="76" t="n">
        <v>0</v>
      </c>
      <c r="AI281" s="76" t="n">
        <v>0</v>
      </c>
      <c r="AJ281" s="76" t="n">
        <v>0</v>
      </c>
      <c r="AK281" s="76" t="n">
        <v>0</v>
      </c>
      <c r="AL281" s="76" t="n">
        <v>0</v>
      </c>
      <c r="AM281" s="76" t="n">
        <v>0</v>
      </c>
      <c r="AN281" s="76" t="n">
        <v>0</v>
      </c>
      <c r="AO281" s="76" t="n">
        <v>0</v>
      </c>
      <c r="AP281" s="76" t="n">
        <v>0</v>
      </c>
      <c r="AQ281" s="76" t="n">
        <v>0</v>
      </c>
      <c r="AR281" s="76" t="n">
        <v>0.001146341463414635</v>
      </c>
    </row>
    <row r="282">
      <c r="A282" s="76" t="inlineStr">
        <is>
          <t>MD</t>
        </is>
      </c>
      <c r="B282" s="76" t="inlineStr">
        <is>
          <t>Geothermal</t>
        </is>
      </c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76" t="n"/>
      <c r="AC282" s="76" t="n"/>
      <c r="AD282" s="76" t="n"/>
      <c r="AE282" s="76" t="n"/>
      <c r="AF282" s="76" t="n"/>
      <c r="AG282" s="76" t="n"/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</row>
    <row r="283">
      <c r="A283" s="76" t="inlineStr">
        <is>
          <t>MD</t>
        </is>
      </c>
      <c r="B283" s="76" t="inlineStr">
        <is>
          <t>Hydro</t>
        </is>
      </c>
      <c r="C283" s="76" t="n">
        <v>0.227</v>
      </c>
      <c r="D283" s="76" t="n">
        <v>0.2435</v>
      </c>
      <c r="E283" s="76" t="n">
        <v>0.26</v>
      </c>
      <c r="F283" s="76" t="n">
        <v>0.242</v>
      </c>
      <c r="G283" s="76" t="n">
        <v>0.2245</v>
      </c>
      <c r="H283" s="76" t="n">
        <v>0.234</v>
      </c>
      <c r="I283" s="76" t="n">
        <v>0.2435</v>
      </c>
      <c r="J283" s="76" t="n">
        <v>0.2435</v>
      </c>
      <c r="K283" s="76" t="n">
        <v>0.2435</v>
      </c>
      <c r="L283" s="76" t="n">
        <v>0.2435</v>
      </c>
      <c r="M283" s="76" t="n">
        <v>0.2435</v>
      </c>
      <c r="N283" s="76" t="n">
        <v>0.2435</v>
      </c>
      <c r="O283" s="76" t="n">
        <v>0.2435</v>
      </c>
      <c r="P283" s="76" t="n">
        <v>0.2435</v>
      </c>
      <c r="Q283" s="76" t="n">
        <v>0.2435</v>
      </c>
      <c r="R283" s="76" t="n">
        <v>0.2435</v>
      </c>
      <c r="S283" s="76" t="n">
        <v>0.2435</v>
      </c>
      <c r="T283" s="76" t="n">
        <v>0.2435</v>
      </c>
      <c r="U283" s="76" t="n">
        <v>0.2435</v>
      </c>
      <c r="V283" s="76" t="n">
        <v>0.2435</v>
      </c>
      <c r="W283" s="76" t="n">
        <v>0.2435</v>
      </c>
      <c r="X283" s="76" t="n">
        <v>0.2435</v>
      </c>
      <c r="Y283" s="76" t="n">
        <v>0.2435</v>
      </c>
      <c r="Z283" s="76" t="n">
        <v>0.2435</v>
      </c>
      <c r="AA283" s="76" t="n">
        <v>0.2435</v>
      </c>
      <c r="AB283" s="76" t="n">
        <v>0.2435</v>
      </c>
      <c r="AC283" s="76" t="n">
        <v>0.2435</v>
      </c>
      <c r="AD283" s="76" t="n">
        <v>0.2435</v>
      </c>
      <c r="AE283" s="76" t="n">
        <v>0.2435</v>
      </c>
      <c r="AF283" s="76" t="n">
        <v>0.2435</v>
      </c>
      <c r="AG283" s="76" t="n">
        <v>0.2435</v>
      </c>
      <c r="AH283" s="76" t="n">
        <v>0.2435</v>
      </c>
      <c r="AI283" s="76" t="n">
        <v>0.2435</v>
      </c>
      <c r="AJ283" s="76" t="n">
        <v>0.2435</v>
      </c>
      <c r="AK283" s="76" t="n">
        <v>0.2435</v>
      </c>
      <c r="AL283" s="76" t="n">
        <v>0.2435</v>
      </c>
      <c r="AM283" s="76" t="n">
        <v>0.2435</v>
      </c>
      <c r="AN283" s="76" t="n">
        <v>0.2435</v>
      </c>
      <c r="AO283" s="76" t="n">
        <v>0.2435</v>
      </c>
      <c r="AP283" s="76" t="n">
        <v>0.2435</v>
      </c>
      <c r="AQ283" s="76" t="n">
        <v>0.2435</v>
      </c>
      <c r="AR283" s="76" t="n">
        <v>0.2427682926829267</v>
      </c>
    </row>
    <row r="284">
      <c r="A284" s="76" t="inlineStr">
        <is>
          <t>MD</t>
        </is>
      </c>
      <c r="B284" s="76" t="inlineStr">
        <is>
          <t>Nuclear</t>
        </is>
      </c>
      <c r="C284" s="76" t="n">
        <v>0.902</v>
      </c>
      <c r="D284" s="76" t="n">
        <v>0.902</v>
      </c>
      <c r="E284" s="76" t="n">
        <v>0.902</v>
      </c>
      <c r="F284" s="76" t="n">
        <v>0.902</v>
      </c>
      <c r="G284" s="76" t="n">
        <v>0.902</v>
      </c>
      <c r="H284" s="76" t="n">
        <v>0.902</v>
      </c>
      <c r="I284" s="76" t="n">
        <v>0.902</v>
      </c>
      <c r="J284" s="76" t="n">
        <v>0.902</v>
      </c>
      <c r="K284" s="76" t="n">
        <v>0.902</v>
      </c>
      <c r="L284" s="76" t="n">
        <v>0.902</v>
      </c>
      <c r="M284" s="76" t="n">
        <v>0.902</v>
      </c>
      <c r="N284" s="76" t="n">
        <v>0.902</v>
      </c>
      <c r="O284" s="76" t="n">
        <v>0.902</v>
      </c>
      <c r="P284" s="76" t="n">
        <v>0.902</v>
      </c>
      <c r="Q284" s="76" t="n">
        <v>0.902</v>
      </c>
      <c r="R284" s="76" t="n">
        <v>0.902</v>
      </c>
      <c r="S284" s="76" t="n">
        <v>0.902</v>
      </c>
      <c r="T284" s="76" t="n">
        <v>0.902</v>
      </c>
      <c r="U284" s="76" t="n">
        <v>0.902</v>
      </c>
      <c r="V284" s="76" t="n">
        <v>0.902</v>
      </c>
      <c r="W284" s="76" t="n">
        <v>0.902</v>
      </c>
      <c r="X284" s="76" t="n">
        <v>0.902</v>
      </c>
      <c r="Y284" s="76" t="n">
        <v>0.902</v>
      </c>
      <c r="Z284" s="76" t="n">
        <v>0.902</v>
      </c>
      <c r="AA284" s="76" t="n">
        <v>0.902</v>
      </c>
      <c r="AB284" s="76" t="n">
        <v>0.902</v>
      </c>
      <c r="AC284" s="76" t="n">
        <v>0.902</v>
      </c>
      <c r="AD284" s="76" t="n">
        <v>0.902</v>
      </c>
      <c r="AE284" s="76" t="n">
        <v>0.902</v>
      </c>
      <c r="AF284" s="76" t="n">
        <v>0.902</v>
      </c>
      <c r="AG284" s="76" t="n"/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>
        <v>0.9020000000000002</v>
      </c>
    </row>
    <row r="285">
      <c r="A285" s="76" t="inlineStr">
        <is>
          <t>MD</t>
        </is>
      </c>
      <c r="B285" s="76" t="inlineStr">
        <is>
          <t>Other</t>
        </is>
      </c>
      <c r="C285" s="76" t="n">
        <v>0</v>
      </c>
      <c r="D285" s="76" t="n">
        <v>0</v>
      </c>
      <c r="E285" s="76" t="n">
        <v>0</v>
      </c>
      <c r="F285" s="76" t="n">
        <v>0</v>
      </c>
      <c r="G285" s="76" t="n">
        <v>0</v>
      </c>
      <c r="H285" s="76" t="n">
        <v>0</v>
      </c>
      <c r="I285" s="76" t="n">
        <v>0</v>
      </c>
      <c r="J285" s="76" t="n">
        <v>0</v>
      </c>
      <c r="K285" s="76" t="n">
        <v>0</v>
      </c>
      <c r="L285" s="76" t="n">
        <v>0</v>
      </c>
      <c r="M285" s="76" t="n">
        <v>0</v>
      </c>
      <c r="N285" s="76" t="n">
        <v>0</v>
      </c>
      <c r="O285" s="76" t="n">
        <v>0</v>
      </c>
      <c r="P285" s="76" t="n">
        <v>0</v>
      </c>
      <c r="Q285" s="76" t="n">
        <v>0</v>
      </c>
      <c r="R285" s="76" t="n">
        <v>0</v>
      </c>
      <c r="S285" s="76" t="n">
        <v>0</v>
      </c>
      <c r="T285" s="76" t="n">
        <v>0</v>
      </c>
      <c r="U285" s="76" t="n">
        <v>0</v>
      </c>
      <c r="V285" s="76" t="n">
        <v>0</v>
      </c>
      <c r="W285" s="76" t="n">
        <v>0</v>
      </c>
      <c r="X285" s="76" t="n">
        <v>0</v>
      </c>
      <c r="Y285" s="76" t="n">
        <v>0</v>
      </c>
      <c r="Z285" s="76" t="n">
        <v>0</v>
      </c>
      <c r="AA285" s="76" t="n">
        <v>0</v>
      </c>
      <c r="AB285" s="76" t="n">
        <v>0</v>
      </c>
      <c r="AC285" s="76" t="n">
        <v>0</v>
      </c>
      <c r="AD285" s="76" t="n">
        <v>0</v>
      </c>
      <c r="AE285" s="76" t="n">
        <v>0</v>
      </c>
      <c r="AF285" s="76" t="n">
        <v>0</v>
      </c>
      <c r="AG285" s="76" t="n">
        <v>0</v>
      </c>
      <c r="AH285" s="76" t="n">
        <v>0</v>
      </c>
      <c r="AI285" s="76" t="n">
        <v>0</v>
      </c>
      <c r="AJ285" s="76" t="n">
        <v>0</v>
      </c>
      <c r="AK285" s="76" t="n">
        <v>0</v>
      </c>
      <c r="AL285" s="76" t="n">
        <v>0</v>
      </c>
      <c r="AM285" s="76" t="n">
        <v>0</v>
      </c>
      <c r="AN285" s="76" t="n">
        <v>0</v>
      </c>
      <c r="AO285" s="76" t="n">
        <v>0</v>
      </c>
      <c r="AP285" s="76" t="n">
        <v>0</v>
      </c>
      <c r="AQ285" s="76" t="n">
        <v>0</v>
      </c>
      <c r="AR285" s="76" t="n">
        <v>0</v>
      </c>
    </row>
    <row r="286">
      <c r="A286" s="76" t="inlineStr">
        <is>
          <t>MD</t>
        </is>
      </c>
      <c r="B286" s="76" t="inlineStr">
        <is>
          <t>Utility PV</t>
        </is>
      </c>
      <c r="C286" s="76" t="n">
        <v>0.235</v>
      </c>
      <c r="D286" s="76" t="n">
        <v>0.231</v>
      </c>
      <c r="E286" s="76" t="n">
        <v>0.231</v>
      </c>
      <c r="F286" s="76" t="n">
        <v>0.23</v>
      </c>
      <c r="G286" s="76" t="n">
        <v>0.23</v>
      </c>
      <c r="H286" s="76" t="n">
        <v>0.2295</v>
      </c>
      <c r="I286" s="76" t="n">
        <v>0.2295</v>
      </c>
      <c r="J286" s="76" t="n">
        <v>0.229</v>
      </c>
      <c r="K286" s="76" t="n">
        <v>0.2285</v>
      </c>
      <c r="L286" s="76" t="n">
        <v>0.229</v>
      </c>
      <c r="M286" s="76" t="n">
        <v>0.229</v>
      </c>
      <c r="N286" s="76" t="n">
        <v>0.228</v>
      </c>
      <c r="O286" s="76" t="n">
        <v>0.227</v>
      </c>
      <c r="P286" s="76" t="n">
        <v>0.226</v>
      </c>
      <c r="Q286" s="76" t="n">
        <v>0.225</v>
      </c>
      <c r="R286" s="76" t="n">
        <v>0.224</v>
      </c>
      <c r="S286" s="76" t="n">
        <v>0.2225</v>
      </c>
      <c r="T286" s="76" t="n">
        <v>0.223</v>
      </c>
      <c r="U286" s="76" t="n">
        <v>0.2225</v>
      </c>
      <c r="V286" s="76" t="n">
        <v>0.2215</v>
      </c>
      <c r="W286" s="76" t="n">
        <v>0.22</v>
      </c>
      <c r="X286" s="76" t="n">
        <v>0.219</v>
      </c>
      <c r="Y286" s="76" t="n">
        <v>0.2175</v>
      </c>
      <c r="Z286" s="76" t="n">
        <v>0.217</v>
      </c>
      <c r="AA286" s="76" t="n">
        <v>0.216</v>
      </c>
      <c r="AB286" s="76" t="n">
        <v>0.215</v>
      </c>
      <c r="AC286" s="76" t="n">
        <v>0.214</v>
      </c>
      <c r="AD286" s="76" t="n">
        <v>0.213</v>
      </c>
      <c r="AE286" s="76" t="n">
        <v>0.212</v>
      </c>
      <c r="AF286" s="76" t="n">
        <v>0.211</v>
      </c>
      <c r="AG286" s="76" t="n">
        <v>0.21</v>
      </c>
      <c r="AH286" s="76" t="n">
        <v>0.209</v>
      </c>
      <c r="AI286" s="76" t="n">
        <v>0.208</v>
      </c>
      <c r="AJ286" s="76" t="n">
        <v>0.207</v>
      </c>
      <c r="AK286" s="76" t="n">
        <v>0.206</v>
      </c>
      <c r="AL286" s="76" t="n">
        <v>0.2055</v>
      </c>
      <c r="AM286" s="76" t="n">
        <v>0.2055</v>
      </c>
      <c r="AN286" s="76" t="n">
        <v>0.2055</v>
      </c>
      <c r="AO286" s="76" t="n">
        <v>0.2055</v>
      </c>
      <c r="AP286" s="76" t="n">
        <v>0.2055</v>
      </c>
      <c r="AQ286" s="76" t="n">
        <v>0.204</v>
      </c>
      <c r="AR286" s="76" t="n">
        <v>0.2187530864197531</v>
      </c>
    </row>
    <row r="287">
      <c r="A287" s="76" t="inlineStr">
        <is>
          <t>MD</t>
        </is>
      </c>
      <c r="B287" s="76" t="inlineStr">
        <is>
          <t>Wind offshore</t>
        </is>
      </c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>
        <v>0.436</v>
      </c>
      <c r="O287" s="76" t="n">
        <v>0.436</v>
      </c>
      <c r="P287" s="76" t="n">
        <v>0.434</v>
      </c>
      <c r="Q287" s="76" t="n">
        <v>0.433</v>
      </c>
      <c r="R287" s="76" t="n">
        <v>0.432</v>
      </c>
      <c r="S287" s="76" t="n">
        <v>0.432</v>
      </c>
      <c r="T287" s="76" t="n">
        <v>0.416</v>
      </c>
      <c r="U287" s="76" t="n">
        <v>0.405</v>
      </c>
      <c r="V287" s="76" t="n">
        <v>0.408</v>
      </c>
      <c r="W287" s="76" t="n">
        <v>0.411</v>
      </c>
      <c r="X287" s="76" t="n">
        <v>0.419</v>
      </c>
      <c r="Y287" s="76" t="n">
        <v>0.427</v>
      </c>
      <c r="Z287" s="76" t="n">
        <v>0.423</v>
      </c>
      <c r="AA287" s="76" t="n">
        <v>0.418</v>
      </c>
      <c r="AB287" s="76" t="n">
        <v>0.414</v>
      </c>
      <c r="AC287" s="76" t="n">
        <v>0.415</v>
      </c>
      <c r="AD287" s="76" t="n">
        <v>0.416</v>
      </c>
      <c r="AE287" s="76" t="n">
        <v>0.418</v>
      </c>
      <c r="AF287" s="76" t="n">
        <v>0.419</v>
      </c>
      <c r="AG287" s="76" t="n">
        <v>0.42</v>
      </c>
      <c r="AH287" s="76" t="n">
        <v>0.408</v>
      </c>
      <c r="AI287" s="76" t="n">
        <v>0.397</v>
      </c>
      <c r="AJ287" s="76" t="n">
        <v>0.386</v>
      </c>
      <c r="AK287" s="76" t="n">
        <v>0.377</v>
      </c>
      <c r="AL287" s="76" t="n">
        <v>0.368</v>
      </c>
      <c r="AM287" s="76" t="n">
        <v>0.386</v>
      </c>
      <c r="AN287" s="76" t="n">
        <v>0.401</v>
      </c>
      <c r="AO287" s="76" t="n">
        <v>0.415</v>
      </c>
      <c r="AP287" s="76" t="n">
        <v>0.426</v>
      </c>
      <c r="AQ287" s="76" t="n">
        <v>0.436</v>
      </c>
      <c r="AR287" s="76" t="n">
        <v>0.4143999999999999</v>
      </c>
    </row>
    <row r="288">
      <c r="A288" s="76" t="inlineStr">
        <is>
          <t>MD</t>
        </is>
      </c>
      <c r="B288" s="76" t="inlineStr">
        <is>
          <t>Wind onshore</t>
        </is>
      </c>
      <c r="C288" s="76" t="n">
        <v>0.405</v>
      </c>
      <c r="D288" s="76" t="n">
        <v>0.404</v>
      </c>
      <c r="E288" s="76" t="n">
        <v>0.404</v>
      </c>
      <c r="F288" s="76" t="n">
        <v>0.404</v>
      </c>
      <c r="G288" s="76" t="n">
        <v>0.404</v>
      </c>
      <c r="H288" s="76" t="n">
        <v>0.403</v>
      </c>
      <c r="I288" s="76" t="n">
        <v>0.403</v>
      </c>
      <c r="J288" s="76" t="n">
        <v>0.403</v>
      </c>
      <c r="K288" s="76" t="n">
        <v>0.403</v>
      </c>
      <c r="L288" s="76" t="n">
        <v>0.41</v>
      </c>
      <c r="M288" s="76" t="n">
        <v>0.416</v>
      </c>
      <c r="N288" s="76" t="n">
        <v>0.401</v>
      </c>
      <c r="O288" s="76" t="n">
        <v>0.404</v>
      </c>
      <c r="P288" s="76" t="n">
        <v>0.421</v>
      </c>
      <c r="Q288" s="76" t="n">
        <v>0.438</v>
      </c>
      <c r="R288" s="76" t="n">
        <v>0.425</v>
      </c>
      <c r="S288" s="76" t="n">
        <v>0.4235</v>
      </c>
      <c r="T288" s="76" t="n">
        <v>0.4225</v>
      </c>
      <c r="U288" s="76" t="n">
        <v>0.422</v>
      </c>
      <c r="V288" s="76" t="n">
        <v>0.4035</v>
      </c>
      <c r="W288" s="76" t="n">
        <v>0.402</v>
      </c>
      <c r="X288" s="76" t="n">
        <v>0.3975</v>
      </c>
      <c r="Y288" s="76" t="n">
        <v>0.394</v>
      </c>
      <c r="Z288" s="76" t="n">
        <v>0.391</v>
      </c>
      <c r="AA288" s="76" t="n">
        <v>0.3885</v>
      </c>
      <c r="AB288" s="76" t="n">
        <v>0.386</v>
      </c>
      <c r="AC288" s="76" t="n">
        <v>0.386</v>
      </c>
      <c r="AD288" s="76" t="n">
        <v>0.385</v>
      </c>
      <c r="AE288" s="76" t="n">
        <v>0.3845</v>
      </c>
      <c r="AF288" s="76" t="n">
        <v>0.3845</v>
      </c>
      <c r="AG288" s="76" t="n">
        <v>0.3835</v>
      </c>
      <c r="AH288" s="76" t="n">
        <v>0.385</v>
      </c>
      <c r="AI288" s="76" t="n">
        <v>0.387</v>
      </c>
      <c r="AJ288" s="76" t="n">
        <v>0.389</v>
      </c>
      <c r="AK288" s="76" t="n">
        <v>0.391</v>
      </c>
      <c r="AL288" s="76" t="n">
        <v>0.3925</v>
      </c>
      <c r="AM288" s="76" t="n">
        <v>0.396</v>
      </c>
      <c r="AN288" s="76" t="n">
        <v>0.3995</v>
      </c>
      <c r="AO288" s="76" t="n">
        <v>0.404</v>
      </c>
      <c r="AP288" s="76" t="n">
        <v>0.4075</v>
      </c>
      <c r="AQ288" s="76" t="n">
        <v>0.4115</v>
      </c>
      <c r="AR288" s="76" t="n">
        <v>0.4010000000000001</v>
      </c>
    </row>
    <row r="289">
      <c r="A289" s="76" t="inlineStr">
        <is>
          <t>ME</t>
        </is>
      </c>
      <c r="B289" s="76" t="inlineStr">
        <is>
          <t>ME</t>
        </is>
      </c>
      <c r="C289" s="76" t="n">
        <v>0.26925</v>
      </c>
      <c r="D289" s="76" t="n">
        <v>0.262875</v>
      </c>
      <c r="E289" s="76" t="n">
        <v>0.255125</v>
      </c>
      <c r="F289" s="76" t="n">
        <v>0.276875</v>
      </c>
      <c r="G289" s="76" t="n">
        <v>0.298625</v>
      </c>
      <c r="H289" s="76" t="n">
        <v>0.2403333333333334</v>
      </c>
      <c r="I289" s="76" t="n">
        <v>0.214</v>
      </c>
      <c r="J289" s="76" t="n">
        <v>0.2095</v>
      </c>
      <c r="K289" s="76" t="n">
        <v>0.2044000000000001</v>
      </c>
      <c r="L289" s="76" t="n">
        <v>0.2047</v>
      </c>
      <c r="M289" s="76" t="n">
        <v>0.204</v>
      </c>
      <c r="N289" s="76" t="n">
        <v>0.199</v>
      </c>
      <c r="O289" s="76" t="n">
        <v>0.2151111111111111</v>
      </c>
      <c r="P289" s="76" t="n">
        <v>0.2232222222222222</v>
      </c>
      <c r="Q289" s="76" t="n">
        <v>0.2313333333333333</v>
      </c>
      <c r="R289" s="76" t="n">
        <v>0.223</v>
      </c>
      <c r="S289" s="76" t="n">
        <v>0.2144444444444445</v>
      </c>
      <c r="T289" s="76" t="n">
        <v>0.2056666666666666</v>
      </c>
      <c r="U289" s="76" t="n">
        <v>0.1965555555555556</v>
      </c>
      <c r="V289" s="76" t="n">
        <v>0.1955555555555556</v>
      </c>
      <c r="W289" s="76" t="n">
        <v>0.1944444444444444</v>
      </c>
      <c r="X289" s="76" t="n">
        <v>0.1934444444444444</v>
      </c>
      <c r="Y289" s="76" t="n">
        <v>0.223125</v>
      </c>
      <c r="Z289" s="76" t="n">
        <v>0.2016666666666667</v>
      </c>
      <c r="AA289" s="76" t="n">
        <v>0.2113333333333333</v>
      </c>
      <c r="AB289" s="76" t="n">
        <v>0.2207777777777778</v>
      </c>
      <c r="AC289" s="76" t="n">
        <v>0.2223333333333334</v>
      </c>
      <c r="AD289" s="76" t="n">
        <v>0.2251111111111112</v>
      </c>
      <c r="AE289" s="76" t="n">
        <v>0.2294444444444445</v>
      </c>
      <c r="AF289" s="76" t="n">
        <v>0.2362222222222222</v>
      </c>
      <c r="AG289" s="76" t="n">
        <v>0.2494444444444445</v>
      </c>
      <c r="AH289" s="76" t="n">
        <v>0.249</v>
      </c>
      <c r="AI289" s="76" t="n">
        <v>0.2483333333333334</v>
      </c>
      <c r="AJ289" s="76" t="n">
        <v>0.2467777777777778</v>
      </c>
      <c r="AK289" s="76" t="n">
        <v>0.2432222222222222</v>
      </c>
      <c r="AL289" s="76" t="n">
        <v>0.2306666666666666</v>
      </c>
      <c r="AM289" s="76" t="n">
        <v>0.2404</v>
      </c>
      <c r="AN289" s="76" t="n">
        <v>0.2371</v>
      </c>
      <c r="AO289" s="76" t="n">
        <v>0.2339</v>
      </c>
      <c r="AP289" s="76" t="n">
        <v>0.231</v>
      </c>
      <c r="AQ289" s="76" t="n">
        <v>0.2282</v>
      </c>
      <c r="AR289" s="76" t="n">
        <v>0.2269758713136729</v>
      </c>
    </row>
    <row r="290">
      <c r="A290" s="76" t="inlineStr">
        <is>
          <t>ME</t>
        </is>
      </c>
      <c r="B290" s="76" t="inlineStr">
        <is>
          <t>Battery</t>
        </is>
      </c>
      <c r="C290" s="76" t="n"/>
      <c r="D290" s="76" t="n"/>
      <c r="E290" s="76" t="n"/>
      <c r="F290" s="76" t="n"/>
      <c r="G290" s="76" t="n"/>
      <c r="H290" s="76" t="n">
        <v>-0.002</v>
      </c>
      <c r="I290" s="76" t="n">
        <v>-0.002</v>
      </c>
      <c r="J290" s="76" t="n">
        <v>-0.001</v>
      </c>
      <c r="K290" s="76" t="n">
        <v>-0.001</v>
      </c>
      <c r="L290" s="76" t="n">
        <v>0</v>
      </c>
      <c r="M290" s="76" t="n">
        <v>0</v>
      </c>
      <c r="N290" s="76" t="n">
        <v>-0.001</v>
      </c>
      <c r="O290" s="76" t="n">
        <v>-0.001</v>
      </c>
      <c r="P290" s="76" t="n">
        <v>-0.004</v>
      </c>
      <c r="Q290" s="76" t="n">
        <v>-0.007</v>
      </c>
      <c r="R290" s="76" t="n">
        <v>-0.006</v>
      </c>
      <c r="S290" s="76" t="n">
        <v>-0.006</v>
      </c>
      <c r="T290" s="76" t="n">
        <v>-0.03</v>
      </c>
      <c r="U290" s="76" t="n">
        <v>-0.055</v>
      </c>
      <c r="V290" s="76" t="n">
        <v>-0.06</v>
      </c>
      <c r="W290" s="76" t="n">
        <v>-0.065</v>
      </c>
      <c r="X290" s="76" t="n">
        <v>-0.065</v>
      </c>
      <c r="Y290" s="76" t="n"/>
      <c r="Z290" s="76" t="n">
        <v>-0.057</v>
      </c>
      <c r="AA290" s="76" t="n">
        <v>-0.057</v>
      </c>
      <c r="AB290" s="76" t="n">
        <v>-0.057</v>
      </c>
      <c r="AC290" s="76" t="n">
        <v>-0.065</v>
      </c>
      <c r="AD290" s="76" t="n">
        <v>-0.068</v>
      </c>
      <c r="AE290" s="76" t="n">
        <v>-0.07000000000000001</v>
      </c>
      <c r="AF290" s="76" t="n">
        <v>-0.07099999999999999</v>
      </c>
      <c r="AG290" s="76" t="n">
        <v>-0.07199999999999999</v>
      </c>
      <c r="AH290" s="76" t="n">
        <v>-0.073</v>
      </c>
      <c r="AI290" s="76" t="n">
        <v>-0.074</v>
      </c>
      <c r="AJ290" s="76" t="n">
        <v>-0.074</v>
      </c>
      <c r="AK290" s="76" t="n">
        <v>-0.075</v>
      </c>
      <c r="AL290" s="76" t="n">
        <v>-0.075</v>
      </c>
      <c r="AM290" s="76" t="n">
        <v>-0.074</v>
      </c>
      <c r="AN290" s="76" t="n">
        <v>-0.07199999999999999</v>
      </c>
      <c r="AO290" s="76" t="n">
        <v>-0.07099999999999999</v>
      </c>
      <c r="AP290" s="76" t="n">
        <v>-0.06900000000000001</v>
      </c>
      <c r="AQ290" s="76" t="n">
        <v>-0.067</v>
      </c>
      <c r="AR290" s="76" t="n">
        <v>-0.0442</v>
      </c>
    </row>
    <row r="291">
      <c r="A291" s="76" t="inlineStr">
        <is>
          <t>ME</t>
        </is>
      </c>
      <c r="B291" s="76" t="inlineStr">
        <is>
          <t>Biopower</t>
        </is>
      </c>
      <c r="C291" s="76" t="n">
        <v>0.208</v>
      </c>
      <c r="D291" s="76" t="n">
        <v>0.146</v>
      </c>
      <c r="E291" s="76" t="n">
        <v>0.08</v>
      </c>
      <c r="F291" s="76" t="n">
        <v>0.254</v>
      </c>
      <c r="G291" s="76" t="n">
        <v>0.437</v>
      </c>
      <c r="H291" s="76" t="n">
        <v>0.235</v>
      </c>
      <c r="I291" s="76" t="n">
        <v>0.028</v>
      </c>
      <c r="J291" s="76" t="n">
        <v>0.029</v>
      </c>
      <c r="K291" s="76" t="n">
        <v>0.03</v>
      </c>
      <c r="L291" s="76" t="n">
        <v>0.03</v>
      </c>
      <c r="M291" s="76" t="n">
        <v>0.03</v>
      </c>
      <c r="N291" s="76" t="n">
        <v>0.03</v>
      </c>
      <c r="O291" s="76" t="n">
        <v>0.03</v>
      </c>
      <c r="P291" s="76" t="n">
        <v>0.03</v>
      </c>
      <c r="Q291" s="76" t="n">
        <v>0.03</v>
      </c>
      <c r="R291" s="76" t="n">
        <v>0.03</v>
      </c>
      <c r="S291" s="76" t="n">
        <v>0.03</v>
      </c>
      <c r="T291" s="76" t="n">
        <v>0.03</v>
      </c>
      <c r="U291" s="76" t="n">
        <v>0.03</v>
      </c>
      <c r="V291" s="76" t="n">
        <v>0.03</v>
      </c>
      <c r="W291" s="76" t="n">
        <v>0.03</v>
      </c>
      <c r="X291" s="76" t="n">
        <v>0.037</v>
      </c>
      <c r="Y291" s="76" t="n">
        <v>0.044</v>
      </c>
      <c r="Z291" s="76" t="n">
        <v>0.15</v>
      </c>
      <c r="AA291" s="76" t="n">
        <v>0.257</v>
      </c>
      <c r="AB291" s="76" t="n">
        <v>0.363</v>
      </c>
      <c r="AC291" s="76" t="n">
        <v>0.379</v>
      </c>
      <c r="AD291" s="76" t="n">
        <v>0.401</v>
      </c>
      <c r="AE291" s="76" t="n">
        <v>0.434</v>
      </c>
      <c r="AF291" s="76" t="n">
        <v>0.489</v>
      </c>
      <c r="AG291" s="76" t="n">
        <v>0.6</v>
      </c>
      <c r="AH291" s="76" t="n">
        <v>0.593</v>
      </c>
      <c r="AI291" s="76" t="n">
        <v>0.583</v>
      </c>
      <c r="AJ291" s="76" t="n">
        <v>0.5649999999999999</v>
      </c>
      <c r="AK291" s="76" t="n">
        <v>0.529</v>
      </c>
      <c r="AL291" s="76" t="n">
        <v>0.411</v>
      </c>
      <c r="AM291" s="76" t="n">
        <v>0.376</v>
      </c>
      <c r="AN291" s="76" t="n">
        <v>0.341</v>
      </c>
      <c r="AO291" s="76" t="n">
        <v>0.307</v>
      </c>
      <c r="AP291" s="76" t="n">
        <v>0.272</v>
      </c>
      <c r="AQ291" s="76" t="n">
        <v>0.237</v>
      </c>
      <c r="AR291" s="76" t="n">
        <v>0.223780487804878</v>
      </c>
    </row>
    <row r="292">
      <c r="A292" s="76" t="inlineStr">
        <is>
          <t>ME</t>
        </is>
      </c>
      <c r="B292" s="76" t="inlineStr">
        <is>
          <t>Coal</t>
        </is>
      </c>
      <c r="C292" s="76" t="n">
        <v>0</v>
      </c>
      <c r="D292" s="76" t="n">
        <v>0</v>
      </c>
      <c r="E292" s="76" t="n">
        <v>0</v>
      </c>
      <c r="F292" s="76" t="n">
        <v>0</v>
      </c>
      <c r="G292" s="76" t="n">
        <v>0</v>
      </c>
      <c r="H292" s="76" t="n">
        <v>0</v>
      </c>
      <c r="I292" s="76" t="n">
        <v>0</v>
      </c>
      <c r="J292" s="76" t="n">
        <v>0</v>
      </c>
      <c r="K292" s="76" t="n">
        <v>0</v>
      </c>
      <c r="L292" s="76" t="n">
        <v>0</v>
      </c>
      <c r="M292" s="76" t="n">
        <v>0</v>
      </c>
      <c r="N292" s="76" t="n">
        <v>0</v>
      </c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  <c r="AE292" s="76" t="n"/>
      <c r="AF292" s="76" t="n"/>
      <c r="AG292" s="76" t="n"/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>
        <v>0</v>
      </c>
    </row>
    <row r="293">
      <c r="A293" s="76" t="inlineStr">
        <is>
          <t>ME</t>
        </is>
      </c>
      <c r="B293" s="76" t="inlineStr">
        <is>
          <t>CSP</t>
        </is>
      </c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6" t="n"/>
      <c r="AC293" s="76" t="n"/>
      <c r="AD293" s="76" t="n"/>
      <c r="AE293" s="76" t="n"/>
      <c r="AF293" s="76" t="n"/>
      <c r="AG293" s="76" t="n"/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</row>
    <row r="294">
      <c r="A294" s="76" t="inlineStr">
        <is>
          <t>ME</t>
        </is>
      </c>
      <c r="B294" s="76" t="inlineStr">
        <is>
          <t>Dist PV</t>
        </is>
      </c>
      <c r="C294" s="76" t="n">
        <v>0.156</v>
      </c>
      <c r="D294" s="76" t="n">
        <v>0.156</v>
      </c>
      <c r="E294" s="76" t="n">
        <v>0.156</v>
      </c>
      <c r="F294" s="76" t="n">
        <v>0.156</v>
      </c>
      <c r="G294" s="76" t="n">
        <v>0.156</v>
      </c>
      <c r="H294" s="76" t="n">
        <v>0.156</v>
      </c>
      <c r="I294" s="76" t="n">
        <v>0.156</v>
      </c>
      <c r="J294" s="76" t="n">
        <v>0.156</v>
      </c>
      <c r="K294" s="76" t="n">
        <v>0.156</v>
      </c>
      <c r="L294" s="76" t="n">
        <v>0.156</v>
      </c>
      <c r="M294" s="76" t="n">
        <v>0.156</v>
      </c>
      <c r="N294" s="76" t="n">
        <v>0.156</v>
      </c>
      <c r="O294" s="76" t="n">
        <v>0.156</v>
      </c>
      <c r="P294" s="76" t="n">
        <v>0.156</v>
      </c>
      <c r="Q294" s="76" t="n">
        <v>0.156</v>
      </c>
      <c r="R294" s="76" t="n">
        <v>0.156</v>
      </c>
      <c r="S294" s="76" t="n">
        <v>0.156</v>
      </c>
      <c r="T294" s="76" t="n">
        <v>0.156</v>
      </c>
      <c r="U294" s="76" t="n">
        <v>0.156</v>
      </c>
      <c r="V294" s="76" t="n">
        <v>0.156</v>
      </c>
      <c r="W294" s="76" t="n">
        <v>0.156</v>
      </c>
      <c r="X294" s="76" t="n">
        <v>0.156</v>
      </c>
      <c r="Y294" s="76" t="n">
        <v>0.156</v>
      </c>
      <c r="Z294" s="76" t="n">
        <v>0.156</v>
      </c>
      <c r="AA294" s="76" t="n">
        <v>0.156</v>
      </c>
      <c r="AB294" s="76" t="n">
        <v>0.156</v>
      </c>
      <c r="AC294" s="76" t="n">
        <v>0.156</v>
      </c>
      <c r="AD294" s="76" t="n">
        <v>0.156</v>
      </c>
      <c r="AE294" s="76" t="n">
        <v>0.156</v>
      </c>
      <c r="AF294" s="76" t="n">
        <v>0.156</v>
      </c>
      <c r="AG294" s="76" t="n">
        <v>0.156</v>
      </c>
      <c r="AH294" s="76" t="n">
        <v>0.156</v>
      </c>
      <c r="AI294" s="76" t="n">
        <v>0.156</v>
      </c>
      <c r="AJ294" s="76" t="n">
        <v>0.156</v>
      </c>
      <c r="AK294" s="76" t="n">
        <v>0.156</v>
      </c>
      <c r="AL294" s="76" t="n">
        <v>0.156</v>
      </c>
      <c r="AM294" s="76" t="n">
        <v>0.156</v>
      </c>
      <c r="AN294" s="76" t="n">
        <v>0.156</v>
      </c>
      <c r="AO294" s="76" t="n">
        <v>0.156</v>
      </c>
      <c r="AP294" s="76" t="n">
        <v>0.156</v>
      </c>
      <c r="AQ294" s="76" t="n">
        <v>0.156</v>
      </c>
      <c r="AR294" s="76" t="n">
        <v>0.1559999999999999</v>
      </c>
    </row>
    <row r="295">
      <c r="A295" s="76" t="inlineStr">
        <is>
          <t>ME</t>
        </is>
      </c>
      <c r="B295" s="76" t="inlineStr">
        <is>
          <t>Gas CCGT</t>
        </is>
      </c>
      <c r="C295" s="76" t="n">
        <v>0.623</v>
      </c>
      <c r="D295" s="76" t="n">
        <v>0.646</v>
      </c>
      <c r="E295" s="76" t="n">
        <v>0.668</v>
      </c>
      <c r="F295" s="76" t="n">
        <v>0.627</v>
      </c>
      <c r="G295" s="76" t="n">
        <v>0.586</v>
      </c>
      <c r="H295" s="76" t="n">
        <v>0.537</v>
      </c>
      <c r="I295" s="76" t="n">
        <v>0.488</v>
      </c>
      <c r="J295" s="76" t="n">
        <v>0.398</v>
      </c>
      <c r="K295" s="76" t="n">
        <v>0.309</v>
      </c>
      <c r="L295" s="76" t="n">
        <v>0.337</v>
      </c>
      <c r="M295" s="76" t="n">
        <v>0.366</v>
      </c>
      <c r="N295" s="76" t="n">
        <v>0.333</v>
      </c>
      <c r="O295" s="76" t="n">
        <v>0.299</v>
      </c>
      <c r="P295" s="76" t="n">
        <v>0.375</v>
      </c>
      <c r="Q295" s="76" t="n">
        <v>0.451</v>
      </c>
      <c r="R295" s="76" t="n">
        <v>0.373</v>
      </c>
      <c r="S295" s="76" t="n">
        <v>0.295</v>
      </c>
      <c r="T295" s="76" t="n">
        <v>0.232</v>
      </c>
      <c r="U295" s="76" t="n">
        <v>0.169</v>
      </c>
      <c r="V295" s="76" t="n">
        <v>0.153</v>
      </c>
      <c r="W295" s="76" t="n">
        <v>0.137</v>
      </c>
      <c r="X295" s="76" t="n">
        <v>0.115</v>
      </c>
      <c r="Y295" s="76" t="n">
        <v>0.093</v>
      </c>
      <c r="Z295" s="76" t="n">
        <v>0.075</v>
      </c>
      <c r="AA295" s="76" t="n">
        <v>0.056</v>
      </c>
      <c r="AB295" s="76" t="n">
        <v>0.037</v>
      </c>
      <c r="AC295" s="76" t="n">
        <v>0.034</v>
      </c>
      <c r="AD295" s="76" t="n">
        <v>0.03</v>
      </c>
      <c r="AE295" s="76" t="n">
        <v>0.027</v>
      </c>
      <c r="AF295" s="76" t="n">
        <v>0.023</v>
      </c>
      <c r="AG295" s="76" t="n">
        <v>0.019</v>
      </c>
      <c r="AH295" s="76" t="n">
        <v>0.021</v>
      </c>
      <c r="AI295" s="76" t="n">
        <v>0.023</v>
      </c>
      <c r="AJ295" s="76" t="n">
        <v>0.025</v>
      </c>
      <c r="AK295" s="76" t="n">
        <v>0.027</v>
      </c>
      <c r="AL295" s="76" t="n">
        <v>0.029</v>
      </c>
      <c r="AM295" s="76" t="n">
        <v>0.023</v>
      </c>
      <c r="AN295" s="76" t="n">
        <v>0.017</v>
      </c>
      <c r="AO295" s="76" t="n">
        <v>0.011</v>
      </c>
      <c r="AP295" s="76" t="n">
        <v>0.006</v>
      </c>
      <c r="AQ295" s="76" t="n">
        <v>0</v>
      </c>
      <c r="AR295" s="76" t="n">
        <v>0.221780487804878</v>
      </c>
    </row>
    <row r="296">
      <c r="A296" s="76" t="inlineStr">
        <is>
          <t>ME</t>
        </is>
      </c>
      <c r="B296" s="76" t="inlineStr">
        <is>
          <t>Gas CT</t>
        </is>
      </c>
      <c r="C296" s="76" t="n">
        <v>0.004</v>
      </c>
      <c r="D296" s="76" t="n">
        <v>0.004</v>
      </c>
      <c r="E296" s="76" t="n">
        <v>0.004</v>
      </c>
      <c r="F296" s="76" t="n">
        <v>0.004</v>
      </c>
      <c r="G296" s="76" t="n">
        <v>0.004</v>
      </c>
      <c r="H296" s="76" t="n">
        <v>0.004</v>
      </c>
      <c r="I296" s="76" t="n">
        <v>0.004</v>
      </c>
      <c r="J296" s="76" t="n">
        <v>0.004</v>
      </c>
      <c r="K296" s="76" t="n">
        <v>0.004</v>
      </c>
      <c r="L296" s="76" t="n">
        <v>0.002</v>
      </c>
      <c r="M296" s="76" t="n">
        <v>0</v>
      </c>
      <c r="N296" s="76" t="n">
        <v>0</v>
      </c>
      <c r="O296" s="76" t="n">
        <v>0</v>
      </c>
      <c r="P296" s="76" t="n">
        <v>0</v>
      </c>
      <c r="Q296" s="76" t="n">
        <v>0</v>
      </c>
      <c r="R296" s="76" t="n">
        <v>0</v>
      </c>
      <c r="S296" s="76" t="n">
        <v>0</v>
      </c>
      <c r="T296" s="76" t="n">
        <v>0</v>
      </c>
      <c r="U296" s="76" t="n">
        <v>0</v>
      </c>
      <c r="V296" s="76" t="n">
        <v>0</v>
      </c>
      <c r="W296" s="76" t="n">
        <v>0</v>
      </c>
      <c r="X296" s="76" t="n">
        <v>0</v>
      </c>
      <c r="Y296" s="76" t="n">
        <v>0</v>
      </c>
      <c r="Z296" s="76" t="n">
        <v>0</v>
      </c>
      <c r="AA296" s="76" t="n">
        <v>0</v>
      </c>
      <c r="AB296" s="76" t="n">
        <v>0</v>
      </c>
      <c r="AC296" s="76" t="n">
        <v>0</v>
      </c>
      <c r="AD296" s="76" t="n">
        <v>0</v>
      </c>
      <c r="AE296" s="76" t="n">
        <v>0</v>
      </c>
      <c r="AF296" s="76" t="n">
        <v>0</v>
      </c>
      <c r="AG296" s="76" t="n">
        <v>0</v>
      </c>
      <c r="AH296" s="76" t="n">
        <v>0</v>
      </c>
      <c r="AI296" s="76" t="n">
        <v>0</v>
      </c>
      <c r="AJ296" s="76" t="n">
        <v>0</v>
      </c>
      <c r="AK296" s="76" t="n">
        <v>0</v>
      </c>
      <c r="AL296" s="76" t="n">
        <v>0</v>
      </c>
      <c r="AM296" s="76" t="n">
        <v>0</v>
      </c>
      <c r="AN296" s="76" t="n">
        <v>0</v>
      </c>
      <c r="AO296" s="76" t="n">
        <v>0</v>
      </c>
      <c r="AP296" s="76" t="n">
        <v>0</v>
      </c>
      <c r="AQ296" s="76" t="n">
        <v>0</v>
      </c>
      <c r="AR296" s="76" t="n">
        <v>0.0009268292682926831</v>
      </c>
    </row>
    <row r="297">
      <c r="A297" s="76" t="inlineStr">
        <is>
          <t>ME</t>
        </is>
      </c>
      <c r="B297" s="76" t="inlineStr">
        <is>
          <t>Geothermal</t>
        </is>
      </c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  <c r="AA297" s="76" t="n"/>
      <c r="AB297" s="76" t="n"/>
      <c r="AC297" s="76" t="n"/>
      <c r="AD297" s="76" t="n"/>
      <c r="AE297" s="76" t="n"/>
      <c r="AF297" s="76" t="n"/>
      <c r="AG297" s="76" t="n"/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</row>
    <row r="298">
      <c r="A298" s="76" t="inlineStr">
        <is>
          <t>ME</t>
        </is>
      </c>
      <c r="B298" s="76" t="inlineStr">
        <is>
          <t>Hydro</t>
        </is>
      </c>
      <c r="C298" s="76" t="n">
        <v>0.698</v>
      </c>
      <c r="D298" s="76" t="n">
        <v>0.6840000000000001</v>
      </c>
      <c r="E298" s="76" t="n">
        <v>0.67</v>
      </c>
      <c r="F298" s="76" t="n">
        <v>0.651</v>
      </c>
      <c r="G298" s="76" t="n">
        <v>0.631</v>
      </c>
      <c r="H298" s="76" t="n">
        <v>0.657</v>
      </c>
      <c r="I298" s="76" t="n">
        <v>0.6830000000000001</v>
      </c>
      <c r="J298" s="76" t="n">
        <v>0.6840000000000001</v>
      </c>
      <c r="K298" s="76" t="n">
        <v>0.6860000000000001</v>
      </c>
      <c r="L298" s="76" t="n">
        <v>0.6850000000000001</v>
      </c>
      <c r="M298" s="76" t="n">
        <v>0.6850000000000001</v>
      </c>
      <c r="N298" s="76" t="n">
        <v>0.6850000000000001</v>
      </c>
      <c r="O298" s="76" t="n">
        <v>0.6850000000000001</v>
      </c>
      <c r="P298" s="76" t="n">
        <v>0.6850000000000001</v>
      </c>
      <c r="Q298" s="76" t="n">
        <v>0.6850000000000001</v>
      </c>
      <c r="R298" s="76" t="n">
        <v>0.6850000000000001</v>
      </c>
      <c r="S298" s="76" t="n">
        <v>0.6850000000000001</v>
      </c>
      <c r="T298" s="76" t="n">
        <v>0.6850000000000001</v>
      </c>
      <c r="U298" s="76" t="n">
        <v>0.6850000000000001</v>
      </c>
      <c r="V298" s="76" t="n">
        <v>0.6850000000000001</v>
      </c>
      <c r="W298" s="76" t="n">
        <v>0.6850000000000001</v>
      </c>
      <c r="X298" s="76" t="n">
        <v>0.6850000000000001</v>
      </c>
      <c r="Y298" s="76" t="n">
        <v>0.6850000000000001</v>
      </c>
      <c r="Z298" s="76" t="n">
        <v>0.6850000000000001</v>
      </c>
      <c r="AA298" s="76" t="n">
        <v>0.6850000000000001</v>
      </c>
      <c r="AB298" s="76" t="n">
        <v>0.6850000000000001</v>
      </c>
      <c r="AC298" s="76" t="n">
        <v>0.6850000000000001</v>
      </c>
      <c r="AD298" s="76" t="n">
        <v>0.6850000000000001</v>
      </c>
      <c r="AE298" s="76" t="n">
        <v>0.6850000000000001</v>
      </c>
      <c r="AF298" s="76" t="n">
        <v>0.6850000000000001</v>
      </c>
      <c r="AG298" s="76" t="n">
        <v>0.6850000000000001</v>
      </c>
      <c r="AH298" s="76" t="n">
        <v>0.6850000000000001</v>
      </c>
      <c r="AI298" s="76" t="n">
        <v>0.6850000000000001</v>
      </c>
      <c r="AJ298" s="76" t="n">
        <v>0.6850000000000001</v>
      </c>
      <c r="AK298" s="76" t="n">
        <v>0.6850000000000001</v>
      </c>
      <c r="AL298" s="76" t="n">
        <v>0.6850000000000001</v>
      </c>
      <c r="AM298" s="76" t="n">
        <v>0.6850000000000001</v>
      </c>
      <c r="AN298" s="76" t="n">
        <v>0.6850000000000001</v>
      </c>
      <c r="AO298" s="76" t="n">
        <v>0.6850000000000001</v>
      </c>
      <c r="AP298" s="76" t="n">
        <v>0.6850000000000001</v>
      </c>
      <c r="AQ298" s="76" t="n">
        <v>0.6850000000000001</v>
      </c>
      <c r="AR298" s="76" t="n">
        <v>0.6820487804878045</v>
      </c>
    </row>
    <row r="299">
      <c r="A299" s="76" t="inlineStr">
        <is>
          <t>ME</t>
        </is>
      </c>
      <c r="B299" s="76" t="inlineStr">
        <is>
          <t>Nuclear</t>
        </is>
      </c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  <c r="AE299" s="76" t="n"/>
      <c r="AF299" s="76" t="n"/>
      <c r="AG299" s="76" t="n"/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</row>
    <row r="300">
      <c r="A300" s="76" t="inlineStr">
        <is>
          <t>ME</t>
        </is>
      </c>
      <c r="B300" s="76" t="inlineStr">
        <is>
          <t>Other</t>
        </is>
      </c>
      <c r="C300" s="76" t="n">
        <v>0.128</v>
      </c>
      <c r="D300" s="76" t="n">
        <v>0.116</v>
      </c>
      <c r="E300" s="76" t="n">
        <v>0.103</v>
      </c>
      <c r="F300" s="76" t="n">
        <v>0.163</v>
      </c>
      <c r="G300" s="76" t="n">
        <v>0.214</v>
      </c>
      <c r="H300" s="76" t="n">
        <v>0.203</v>
      </c>
      <c r="I300" s="76" t="n">
        <v>0.19</v>
      </c>
      <c r="J300" s="76" t="n">
        <v>0.229</v>
      </c>
      <c r="K300" s="76" t="n">
        <v>0.264</v>
      </c>
      <c r="L300" s="76" t="n">
        <v>0.228</v>
      </c>
      <c r="M300" s="76" t="n">
        <v>0.184</v>
      </c>
      <c r="N300" s="76" t="n">
        <v>0.164</v>
      </c>
      <c r="O300" s="76" t="n">
        <v>0.141</v>
      </c>
      <c r="P300" s="76" t="n">
        <v>0.142</v>
      </c>
      <c r="Q300" s="76" t="n">
        <v>0.143</v>
      </c>
      <c r="R300" s="76" t="n">
        <v>0.146</v>
      </c>
      <c r="S300" s="76" t="n">
        <v>0.148</v>
      </c>
      <c r="T300" s="76" t="n">
        <v>0.152</v>
      </c>
      <c r="U300" s="76" t="n">
        <v>0.156</v>
      </c>
      <c r="V300" s="76" t="n">
        <v>0.169</v>
      </c>
      <c r="W300" s="76" t="n">
        <v>0.182</v>
      </c>
      <c r="X300" s="76" t="n">
        <v>0.182</v>
      </c>
      <c r="Y300" s="76" t="n">
        <v>0.183</v>
      </c>
      <c r="Z300" s="76" t="n">
        <v>0.184</v>
      </c>
      <c r="AA300" s="76" t="n">
        <v>0.185</v>
      </c>
      <c r="AB300" s="76" t="n">
        <v>0.185</v>
      </c>
      <c r="AC300" s="76" t="n">
        <v>0.194</v>
      </c>
      <c r="AD300" s="76" t="n">
        <v>0.204</v>
      </c>
      <c r="AE300" s="76" t="n">
        <v>0.215</v>
      </c>
      <c r="AF300" s="76" t="n">
        <v>0.226</v>
      </c>
      <c r="AG300" s="76" t="n">
        <v>0.239</v>
      </c>
      <c r="AH300" s="76" t="n">
        <v>0.239</v>
      </c>
      <c r="AI300" s="76" t="n">
        <v>0.239</v>
      </c>
      <c r="AJ300" s="76" t="n">
        <v>0.239</v>
      </c>
      <c r="AK300" s="76" t="n">
        <v>0.239</v>
      </c>
      <c r="AL300" s="76" t="n">
        <v>0.239</v>
      </c>
      <c r="AM300" s="76" t="n">
        <v>0.239</v>
      </c>
      <c r="AN300" s="76" t="n">
        <v>0.239</v>
      </c>
      <c r="AO300" s="76" t="n">
        <v>0.239</v>
      </c>
      <c r="AP300" s="76" t="n">
        <v>0.239</v>
      </c>
      <c r="AQ300" s="76" t="n">
        <v>0.239</v>
      </c>
      <c r="AR300" s="76" t="n">
        <v>0.193951219512195</v>
      </c>
    </row>
    <row r="301">
      <c r="A301" s="76" t="inlineStr">
        <is>
          <t>ME</t>
        </is>
      </c>
      <c r="B301" s="76" t="inlineStr">
        <is>
          <t>Utility PV</t>
        </is>
      </c>
      <c r="C301" s="76" t="n"/>
      <c r="D301" s="76" t="n"/>
      <c r="E301" s="76" t="n"/>
      <c r="F301" s="76" t="n"/>
      <c r="G301" s="76" t="n"/>
      <c r="H301" s="76" t="n"/>
      <c r="I301" s="76" t="n"/>
      <c r="J301" s="76" t="n">
        <v>0.217</v>
      </c>
      <c r="K301" s="76" t="n">
        <v>0.217</v>
      </c>
      <c r="L301" s="76" t="n">
        <v>0.216</v>
      </c>
      <c r="M301" s="76" t="n">
        <v>0.215</v>
      </c>
      <c r="N301" s="76" t="n">
        <v>0.214</v>
      </c>
      <c r="O301" s="76" t="n">
        <v>0.213</v>
      </c>
      <c r="P301" s="76" t="n">
        <v>0.212</v>
      </c>
      <c r="Q301" s="76" t="n">
        <v>0.211</v>
      </c>
      <c r="R301" s="76" t="n">
        <v>0.21</v>
      </c>
      <c r="S301" s="76" t="n">
        <v>0.209</v>
      </c>
      <c r="T301" s="76" t="n">
        <v>0.208</v>
      </c>
      <c r="U301" s="76" t="n">
        <v>0.207</v>
      </c>
      <c r="V301" s="76" t="n">
        <v>0.206</v>
      </c>
      <c r="W301" s="76" t="n">
        <v>0.205</v>
      </c>
      <c r="X301" s="76" t="n">
        <v>0.217</v>
      </c>
      <c r="Y301" s="76" t="n">
        <v>0.217</v>
      </c>
      <c r="Z301" s="76" t="n">
        <v>0.216</v>
      </c>
      <c r="AA301" s="76" t="n">
        <v>0.215</v>
      </c>
      <c r="AB301" s="76" t="n">
        <v>0.214</v>
      </c>
      <c r="AC301" s="76" t="n">
        <v>0.213</v>
      </c>
      <c r="AD301" s="76" t="n">
        <v>0.212</v>
      </c>
      <c r="AE301" s="76" t="n">
        <v>0.211</v>
      </c>
      <c r="AF301" s="76" t="n">
        <v>0.21</v>
      </c>
      <c r="AG301" s="76" t="n">
        <v>0.209</v>
      </c>
      <c r="AH301" s="76" t="n">
        <v>0.208</v>
      </c>
      <c r="AI301" s="76" t="n">
        <v>0.207</v>
      </c>
      <c r="AJ301" s="76" t="n">
        <v>0.206</v>
      </c>
      <c r="AK301" s="76" t="n">
        <v>0.205</v>
      </c>
      <c r="AL301" s="76" t="n">
        <v>0.204</v>
      </c>
      <c r="AM301" s="76" t="n">
        <v>0.203</v>
      </c>
      <c r="AN301" s="76" t="n">
        <v>0.202</v>
      </c>
      <c r="AO301" s="76" t="n">
        <v>0.201</v>
      </c>
      <c r="AP301" s="76" t="n">
        <v>0.2</v>
      </c>
      <c r="AQ301" s="76" t="n">
        <v>0.199</v>
      </c>
      <c r="AR301" s="76" t="n">
        <v>0.2096764705882353</v>
      </c>
    </row>
    <row r="302">
      <c r="A302" s="76" t="inlineStr">
        <is>
          <t>ME</t>
        </is>
      </c>
      <c r="B302" s="76" t="inlineStr">
        <is>
          <t>Wind offshore</t>
        </is>
      </c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  <c r="AA302" s="76" t="n"/>
      <c r="AB302" s="76" t="n"/>
      <c r="AC302" s="76" t="n"/>
      <c r="AD302" s="76" t="n"/>
      <c r="AE302" s="76" t="n"/>
      <c r="AF302" s="76" t="n"/>
      <c r="AG302" s="76" t="n"/>
      <c r="AH302" s="76" t="n"/>
      <c r="AI302" s="76" t="n"/>
      <c r="AJ302" s="76" t="n"/>
      <c r="AK302" s="76" t="n"/>
      <c r="AL302" s="76" t="n"/>
      <c r="AM302" s="76" t="n">
        <v>0.363</v>
      </c>
      <c r="AN302" s="76" t="n">
        <v>0.363</v>
      </c>
      <c r="AO302" s="76" t="n">
        <v>0.363</v>
      </c>
      <c r="AP302" s="76" t="n">
        <v>0.363</v>
      </c>
      <c r="AQ302" s="76" t="n">
        <v>0.363</v>
      </c>
      <c r="AR302" s="76" t="n">
        <v>0.363</v>
      </c>
    </row>
    <row r="303">
      <c r="A303" s="76" t="inlineStr">
        <is>
          <t>ME</t>
        </is>
      </c>
      <c r="B303" s="76" t="inlineStr">
        <is>
          <t>Wind onshore</t>
        </is>
      </c>
      <c r="C303" s="76" t="n">
        <v>0.337</v>
      </c>
      <c r="D303" s="76" t="n">
        <v>0.351</v>
      </c>
      <c r="E303" s="76" t="n">
        <v>0.36</v>
      </c>
      <c r="F303" s="76" t="n">
        <v>0.36</v>
      </c>
      <c r="G303" s="76" t="n">
        <v>0.361</v>
      </c>
      <c r="H303" s="76" t="n">
        <v>0.373</v>
      </c>
      <c r="I303" s="76" t="n">
        <v>0.379</v>
      </c>
      <c r="J303" s="76" t="n">
        <v>0.379</v>
      </c>
      <c r="K303" s="76" t="n">
        <v>0.379</v>
      </c>
      <c r="L303" s="76" t="n">
        <v>0.393</v>
      </c>
      <c r="M303" s="76" t="n">
        <v>0.404</v>
      </c>
      <c r="N303" s="76" t="n">
        <v>0.409</v>
      </c>
      <c r="O303" s="76" t="n">
        <v>0.413</v>
      </c>
      <c r="P303" s="76" t="n">
        <v>0.413</v>
      </c>
      <c r="Q303" s="76" t="n">
        <v>0.413</v>
      </c>
      <c r="R303" s="76" t="n">
        <v>0.413</v>
      </c>
      <c r="S303" s="76" t="n">
        <v>0.413</v>
      </c>
      <c r="T303" s="76" t="n">
        <v>0.418</v>
      </c>
      <c r="U303" s="76" t="n">
        <v>0.421</v>
      </c>
      <c r="V303" s="76" t="n">
        <v>0.421</v>
      </c>
      <c r="W303" s="76" t="n">
        <v>0.42</v>
      </c>
      <c r="X303" s="76" t="n">
        <v>0.414</v>
      </c>
      <c r="Y303" s="76" t="n">
        <v>0.407</v>
      </c>
      <c r="Z303" s="76" t="n">
        <v>0.406</v>
      </c>
      <c r="AA303" s="76" t="n">
        <v>0.405</v>
      </c>
      <c r="AB303" s="76" t="n">
        <v>0.404</v>
      </c>
      <c r="AC303" s="76" t="n">
        <v>0.405</v>
      </c>
      <c r="AD303" s="76" t="n">
        <v>0.406</v>
      </c>
      <c r="AE303" s="76" t="n">
        <v>0.407</v>
      </c>
      <c r="AF303" s="76" t="n">
        <v>0.408</v>
      </c>
      <c r="AG303" s="76" t="n">
        <v>0.409</v>
      </c>
      <c r="AH303" s="76" t="n">
        <v>0.412</v>
      </c>
      <c r="AI303" s="76" t="n">
        <v>0.416</v>
      </c>
      <c r="AJ303" s="76" t="n">
        <v>0.419</v>
      </c>
      <c r="AK303" s="76" t="n">
        <v>0.423</v>
      </c>
      <c r="AL303" s="76" t="n">
        <v>0.427</v>
      </c>
      <c r="AM303" s="76" t="n">
        <v>0.433</v>
      </c>
      <c r="AN303" s="76" t="n">
        <v>0.44</v>
      </c>
      <c r="AO303" s="76" t="n">
        <v>0.448</v>
      </c>
      <c r="AP303" s="76" t="n">
        <v>0.458</v>
      </c>
      <c r="AQ303" s="76" t="n">
        <v>0.47</v>
      </c>
      <c r="AR303" s="76" t="n">
        <v>0.4060243902439025</v>
      </c>
    </row>
    <row r="304">
      <c r="A304" s="76" t="inlineStr">
        <is>
          <t>MI</t>
        </is>
      </c>
      <c r="B304" s="76" t="inlineStr">
        <is>
          <t>MI</t>
        </is>
      </c>
      <c r="C304" s="76" t="n">
        <v>0.3269411764705883</v>
      </c>
      <c r="D304" s="76" t="n">
        <v>0.3600555555555555</v>
      </c>
      <c r="E304" s="76" t="n">
        <v>0.3863333333333333</v>
      </c>
      <c r="F304" s="76" t="n">
        <v>0.3398095238095238</v>
      </c>
      <c r="G304" s="76" t="n">
        <v>0.34315</v>
      </c>
      <c r="H304" s="76" t="n">
        <v>0.3586818181818182</v>
      </c>
      <c r="I304" s="76" t="n">
        <v>0.3832272727272727</v>
      </c>
      <c r="J304" s="76" t="n">
        <v>0.3529583333333333</v>
      </c>
      <c r="K304" s="76" t="n">
        <v>0.3505833333333334</v>
      </c>
      <c r="L304" s="76" t="n">
        <v>0.35916</v>
      </c>
      <c r="M304" s="76" t="n">
        <v>0.3726400000000001</v>
      </c>
      <c r="N304" s="76" t="n">
        <v>0.3639999999999999</v>
      </c>
      <c r="O304" s="76" t="n">
        <v>0.35508</v>
      </c>
      <c r="P304" s="76" t="n">
        <v>0.355</v>
      </c>
      <c r="Q304" s="76" t="n">
        <v>0.35504</v>
      </c>
      <c r="R304" s="76" t="n">
        <v>0.3285769230769231</v>
      </c>
      <c r="S304" s="76" t="n">
        <v>0.3129230769230769</v>
      </c>
      <c r="T304" s="76" t="n">
        <v>0.3053461538461539</v>
      </c>
      <c r="U304" s="76" t="n">
        <v>0.2999230769230769</v>
      </c>
      <c r="V304" s="76" t="n">
        <v>0.2814814814814814</v>
      </c>
      <c r="W304" s="76" t="n">
        <v>0.2845769230769231</v>
      </c>
      <c r="X304" s="76" t="n">
        <v>0.2788846153846154</v>
      </c>
      <c r="Y304" s="76" t="n">
        <v>0.285</v>
      </c>
      <c r="Z304" s="76" t="n">
        <v>0.28476</v>
      </c>
      <c r="AA304" s="76" t="n">
        <v>0.28448</v>
      </c>
      <c r="AB304" s="76" t="n">
        <v>0.2794583333333333</v>
      </c>
      <c r="AC304" s="76" t="n">
        <v>0.2779166666666666</v>
      </c>
      <c r="AD304" s="76" t="n">
        <v>0.2764583333333334</v>
      </c>
      <c r="AE304" s="76" t="n">
        <v>0.2750416666666667</v>
      </c>
      <c r="AF304" s="76" t="n">
        <v>0.2736250000000001</v>
      </c>
      <c r="AG304" s="76" t="n">
        <v>0.272375</v>
      </c>
      <c r="AH304" s="76" t="n">
        <v>0.2731666666666667</v>
      </c>
      <c r="AI304" s="76" t="n">
        <v>0.2744583333333333</v>
      </c>
      <c r="AJ304" s="76" t="n">
        <v>0.2760416666666667</v>
      </c>
      <c r="AK304" s="76" t="n">
        <v>0.2782916666666667</v>
      </c>
      <c r="AL304" s="76" t="n">
        <v>0.2815416666666666</v>
      </c>
      <c r="AM304" s="76" t="n">
        <v>0.28792</v>
      </c>
      <c r="AN304" s="76" t="n">
        <v>0.28796</v>
      </c>
      <c r="AO304" s="76" t="n">
        <v>0.288</v>
      </c>
      <c r="AP304" s="76" t="n">
        <v>0.28816</v>
      </c>
      <c r="AQ304" s="76" t="n">
        <v>0.2629583333333333</v>
      </c>
      <c r="AR304" s="76" t="n">
        <v>0.3098543788187372</v>
      </c>
    </row>
    <row r="305">
      <c r="A305" s="76" t="inlineStr">
        <is>
          <t>MI</t>
        </is>
      </c>
      <c r="B305" s="76" t="inlineStr">
        <is>
          <t>Battery</t>
        </is>
      </c>
      <c r="C305" s="76" t="n"/>
      <c r="D305" s="76" t="n"/>
      <c r="E305" s="76" t="n"/>
      <c r="F305" s="76" t="n"/>
      <c r="G305" s="76" t="n"/>
      <c r="H305" s="76" t="n"/>
      <c r="I305" s="76" t="n"/>
      <c r="J305" s="76" t="n">
        <v>0</v>
      </c>
      <c r="K305" s="76" t="n">
        <v>0</v>
      </c>
      <c r="L305" s="76" t="n">
        <v>0</v>
      </c>
      <c r="M305" s="76" t="n">
        <v>0</v>
      </c>
      <c r="N305" s="76" t="n">
        <v>0</v>
      </c>
      <c r="O305" s="76" t="n">
        <v>0</v>
      </c>
      <c r="P305" s="76" t="n">
        <v>0</v>
      </c>
      <c r="Q305" s="76" t="n">
        <v>0</v>
      </c>
      <c r="R305" s="76" t="n">
        <v>-0.0365</v>
      </c>
      <c r="S305" s="76" t="n">
        <v>-0.0365</v>
      </c>
      <c r="T305" s="76" t="n">
        <v>-0.068</v>
      </c>
      <c r="U305" s="76" t="n">
        <v>-0.06950000000000001</v>
      </c>
      <c r="V305" s="76" t="n">
        <v>-0.05866666666666667</v>
      </c>
      <c r="W305" s="76" t="n">
        <v>-0.05866666666666667</v>
      </c>
      <c r="X305" s="76" t="n">
        <v>-0.068</v>
      </c>
      <c r="Y305" s="76" t="n">
        <v>-0.06900000000000001</v>
      </c>
      <c r="Z305" s="76" t="n">
        <v>-0.06833333333333334</v>
      </c>
      <c r="AA305" s="76" t="n">
        <v>-0.068</v>
      </c>
      <c r="AB305" s="76" t="n">
        <v>-0.068</v>
      </c>
      <c r="AC305" s="76" t="n">
        <v>-0.06966666666666667</v>
      </c>
      <c r="AD305" s="76" t="n">
        <v>-0.07166666666666666</v>
      </c>
      <c r="AE305" s="76" t="n">
        <v>-0.07266666666666666</v>
      </c>
      <c r="AF305" s="76" t="n">
        <v>-0.07366666666666666</v>
      </c>
      <c r="AG305" s="76" t="n">
        <v>-0.07433333333333332</v>
      </c>
      <c r="AH305" s="76" t="n">
        <v>-0.074</v>
      </c>
      <c r="AI305" s="76" t="n">
        <v>-0.07366666666666666</v>
      </c>
      <c r="AJ305" s="76" t="n">
        <v>-0.07300000000000001</v>
      </c>
      <c r="AK305" s="76" t="n">
        <v>-0.07300000000000001</v>
      </c>
      <c r="AL305" s="76" t="n">
        <v>-0.07233333333333335</v>
      </c>
      <c r="AM305" s="76" t="n">
        <v>-0.06900000000000001</v>
      </c>
      <c r="AN305" s="76" t="n">
        <v>-0.06666666666666667</v>
      </c>
      <c r="AO305" s="76" t="n">
        <v>-0.06466666666666666</v>
      </c>
      <c r="AP305" s="76" t="n">
        <v>-0.06233333333333333</v>
      </c>
      <c r="AQ305" s="76" t="n">
        <v>-0.06066666666666667</v>
      </c>
      <c r="AR305" s="76" t="n">
        <v>-0.06037804878048781</v>
      </c>
    </row>
    <row r="306">
      <c r="A306" s="76" t="inlineStr">
        <is>
          <t>MI</t>
        </is>
      </c>
      <c r="B306" s="76" t="inlineStr">
        <is>
          <t>Biopower</t>
        </is>
      </c>
      <c r="C306" s="76" t="n">
        <v>0.3585</v>
      </c>
      <c r="D306" s="76" t="n">
        <v>0.3665</v>
      </c>
      <c r="E306" s="76" t="n">
        <v>0.3735</v>
      </c>
      <c r="F306" s="76" t="n">
        <v>0.3745</v>
      </c>
      <c r="G306" s="76" t="n">
        <v>0.375</v>
      </c>
      <c r="H306" s="76" t="n">
        <v>0.375</v>
      </c>
      <c r="I306" s="76" t="n">
        <v>0.375</v>
      </c>
      <c r="J306" s="76" t="n">
        <v>0.375</v>
      </c>
      <c r="K306" s="76" t="n">
        <v>0.3745</v>
      </c>
      <c r="L306" s="76" t="n">
        <v>0.373</v>
      </c>
      <c r="M306" s="76" t="n">
        <v>0.3715</v>
      </c>
      <c r="N306" s="76" t="n">
        <v>0.3715</v>
      </c>
      <c r="O306" s="76" t="n">
        <v>0.3715</v>
      </c>
      <c r="P306" s="76" t="n">
        <v>0.3715</v>
      </c>
      <c r="Q306" s="76" t="n">
        <v>0.3715</v>
      </c>
      <c r="R306" s="76" t="n">
        <v>0.3715</v>
      </c>
      <c r="S306" s="76" t="n">
        <v>0.3715</v>
      </c>
      <c r="T306" s="76" t="n">
        <v>0.3715</v>
      </c>
      <c r="U306" s="76" t="n">
        <v>0.3715</v>
      </c>
      <c r="V306" s="76" t="n">
        <v>0.3715</v>
      </c>
      <c r="W306" s="76" t="n">
        <v>0.3715</v>
      </c>
      <c r="X306" s="76" t="n">
        <v>0.3715</v>
      </c>
      <c r="Y306" s="76" t="n">
        <v>0.3715</v>
      </c>
      <c r="Z306" s="76" t="n">
        <v>0.383</v>
      </c>
      <c r="AA306" s="76" t="n">
        <v>0.3945</v>
      </c>
      <c r="AB306" s="76" t="n">
        <v>0.406</v>
      </c>
      <c r="AC306" s="76" t="n">
        <v>0.406</v>
      </c>
      <c r="AD306" s="76" t="n">
        <v>0.406</v>
      </c>
      <c r="AE306" s="76" t="n">
        <v>0.4065</v>
      </c>
      <c r="AF306" s="76" t="n">
        <v>0.4065</v>
      </c>
      <c r="AG306" s="76" t="n">
        <v>0.407</v>
      </c>
      <c r="AH306" s="76" t="n">
        <v>0.4165</v>
      </c>
      <c r="AI306" s="76" t="n">
        <v>0.4285</v>
      </c>
      <c r="AJ306" s="76" t="n">
        <v>0.4455</v>
      </c>
      <c r="AK306" s="76" t="n">
        <v>0.4695</v>
      </c>
      <c r="AL306" s="76" t="n">
        <v>0.507</v>
      </c>
      <c r="AM306" s="76" t="n">
        <v>0.4965</v>
      </c>
      <c r="AN306" s="76" t="n">
        <v>0.4845</v>
      </c>
      <c r="AO306" s="76" t="n">
        <v>0.4715</v>
      </c>
      <c r="AP306" s="76" t="n">
        <v>0.4575</v>
      </c>
      <c r="AQ306" s="76" t="n">
        <v>0.4425</v>
      </c>
      <c r="AR306" s="76" t="n">
        <v>0.3996341463414632</v>
      </c>
    </row>
    <row r="307">
      <c r="A307" s="76" t="inlineStr">
        <is>
          <t>MI</t>
        </is>
      </c>
      <c r="B307" s="76" t="inlineStr">
        <is>
          <t>Coal</t>
        </is>
      </c>
      <c r="C307" s="76" t="n">
        <v>0.413</v>
      </c>
      <c r="D307" s="76" t="n">
        <v>0.355</v>
      </c>
      <c r="E307" s="76" t="n">
        <v>0.2975</v>
      </c>
      <c r="F307" s="76" t="n">
        <v>0.3655</v>
      </c>
      <c r="G307" s="76" t="n">
        <v>0.44</v>
      </c>
      <c r="H307" s="76" t="n">
        <v>0.4245</v>
      </c>
      <c r="I307" s="76" t="n">
        <v>0.407</v>
      </c>
      <c r="J307" s="76" t="n">
        <v>0.4195</v>
      </c>
      <c r="K307" s="76" t="n">
        <v>0.4320000000000001</v>
      </c>
      <c r="L307" s="76" t="n">
        <v>0.429</v>
      </c>
      <c r="M307" s="76" t="n">
        <v>0.5525</v>
      </c>
      <c r="N307" s="76" t="n">
        <v>0.5085</v>
      </c>
      <c r="O307" s="76" t="n">
        <v>0.474</v>
      </c>
      <c r="P307" s="76" t="n">
        <v>0.4945000000000001</v>
      </c>
      <c r="Q307" s="76" t="n">
        <v>0.515</v>
      </c>
      <c r="R307" s="76" t="n">
        <v>0.5014999999999999</v>
      </c>
      <c r="S307" s="76" t="n">
        <v>0.4165</v>
      </c>
      <c r="T307" s="76" t="n">
        <v>0.4015</v>
      </c>
      <c r="U307" s="76" t="n">
        <v>0.3835</v>
      </c>
      <c r="V307" s="76" t="n">
        <v>0.341</v>
      </c>
      <c r="W307" s="76" t="n">
        <v>0.2855</v>
      </c>
      <c r="X307" s="76" t="n">
        <v>0.244</v>
      </c>
      <c r="Y307" s="76" t="n">
        <v>0.403</v>
      </c>
      <c r="Z307" s="76" t="n">
        <v>0.403</v>
      </c>
      <c r="AA307" s="76" t="n">
        <v>0.403</v>
      </c>
      <c r="AB307" s="76" t="n"/>
      <c r="AC307" s="76" t="n"/>
      <c r="AD307" s="76" t="n"/>
      <c r="AE307" s="76" t="n"/>
      <c r="AF307" s="76" t="n"/>
      <c r="AG307" s="76" t="n"/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>
        <v>0.413</v>
      </c>
    </row>
    <row r="308">
      <c r="A308" s="76" t="inlineStr">
        <is>
          <t>MI</t>
        </is>
      </c>
      <c r="B308" s="76" t="inlineStr">
        <is>
          <t>CSP</t>
        </is>
      </c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  <c r="AA308" s="76" t="n"/>
      <c r="AB308" s="76" t="n"/>
      <c r="AC308" s="76" t="n"/>
      <c r="AD308" s="76" t="n"/>
      <c r="AE308" s="76" t="n"/>
      <c r="AF308" s="76" t="n"/>
      <c r="AG308" s="76" t="n"/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</row>
    <row r="309">
      <c r="A309" s="76" t="inlineStr">
        <is>
          <t>MI</t>
        </is>
      </c>
      <c r="B309" s="76" t="inlineStr">
        <is>
          <t>Dist PV</t>
        </is>
      </c>
      <c r="C309" s="76" t="n"/>
      <c r="D309" s="76" t="n"/>
      <c r="E309" s="76" t="n"/>
      <c r="F309" s="76" t="n">
        <v>0.1516666666666666</v>
      </c>
      <c r="G309" s="76" t="n">
        <v>0.1516666666666666</v>
      </c>
      <c r="H309" s="76" t="n">
        <v>0.1516666666666666</v>
      </c>
      <c r="I309" s="76" t="n">
        <v>0.1516666666666666</v>
      </c>
      <c r="J309" s="76" t="n">
        <v>0.1516666666666666</v>
      </c>
      <c r="K309" s="76" t="n">
        <v>0.1516666666666666</v>
      </c>
      <c r="L309" s="76" t="n">
        <v>0.1516666666666666</v>
      </c>
      <c r="M309" s="76" t="n">
        <v>0.1516666666666666</v>
      </c>
      <c r="N309" s="76" t="n">
        <v>0.1516666666666666</v>
      </c>
      <c r="O309" s="76" t="n">
        <v>0.1516666666666666</v>
      </c>
      <c r="P309" s="76" t="n">
        <v>0.1516666666666666</v>
      </c>
      <c r="Q309" s="76" t="n">
        <v>0.1516666666666666</v>
      </c>
      <c r="R309" s="76" t="n">
        <v>0.1516666666666666</v>
      </c>
      <c r="S309" s="76" t="n">
        <v>0.1516666666666666</v>
      </c>
      <c r="T309" s="76" t="n">
        <v>0.1516666666666666</v>
      </c>
      <c r="U309" s="76" t="n">
        <v>0.1516666666666666</v>
      </c>
      <c r="V309" s="76" t="n">
        <v>0.1516666666666666</v>
      </c>
      <c r="W309" s="76" t="n">
        <v>0.1516666666666666</v>
      </c>
      <c r="X309" s="76" t="n">
        <v>0.1516666666666666</v>
      </c>
      <c r="Y309" s="76" t="n">
        <v>0.1516666666666666</v>
      </c>
      <c r="Z309" s="76" t="n">
        <v>0.1516666666666666</v>
      </c>
      <c r="AA309" s="76" t="n">
        <v>0.1516666666666666</v>
      </c>
      <c r="AB309" s="76" t="n">
        <v>0.1516666666666666</v>
      </c>
      <c r="AC309" s="76" t="n">
        <v>0.1516666666666666</v>
      </c>
      <c r="AD309" s="76" t="n">
        <v>0.1516666666666666</v>
      </c>
      <c r="AE309" s="76" t="n">
        <v>0.1516666666666666</v>
      </c>
      <c r="AF309" s="76" t="n">
        <v>0.1516666666666666</v>
      </c>
      <c r="AG309" s="76" t="n">
        <v>0.1516666666666666</v>
      </c>
      <c r="AH309" s="76" t="n">
        <v>0.1516666666666666</v>
      </c>
      <c r="AI309" s="76" t="n">
        <v>0.1516666666666666</v>
      </c>
      <c r="AJ309" s="76" t="n">
        <v>0.1516666666666666</v>
      </c>
      <c r="AK309" s="76" t="n">
        <v>0.1516666666666666</v>
      </c>
      <c r="AL309" s="76" t="n">
        <v>0.1516666666666666</v>
      </c>
      <c r="AM309" s="76" t="n">
        <v>0.1516666666666666</v>
      </c>
      <c r="AN309" s="76" t="n">
        <v>0.1516666666666666</v>
      </c>
      <c r="AO309" s="76" t="n">
        <v>0.1516666666666666</v>
      </c>
      <c r="AP309" s="76" t="n">
        <v>0.1516666666666666</v>
      </c>
      <c r="AQ309" s="76" t="n">
        <v>0.1516666666666666</v>
      </c>
      <c r="AR309" s="76" t="n">
        <v>0.1516666666666664</v>
      </c>
    </row>
    <row r="310">
      <c r="A310" s="76" t="inlineStr">
        <is>
          <t>MI</t>
        </is>
      </c>
      <c r="B310" s="76" t="inlineStr">
        <is>
          <t>Gas CCGT</t>
        </is>
      </c>
      <c r="C310" s="76" t="n">
        <v>0.0405</v>
      </c>
      <c r="D310" s="76" t="n">
        <v>0.3005</v>
      </c>
      <c r="E310" s="76" t="n">
        <v>0.5605</v>
      </c>
      <c r="F310" s="76" t="n">
        <v>0.3315</v>
      </c>
      <c r="G310" s="76" t="n">
        <v>0.104</v>
      </c>
      <c r="H310" s="76" t="n">
        <v>0.369</v>
      </c>
      <c r="I310" s="76" t="n">
        <v>0.6335</v>
      </c>
      <c r="J310" s="76" t="n">
        <v>0.6175</v>
      </c>
      <c r="K310" s="76" t="n">
        <v>0.603</v>
      </c>
      <c r="L310" s="76" t="n">
        <v>0.6395</v>
      </c>
      <c r="M310" s="76" t="n">
        <v>0.674</v>
      </c>
      <c r="N310" s="76" t="n">
        <v>0.653</v>
      </c>
      <c r="O310" s="76" t="n">
        <v>0.632</v>
      </c>
      <c r="P310" s="76" t="n">
        <v>0.6065</v>
      </c>
      <c r="Q310" s="76" t="n">
        <v>0.5815</v>
      </c>
      <c r="R310" s="76" t="n">
        <v>0.507</v>
      </c>
      <c r="S310" s="76" t="n">
        <v>0.432</v>
      </c>
      <c r="T310" s="76" t="n">
        <v>0.3725</v>
      </c>
      <c r="U310" s="76" t="n">
        <v>0.3125</v>
      </c>
      <c r="V310" s="76" t="n">
        <v>0.2795</v>
      </c>
      <c r="W310" s="76" t="n">
        <v>0.246</v>
      </c>
      <c r="X310" s="76" t="n">
        <v>0.228</v>
      </c>
      <c r="Y310" s="76" t="n">
        <v>0.21</v>
      </c>
      <c r="Z310" s="76" t="n">
        <v>0.2025</v>
      </c>
      <c r="AA310" s="76" t="n">
        <v>0.1945</v>
      </c>
      <c r="AB310" s="76" t="n">
        <v>0.1875</v>
      </c>
      <c r="AC310" s="76" t="n">
        <v>0.1795</v>
      </c>
      <c r="AD310" s="76" t="n">
        <v>0.172</v>
      </c>
      <c r="AE310" s="76" t="n">
        <v>0.164</v>
      </c>
      <c r="AF310" s="76" t="n">
        <v>0.1565</v>
      </c>
      <c r="AG310" s="76" t="n">
        <v>0.1485</v>
      </c>
      <c r="AH310" s="76" t="n">
        <v>0.1475</v>
      </c>
      <c r="AI310" s="76" t="n">
        <v>0.147</v>
      </c>
      <c r="AJ310" s="76" t="n">
        <v>0.1465</v>
      </c>
      <c r="AK310" s="76" t="n">
        <v>0.146</v>
      </c>
      <c r="AL310" s="76" t="n">
        <v>0.1445</v>
      </c>
      <c r="AM310" s="76" t="n">
        <v>0.146</v>
      </c>
      <c r="AN310" s="76" t="n">
        <v>0.1475</v>
      </c>
      <c r="AO310" s="76" t="n">
        <v>0.151</v>
      </c>
      <c r="AP310" s="76" t="n">
        <v>0.156</v>
      </c>
      <c r="AQ310" s="76" t="n">
        <v>0.164</v>
      </c>
      <c r="AR310" s="76" t="n">
        <v>0.3130487804878048</v>
      </c>
    </row>
    <row r="311">
      <c r="A311" s="76" t="inlineStr">
        <is>
          <t>MI</t>
        </is>
      </c>
      <c r="B311" s="76" t="inlineStr">
        <is>
          <t>Gas CT</t>
        </is>
      </c>
      <c r="C311" s="76" t="n">
        <v>0.002333333333333334</v>
      </c>
      <c r="D311" s="76" t="n">
        <v>0.014</v>
      </c>
      <c r="E311" s="76" t="n">
        <v>0.02633333333333333</v>
      </c>
      <c r="F311" s="76" t="n">
        <v>0.016</v>
      </c>
      <c r="G311" s="76" t="n">
        <v>0.002</v>
      </c>
      <c r="H311" s="76" t="n">
        <v>0.019</v>
      </c>
      <c r="I311" s="76" t="n">
        <v>0.026</v>
      </c>
      <c r="J311" s="76" t="n">
        <v>0.04800000000000001</v>
      </c>
      <c r="K311" s="76" t="n">
        <v>0.04766666666666667</v>
      </c>
      <c r="L311" s="76" t="n">
        <v>0.04700000000000001</v>
      </c>
      <c r="M311" s="76" t="n">
        <v>0.04666666666666667</v>
      </c>
      <c r="N311" s="76" t="n">
        <v>0.03466666666666667</v>
      </c>
      <c r="O311" s="76" t="n">
        <v>0.02233333333333333</v>
      </c>
      <c r="P311" s="76" t="n">
        <v>0.025</v>
      </c>
      <c r="Q311" s="76" t="n">
        <v>0.028</v>
      </c>
      <c r="R311" s="76" t="n">
        <v>0.02133333333333333</v>
      </c>
      <c r="S311" s="76" t="n">
        <v>0.01433333333333334</v>
      </c>
      <c r="T311" s="76" t="n">
        <v>0.01166666666666667</v>
      </c>
      <c r="U311" s="76" t="n">
        <v>0.008666666666666668</v>
      </c>
      <c r="V311" s="76" t="n">
        <v>0.008</v>
      </c>
      <c r="W311" s="76" t="n">
        <v>0.007666666666666666</v>
      </c>
      <c r="X311" s="76" t="n">
        <v>0.005666666666666667</v>
      </c>
      <c r="Y311" s="76" t="n">
        <v>0.003666666666666667</v>
      </c>
      <c r="Z311" s="76" t="n">
        <v>0.003</v>
      </c>
      <c r="AA311" s="76" t="n">
        <v>0.002</v>
      </c>
      <c r="AB311" s="76" t="n">
        <v>0.001333333333333333</v>
      </c>
      <c r="AC311" s="76" t="n">
        <v>0.001333333333333333</v>
      </c>
      <c r="AD311" s="76" t="n">
        <v>0.001333333333333333</v>
      </c>
      <c r="AE311" s="76" t="n">
        <v>0.001333333333333333</v>
      </c>
      <c r="AF311" s="76" t="n">
        <v>0.001333333333333333</v>
      </c>
      <c r="AG311" s="76" t="n">
        <v>0.001666666666666667</v>
      </c>
      <c r="AH311" s="76" t="n">
        <v>0.001666666666666667</v>
      </c>
      <c r="AI311" s="76" t="n">
        <v>0.002</v>
      </c>
      <c r="AJ311" s="76" t="n">
        <v>0.002</v>
      </c>
      <c r="AK311" s="76" t="n">
        <v>0.002333333333333334</v>
      </c>
      <c r="AL311" s="76" t="n">
        <v>0.002666666666666667</v>
      </c>
      <c r="AM311" s="76" t="n">
        <v>0.002</v>
      </c>
      <c r="AN311" s="76" t="n">
        <v>0.001666666666666667</v>
      </c>
      <c r="AO311" s="76" t="n">
        <v>0.001333333333333333</v>
      </c>
      <c r="AP311" s="76" t="n">
        <v>0.0006666666666666666</v>
      </c>
      <c r="AQ311" s="76" t="n">
        <v>0</v>
      </c>
      <c r="AR311" s="76" t="n">
        <v>0.01249999999999997</v>
      </c>
    </row>
    <row r="312">
      <c r="A312" s="76" t="inlineStr">
        <is>
          <t>MI</t>
        </is>
      </c>
      <c r="B312" s="76" t="inlineStr">
        <is>
          <t>Geothermal</t>
        </is>
      </c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76" t="n"/>
      <c r="AC312" s="76" t="n"/>
      <c r="AD312" s="76" t="n"/>
      <c r="AE312" s="76" t="n"/>
      <c r="AF312" s="76" t="n"/>
      <c r="AG312" s="76" t="n"/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</row>
    <row r="313">
      <c r="A313" s="76" t="inlineStr">
        <is>
          <t>MI</t>
        </is>
      </c>
      <c r="B313" s="76" t="inlineStr">
        <is>
          <t>Hydro</t>
        </is>
      </c>
      <c r="C313" s="76" t="n">
        <v>0.5543333333333333</v>
      </c>
      <c r="D313" s="76" t="n">
        <v>0.5443333333333333</v>
      </c>
      <c r="E313" s="76" t="n">
        <v>0.5336666666666666</v>
      </c>
      <c r="F313" s="76" t="n">
        <v>0.5593333333333333</v>
      </c>
      <c r="G313" s="76" t="n">
        <v>0.5843333333333334</v>
      </c>
      <c r="H313" s="76" t="n">
        <v>0.5710000000000001</v>
      </c>
      <c r="I313" s="76" t="n">
        <v>0.5573333333333333</v>
      </c>
      <c r="J313" s="76" t="n">
        <v>0.5563333333333333</v>
      </c>
      <c r="K313" s="76" t="n">
        <v>0.5556666666666666</v>
      </c>
      <c r="L313" s="76" t="n">
        <v>0.5566666666666666</v>
      </c>
      <c r="M313" s="76" t="n">
        <v>0.5579999999999999</v>
      </c>
      <c r="N313" s="76" t="n">
        <v>0.5576666666666666</v>
      </c>
      <c r="O313" s="76" t="n">
        <v>0.5570000000000001</v>
      </c>
      <c r="P313" s="76" t="n">
        <v>0.5576666666666666</v>
      </c>
      <c r="Q313" s="76" t="n">
        <v>0.5586666666666668</v>
      </c>
      <c r="R313" s="76" t="n">
        <v>0.556</v>
      </c>
      <c r="S313" s="76" t="n">
        <v>0.5533333333333333</v>
      </c>
      <c r="T313" s="76" t="n">
        <v>0.5483333333333333</v>
      </c>
      <c r="U313" s="76" t="n">
        <v>0.543</v>
      </c>
      <c r="V313" s="76" t="n">
        <v>0.5393333333333333</v>
      </c>
      <c r="W313" s="76" t="n">
        <v>0.5353333333333333</v>
      </c>
      <c r="X313" s="76" t="n">
        <v>0.5363333333333333</v>
      </c>
      <c r="Y313" s="76" t="n">
        <v>0.537</v>
      </c>
      <c r="Z313" s="76" t="n">
        <v>0.54</v>
      </c>
      <c r="AA313" s="76" t="n">
        <v>0.543</v>
      </c>
      <c r="AB313" s="76" t="n">
        <v>0.5459999999999999</v>
      </c>
      <c r="AC313" s="76" t="n">
        <v>0.544</v>
      </c>
      <c r="AD313" s="76" t="n">
        <v>0.5423333333333333</v>
      </c>
      <c r="AE313" s="76" t="n">
        <v>0.5403333333333333</v>
      </c>
      <c r="AF313" s="76" t="n">
        <v>0.5383333333333333</v>
      </c>
      <c r="AG313" s="76" t="n">
        <v>0.5363333333333333</v>
      </c>
      <c r="AH313" s="76" t="n">
        <v>0.5366666666666666</v>
      </c>
      <c r="AI313" s="76" t="n">
        <v>0.5373333333333333</v>
      </c>
      <c r="AJ313" s="76" t="n">
        <v>0.5376666666666666</v>
      </c>
      <c r="AK313" s="76" t="n">
        <v>0.5379999999999999</v>
      </c>
      <c r="AL313" s="76" t="n">
        <v>0.5386666666666667</v>
      </c>
      <c r="AM313" s="76" t="n">
        <v>0.5366666666666666</v>
      </c>
      <c r="AN313" s="76" t="n">
        <v>0.5346666666666667</v>
      </c>
      <c r="AO313" s="76" t="n">
        <v>0.5326666666666667</v>
      </c>
      <c r="AP313" s="76" t="n">
        <v>0.5303333333333334</v>
      </c>
      <c r="AQ313" s="76" t="n">
        <v>0.5286666666666667</v>
      </c>
      <c r="AR313" s="76" t="n">
        <v>0.5461544715447154</v>
      </c>
    </row>
    <row r="314">
      <c r="A314" s="76" t="inlineStr">
        <is>
          <t>MI</t>
        </is>
      </c>
      <c r="B314" s="76" t="inlineStr">
        <is>
          <t>Nuclear</t>
        </is>
      </c>
      <c r="C314" s="76" t="n">
        <v>0.902</v>
      </c>
      <c r="D314" s="76" t="n">
        <v>0.902</v>
      </c>
      <c r="E314" s="76" t="n">
        <v>0.902</v>
      </c>
      <c r="F314" s="76" t="n">
        <v>0.902</v>
      </c>
      <c r="G314" s="76" t="n">
        <v>0.902</v>
      </c>
      <c r="H314" s="76" t="n">
        <v>0.902</v>
      </c>
      <c r="I314" s="76" t="n">
        <v>0.902</v>
      </c>
      <c r="J314" s="76" t="n">
        <v>0.902</v>
      </c>
      <c r="K314" s="76" t="n">
        <v>0.902</v>
      </c>
      <c r="L314" s="76" t="n">
        <v>0.902</v>
      </c>
      <c r="M314" s="76" t="n">
        <v>0.902</v>
      </c>
      <c r="N314" s="76" t="n">
        <v>0.902</v>
      </c>
      <c r="O314" s="76" t="n">
        <v>0.902</v>
      </c>
      <c r="P314" s="76" t="n">
        <v>0.902</v>
      </c>
      <c r="Q314" s="76" t="n">
        <v>0.902</v>
      </c>
      <c r="R314" s="76" t="n">
        <v>0.902</v>
      </c>
      <c r="S314" s="76" t="n">
        <v>0.902</v>
      </c>
      <c r="T314" s="76" t="n">
        <v>0.902</v>
      </c>
      <c r="U314" s="76" t="n">
        <v>0.902</v>
      </c>
      <c r="V314" s="76" t="n">
        <v>0.902</v>
      </c>
      <c r="W314" s="76" t="n">
        <v>0.902</v>
      </c>
      <c r="X314" s="76" t="n">
        <v>0.902</v>
      </c>
      <c r="Y314" s="76" t="n">
        <v>0.902</v>
      </c>
      <c r="Z314" s="76" t="n">
        <v>0.902</v>
      </c>
      <c r="AA314" s="76" t="n">
        <v>0.902</v>
      </c>
      <c r="AB314" s="76" t="n">
        <v>0.902</v>
      </c>
      <c r="AC314" s="76" t="n">
        <v>0.902</v>
      </c>
      <c r="AD314" s="76" t="n">
        <v>0.902</v>
      </c>
      <c r="AE314" s="76" t="n">
        <v>0.902</v>
      </c>
      <c r="AF314" s="76" t="n">
        <v>0.902</v>
      </c>
      <c r="AG314" s="76" t="n">
        <v>0.902</v>
      </c>
      <c r="AH314" s="76" t="n">
        <v>0.902</v>
      </c>
      <c r="AI314" s="76" t="n">
        <v>0.902</v>
      </c>
      <c r="AJ314" s="76" t="n">
        <v>0.902</v>
      </c>
      <c r="AK314" s="76" t="n">
        <v>0.902</v>
      </c>
      <c r="AL314" s="76" t="n">
        <v>0.902</v>
      </c>
      <c r="AM314" s="76" t="n">
        <v>0.8965000000000001</v>
      </c>
      <c r="AN314" s="76" t="n">
        <v>0.891</v>
      </c>
      <c r="AO314" s="76" t="n">
        <v>0.885</v>
      </c>
      <c r="AP314" s="76" t="n">
        <v>0.8794999999999999</v>
      </c>
      <c r="AQ314" s="76" t="n">
        <v>0.846</v>
      </c>
      <c r="AR314" s="76" t="n">
        <v>0.8999259259259266</v>
      </c>
    </row>
    <row r="315">
      <c r="A315" s="76" t="inlineStr">
        <is>
          <t>MI</t>
        </is>
      </c>
      <c r="B315" s="76" t="inlineStr">
        <is>
          <t>Other</t>
        </is>
      </c>
      <c r="C315" s="76" t="n">
        <v>0.0795</v>
      </c>
      <c r="D315" s="76" t="n">
        <v>0.09950000000000001</v>
      </c>
      <c r="E315" s="76" t="n">
        <v>0.1185</v>
      </c>
      <c r="F315" s="76" t="n">
        <v>0.118</v>
      </c>
      <c r="G315" s="76" t="n">
        <v>0.118</v>
      </c>
      <c r="H315" s="76" t="n">
        <v>0.152</v>
      </c>
      <c r="I315" s="76" t="n">
        <v>0.1885</v>
      </c>
      <c r="J315" s="76" t="n">
        <v>0.1675</v>
      </c>
      <c r="K315" s="76" t="n">
        <v>0.143</v>
      </c>
      <c r="L315" s="76" t="n">
        <v>0.1475</v>
      </c>
      <c r="M315" s="76" t="n">
        <v>0.152</v>
      </c>
      <c r="N315" s="76" t="n">
        <v>0.118</v>
      </c>
      <c r="O315" s="76" t="n">
        <v>0.078</v>
      </c>
      <c r="P315" s="76" t="n">
        <v>0.078</v>
      </c>
      <c r="Q315" s="76" t="n">
        <v>0.078</v>
      </c>
      <c r="R315" s="76" t="n">
        <v>0.053</v>
      </c>
      <c r="S315" s="76" t="n">
        <v>0.026</v>
      </c>
      <c r="T315" s="76" t="n">
        <v>0.0535</v>
      </c>
      <c r="U315" s="76" t="n">
        <v>0.077</v>
      </c>
      <c r="V315" s="76" t="n">
        <v>0.0765</v>
      </c>
      <c r="W315" s="76" t="n">
        <v>0.151</v>
      </c>
      <c r="X315" s="76" t="n">
        <v>0.152</v>
      </c>
      <c r="Y315" s="76" t="n">
        <v>0.152</v>
      </c>
      <c r="Z315" s="76" t="n">
        <v>0.158</v>
      </c>
      <c r="AA315" s="76" t="n">
        <v>0.164</v>
      </c>
      <c r="AB315" s="76" t="n">
        <v>0.17</v>
      </c>
      <c r="AC315" s="76" t="n">
        <v>0.163</v>
      </c>
      <c r="AD315" s="76" t="n">
        <v>0.157</v>
      </c>
      <c r="AE315" s="76" t="n">
        <v>0.151</v>
      </c>
      <c r="AF315" s="76" t="n">
        <v>0.144</v>
      </c>
      <c r="AG315" s="76" t="n">
        <v>0.138</v>
      </c>
      <c r="AH315" s="76" t="n">
        <v>0.139</v>
      </c>
      <c r="AI315" s="76" t="n">
        <v>0.141</v>
      </c>
      <c r="AJ315" s="76" t="n">
        <v>0.142</v>
      </c>
      <c r="AK315" s="76" t="n">
        <v>0.144</v>
      </c>
      <c r="AL315" s="76" t="n">
        <v>0.145</v>
      </c>
      <c r="AM315" s="76" t="n">
        <v>0.155</v>
      </c>
      <c r="AN315" s="76" t="n">
        <v>0.166</v>
      </c>
      <c r="AO315" s="76" t="n">
        <v>0.177</v>
      </c>
      <c r="AP315" s="76" t="n">
        <v>0.19</v>
      </c>
      <c r="AQ315" s="76" t="n">
        <v>0.204</v>
      </c>
      <c r="AR315" s="76" t="n">
        <v>0.1237213114754099</v>
      </c>
    </row>
    <row r="316">
      <c r="A316" s="76" t="inlineStr">
        <is>
          <t>MI</t>
        </is>
      </c>
      <c r="B316" s="76" t="inlineStr">
        <is>
          <t>Utility PV</t>
        </is>
      </c>
      <c r="C316" s="76" t="n"/>
      <c r="D316" s="76" t="n"/>
      <c r="E316" s="76" t="n"/>
      <c r="F316" s="76" t="n"/>
      <c r="G316" s="76" t="n"/>
      <c r="H316" s="76" t="n">
        <v>0.2335</v>
      </c>
      <c r="I316" s="76" t="n">
        <v>0.2335</v>
      </c>
      <c r="J316" s="76" t="n">
        <v>0.233</v>
      </c>
      <c r="K316" s="76" t="n">
        <v>0.2325</v>
      </c>
      <c r="L316" s="76" t="n">
        <v>0.231</v>
      </c>
      <c r="M316" s="76" t="n">
        <v>0.2295</v>
      </c>
      <c r="N316" s="76" t="n">
        <v>0.2305</v>
      </c>
      <c r="O316" s="76" t="n">
        <v>0.23</v>
      </c>
      <c r="P316" s="76" t="n">
        <v>0.2285</v>
      </c>
      <c r="Q316" s="76" t="n">
        <v>0.2275</v>
      </c>
      <c r="R316" s="76" t="n">
        <v>0.2265</v>
      </c>
      <c r="S316" s="76" t="n">
        <v>0.2255</v>
      </c>
      <c r="T316" s="76" t="n">
        <v>0.2245</v>
      </c>
      <c r="U316" s="76" t="n">
        <v>0.2235</v>
      </c>
      <c r="V316" s="76" t="n">
        <v>0.2295</v>
      </c>
      <c r="W316" s="76" t="n">
        <v>0.2285</v>
      </c>
      <c r="X316" s="76" t="n">
        <v>0.2275</v>
      </c>
      <c r="Y316" s="76" t="n">
        <v>0.2265</v>
      </c>
      <c r="Z316" s="76" t="n">
        <v>0.2255</v>
      </c>
      <c r="AA316" s="76" t="n">
        <v>0.2245</v>
      </c>
      <c r="AB316" s="76" t="n">
        <v>0.223</v>
      </c>
      <c r="AC316" s="76" t="n">
        <v>0.223</v>
      </c>
      <c r="AD316" s="76" t="n">
        <v>0.2225</v>
      </c>
      <c r="AE316" s="76" t="n">
        <v>0.222</v>
      </c>
      <c r="AF316" s="76" t="n">
        <v>0.2215</v>
      </c>
      <c r="AG316" s="76" t="n">
        <v>0.221</v>
      </c>
      <c r="AH316" s="76" t="n">
        <v>0.2195</v>
      </c>
      <c r="AI316" s="76" t="n">
        <v>0.2185</v>
      </c>
      <c r="AJ316" s="76" t="n">
        <v>0.218</v>
      </c>
      <c r="AK316" s="76" t="n">
        <v>0.217</v>
      </c>
      <c r="AL316" s="76" t="n">
        <v>0.216</v>
      </c>
      <c r="AM316" s="76" t="n">
        <v>0.215</v>
      </c>
      <c r="AN316" s="76" t="n">
        <v>0.214</v>
      </c>
      <c r="AO316" s="76" t="n">
        <v>0.2135</v>
      </c>
      <c r="AP316" s="76" t="n">
        <v>0.2125</v>
      </c>
      <c r="AQ316" s="76" t="n">
        <v>0.2115</v>
      </c>
      <c r="AR316" s="76" t="n">
        <v>0.2238888888888889</v>
      </c>
    </row>
    <row r="317">
      <c r="A317" s="76" t="inlineStr">
        <is>
          <t>MI</t>
        </is>
      </c>
      <c r="B317" s="76" t="inlineStr">
        <is>
          <t>Wind offshore</t>
        </is>
      </c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  <c r="AA317" s="76" t="n"/>
      <c r="AB317" s="76" t="n"/>
      <c r="AC317" s="76" t="n"/>
      <c r="AD317" s="76" t="n"/>
      <c r="AE317" s="76" t="n"/>
      <c r="AF317" s="76" t="n"/>
      <c r="AG317" s="76" t="n"/>
      <c r="AH317" s="76" t="n"/>
      <c r="AI317" s="76" t="n"/>
      <c r="AJ317" s="76" t="n"/>
      <c r="AK317" s="76" t="n"/>
      <c r="AL317" s="76" t="n"/>
      <c r="AM317" s="76" t="n">
        <v>0.436</v>
      </c>
      <c r="AN317" s="76" t="n">
        <v>0.436</v>
      </c>
      <c r="AO317" s="76" t="n">
        <v>0.436</v>
      </c>
      <c r="AP317" s="76" t="n">
        <v>0.436</v>
      </c>
      <c r="AQ317" s="76" t="n">
        <v>0.436</v>
      </c>
      <c r="AR317" s="76" t="n">
        <v>0.4360000000000001</v>
      </c>
    </row>
    <row r="318">
      <c r="A318" s="76" t="inlineStr">
        <is>
          <t>MI</t>
        </is>
      </c>
      <c r="B318" s="76" t="inlineStr">
        <is>
          <t>Wind onshore</t>
        </is>
      </c>
      <c r="C318" s="76" t="n">
        <v>0.301</v>
      </c>
      <c r="D318" s="76" t="n">
        <v>0.3795</v>
      </c>
      <c r="E318" s="76" t="n">
        <v>0.385</v>
      </c>
      <c r="F318" s="76" t="n">
        <v>0.386</v>
      </c>
      <c r="G318" s="76" t="n">
        <v>0.3865</v>
      </c>
      <c r="H318" s="76" t="n">
        <v>0.3865</v>
      </c>
      <c r="I318" s="76" t="n">
        <v>0.3865</v>
      </c>
      <c r="J318" s="76" t="n">
        <v>0.387</v>
      </c>
      <c r="K318" s="76" t="n">
        <v>0.3875</v>
      </c>
      <c r="L318" s="76" t="n">
        <v>0.423</v>
      </c>
      <c r="M318" s="76" t="n">
        <v>0.428</v>
      </c>
      <c r="N318" s="76" t="n">
        <v>0.4336666666666666</v>
      </c>
      <c r="O318" s="76" t="n">
        <v>0.4363333333333333</v>
      </c>
      <c r="P318" s="76" t="n">
        <v>0.4366666666666667</v>
      </c>
      <c r="Q318" s="76" t="n">
        <v>0.4366666666666667</v>
      </c>
      <c r="R318" s="76" t="n">
        <v>0.4353333333333333</v>
      </c>
      <c r="S318" s="76" t="n">
        <v>0.4346666666666667</v>
      </c>
      <c r="T318" s="76" t="n">
        <v>0.4296666666666666</v>
      </c>
      <c r="U318" s="76" t="n">
        <v>0.429</v>
      </c>
      <c r="V318" s="76" t="n">
        <v>0.4263333333333333</v>
      </c>
      <c r="W318" s="76" t="n">
        <v>0.4243333333333333</v>
      </c>
      <c r="X318" s="76" t="n">
        <v>0.4253333333333333</v>
      </c>
      <c r="Y318" s="76" t="n">
        <v>0.4266666666666667</v>
      </c>
      <c r="Z318" s="76" t="n">
        <v>0.4176666666666666</v>
      </c>
      <c r="AA318" s="76" t="n">
        <v>0.4093333333333334</v>
      </c>
      <c r="AB318" s="76" t="n">
        <v>0.4023333333333334</v>
      </c>
      <c r="AC318" s="76" t="n">
        <v>0.4013333333333334</v>
      </c>
      <c r="AD318" s="76" t="n">
        <v>0.4006666666666667</v>
      </c>
      <c r="AE318" s="76" t="n">
        <v>0.3996666666666667</v>
      </c>
      <c r="AF318" s="76" t="n">
        <v>0.399</v>
      </c>
      <c r="AG318" s="76" t="n">
        <v>0.3986666666666667</v>
      </c>
      <c r="AH318" s="76" t="n">
        <v>0.3993333333333333</v>
      </c>
      <c r="AI318" s="76" t="n">
        <v>0.4006666666666667</v>
      </c>
      <c r="AJ318" s="76" t="n">
        <v>0.4013333333333333</v>
      </c>
      <c r="AK318" s="76" t="n">
        <v>0.403</v>
      </c>
      <c r="AL318" s="76" t="n">
        <v>0.4036666666666666</v>
      </c>
      <c r="AM318" s="76" t="n">
        <v>0.4116666666666667</v>
      </c>
      <c r="AN318" s="76" t="n">
        <v>0.4196666666666666</v>
      </c>
      <c r="AO318" s="76" t="n">
        <v>0.4273333333333333</v>
      </c>
      <c r="AP318" s="76" t="n">
        <v>0.4353333333333333</v>
      </c>
      <c r="AQ318" s="76" t="n">
        <v>0.4433333333333334</v>
      </c>
      <c r="AR318" s="76" t="n">
        <v>0.413</v>
      </c>
    </row>
    <row r="319">
      <c r="A319" s="76" t="inlineStr">
        <is>
          <t>MN</t>
        </is>
      </c>
      <c r="B319" s="76" t="inlineStr">
        <is>
          <t>MN</t>
        </is>
      </c>
      <c r="C319" s="76" t="n">
        <v>0.5592380952380953</v>
      </c>
      <c r="D319" s="76" t="n">
        <v>0.5265238095238094</v>
      </c>
      <c r="E319" s="76" t="n">
        <v>0.4931428571428572</v>
      </c>
      <c r="F319" s="76" t="n">
        <v>0.3748518518518519</v>
      </c>
      <c r="G319" s="76" t="n">
        <v>0.3333333333333333</v>
      </c>
      <c r="H319" s="76" t="n">
        <v>0.3844137931034483</v>
      </c>
      <c r="I319" s="76" t="n">
        <v>0.4419310344827586</v>
      </c>
      <c r="J319" s="76" t="n">
        <v>0.4325172413793102</v>
      </c>
      <c r="K319" s="76" t="n">
        <v>0.4232758620689654</v>
      </c>
      <c r="L319" s="76" t="n">
        <v>0.4333793103448275</v>
      </c>
      <c r="M319" s="76" t="n">
        <v>0.4402758620689654</v>
      </c>
      <c r="N319" s="76" t="n">
        <v>0.4373448275862069</v>
      </c>
      <c r="O319" s="76" t="n">
        <v>0.4343448275862069</v>
      </c>
      <c r="P319" s="76" t="n">
        <v>0.4021612903225805</v>
      </c>
      <c r="Q319" s="76" t="n">
        <v>0.4125666666666667</v>
      </c>
      <c r="R319" s="76" t="n">
        <v>0.38346875</v>
      </c>
      <c r="S319" s="76" t="n">
        <v>0.37490625</v>
      </c>
      <c r="T319" s="76" t="n">
        <v>0.371</v>
      </c>
      <c r="U319" s="76" t="n">
        <v>0.3684374999999999</v>
      </c>
      <c r="V319" s="76" t="n">
        <v>0.3647187500000001</v>
      </c>
      <c r="W319" s="76" t="n">
        <v>0.3594999999999999</v>
      </c>
      <c r="X319" s="76" t="n">
        <v>0.3582812499999999</v>
      </c>
      <c r="Y319" s="76" t="n">
        <v>0.3534375</v>
      </c>
      <c r="Z319" s="76" t="n">
        <v>0.3547812499999999</v>
      </c>
      <c r="AA319" s="76" t="n">
        <v>0.3552812499999999</v>
      </c>
      <c r="AB319" s="76" t="n">
        <v>0.361</v>
      </c>
      <c r="AC319" s="76" t="n">
        <v>0.3604838709677419</v>
      </c>
      <c r="AD319" s="76" t="n">
        <v>0.359774193548387</v>
      </c>
      <c r="AE319" s="76" t="n">
        <v>0.3589354838709676</v>
      </c>
      <c r="AF319" s="76" t="n">
        <v>0.3578709677419354</v>
      </c>
      <c r="AG319" s="76" t="n">
        <v>0.3567096774193548</v>
      </c>
      <c r="AH319" s="76" t="n">
        <v>0.3563225806451612</v>
      </c>
      <c r="AI319" s="76" t="n">
        <v>0.3558709677419354</v>
      </c>
      <c r="AJ319" s="76" t="n">
        <v>0.3555483870967742</v>
      </c>
      <c r="AK319" s="76" t="n">
        <v>0.3551290322580645</v>
      </c>
      <c r="AL319" s="76" t="n">
        <v>0.3548064516129033</v>
      </c>
      <c r="AM319" s="76" t="n">
        <v>0.3558709677419356</v>
      </c>
      <c r="AN319" s="76" t="n">
        <v>0.3564516129032259</v>
      </c>
      <c r="AO319" s="76" t="n">
        <v>0.3569677419354839</v>
      </c>
      <c r="AP319" s="76" t="n">
        <v>0.357258064516129</v>
      </c>
      <c r="AQ319" s="76" t="n">
        <v>0.3576451612903226</v>
      </c>
      <c r="AR319" s="76" t="n">
        <v>0.3836353996737356</v>
      </c>
    </row>
    <row r="320">
      <c r="A320" s="76" t="inlineStr">
        <is>
          <t>MN</t>
        </is>
      </c>
      <c r="B320" s="76" t="inlineStr">
        <is>
          <t>Battery</t>
        </is>
      </c>
      <c r="C320" s="76" t="n"/>
      <c r="D320" s="76" t="n"/>
      <c r="E320" s="76" t="n"/>
      <c r="F320" s="76" t="n">
        <v>-0.037</v>
      </c>
      <c r="G320" s="76" t="n">
        <v>-0.037</v>
      </c>
      <c r="H320" s="76" t="n">
        <v>-0.034</v>
      </c>
      <c r="I320" s="76" t="n">
        <v>-0.031</v>
      </c>
      <c r="J320" s="76" t="n">
        <v>-0.028</v>
      </c>
      <c r="K320" s="76" t="n">
        <v>-0.025</v>
      </c>
      <c r="L320" s="76" t="n">
        <v>-0.028</v>
      </c>
      <c r="M320" s="76" t="n">
        <v>-0.031</v>
      </c>
      <c r="N320" s="76" t="n">
        <v>-0.028</v>
      </c>
      <c r="O320" s="76" t="n">
        <v>-0.025</v>
      </c>
      <c r="P320" s="76" t="n">
        <v>-0.03766666666666667</v>
      </c>
      <c r="Q320" s="76" t="n">
        <v>-0.043</v>
      </c>
      <c r="R320" s="76" t="n">
        <v>-0.04275</v>
      </c>
      <c r="S320" s="76" t="n">
        <v>-0.04075</v>
      </c>
      <c r="T320" s="76" t="n">
        <v>-0.05625</v>
      </c>
      <c r="U320" s="76" t="n">
        <v>-0.06075</v>
      </c>
      <c r="V320" s="76" t="n">
        <v>-0.06425</v>
      </c>
      <c r="W320" s="76" t="n">
        <v>-0.06575</v>
      </c>
      <c r="X320" s="76" t="n">
        <v>-0.06675</v>
      </c>
      <c r="Y320" s="76" t="n">
        <v>-0.0675</v>
      </c>
      <c r="Z320" s="76" t="n">
        <v>-0.0635</v>
      </c>
      <c r="AA320" s="76" t="n">
        <v>-0.061</v>
      </c>
      <c r="AB320" s="76" t="n">
        <v>-0.05825</v>
      </c>
      <c r="AC320" s="76" t="n">
        <v>-0.0615</v>
      </c>
      <c r="AD320" s="76" t="n">
        <v>-0.0625</v>
      </c>
      <c r="AE320" s="76" t="n">
        <v>-0.06275</v>
      </c>
      <c r="AF320" s="76" t="n">
        <v>-0.063</v>
      </c>
      <c r="AG320" s="76" t="n">
        <v>-0.063</v>
      </c>
      <c r="AH320" s="76" t="n">
        <v>-0.062</v>
      </c>
      <c r="AI320" s="76" t="n">
        <v>-0.06075</v>
      </c>
      <c r="AJ320" s="76" t="n">
        <v>-0.06025</v>
      </c>
      <c r="AK320" s="76" t="n">
        <v>-0.0595</v>
      </c>
      <c r="AL320" s="76" t="n">
        <v>-0.05925</v>
      </c>
      <c r="AM320" s="76" t="n">
        <v>-0.05725</v>
      </c>
      <c r="AN320" s="76" t="n">
        <v>-0.05525</v>
      </c>
      <c r="AO320" s="76" t="n">
        <v>-0.0535</v>
      </c>
      <c r="AP320" s="76" t="n">
        <v>-0.05175</v>
      </c>
      <c r="AQ320" s="76" t="n">
        <v>-0.05</v>
      </c>
      <c r="AR320" s="76" t="n">
        <v>-0.05554166666666664</v>
      </c>
    </row>
    <row r="321">
      <c r="A321" s="76" t="inlineStr">
        <is>
          <t>MN</t>
        </is>
      </c>
      <c r="B321" s="76" t="inlineStr">
        <is>
          <t>Biopower</t>
        </is>
      </c>
      <c r="C321" s="76" t="n">
        <v>0.141</v>
      </c>
      <c r="D321" s="76" t="n">
        <v>0.144</v>
      </c>
      <c r="E321" s="76" t="n">
        <v>0.146</v>
      </c>
      <c r="F321" s="76" t="n">
        <v>0.145</v>
      </c>
      <c r="G321" s="76" t="n">
        <v>0.143</v>
      </c>
      <c r="H321" s="76" t="n">
        <v>0.142</v>
      </c>
      <c r="I321" s="76" t="n">
        <v>0.141</v>
      </c>
      <c r="J321" s="76" t="n">
        <v>0.141</v>
      </c>
      <c r="K321" s="76" t="n">
        <v>0.141</v>
      </c>
      <c r="L321" s="76" t="n">
        <v>0.146</v>
      </c>
      <c r="M321" s="76" t="n">
        <v>0.15</v>
      </c>
      <c r="N321" s="76" t="n">
        <v>0.157</v>
      </c>
      <c r="O321" s="76" t="n">
        <v>0.164</v>
      </c>
      <c r="P321" s="76" t="n">
        <v>0.164</v>
      </c>
      <c r="Q321" s="76" t="n">
        <v>0.164</v>
      </c>
      <c r="R321" s="76" t="n">
        <v>0.164</v>
      </c>
      <c r="S321" s="76" t="n">
        <v>0.164</v>
      </c>
      <c r="T321" s="76" t="n">
        <v>0.164</v>
      </c>
      <c r="U321" s="76" t="n">
        <v>0.164</v>
      </c>
      <c r="V321" s="76" t="n">
        <v>0.17</v>
      </c>
      <c r="W321" s="76" t="n">
        <v>0.178</v>
      </c>
      <c r="X321" s="76" t="n">
        <v>0.178</v>
      </c>
      <c r="Y321" s="76" t="n">
        <v>0.178</v>
      </c>
      <c r="Z321" s="76" t="n">
        <v>0.175</v>
      </c>
      <c r="AA321" s="76" t="n">
        <v>0.173</v>
      </c>
      <c r="AB321" s="76" t="n">
        <v>0.17</v>
      </c>
      <c r="AC321" s="76" t="n">
        <v>0.158</v>
      </c>
      <c r="AD321" s="76" t="n">
        <v>0.144</v>
      </c>
      <c r="AE321" s="76" t="n">
        <v>0.129</v>
      </c>
      <c r="AF321" s="76" t="n">
        <v>0.113</v>
      </c>
      <c r="AG321" s="76" t="n">
        <v>0.096</v>
      </c>
      <c r="AH321" s="76" t="n">
        <v>0.092</v>
      </c>
      <c r="AI321" s="76" t="n">
        <v>0.08799999999999999</v>
      </c>
      <c r="AJ321" s="76" t="n">
        <v>0.08400000000000001</v>
      </c>
      <c r="AK321" s="76" t="n">
        <v>0.081</v>
      </c>
      <c r="AL321" s="76" t="n">
        <v>0.077</v>
      </c>
      <c r="AM321" s="76" t="n">
        <v>0.068</v>
      </c>
      <c r="AN321" s="76" t="n">
        <v>0.059</v>
      </c>
      <c r="AO321" s="76" t="n">
        <v>0.05</v>
      </c>
      <c r="AP321" s="76" t="n">
        <v>0.04</v>
      </c>
      <c r="AQ321" s="76" t="n">
        <v>0.029</v>
      </c>
      <c r="AR321" s="76" t="n">
        <v>0.1320731707317073</v>
      </c>
    </row>
    <row r="322">
      <c r="A322" s="76" t="inlineStr">
        <is>
          <t>MN</t>
        </is>
      </c>
      <c r="B322" s="76" t="inlineStr">
        <is>
          <t>Coal</t>
        </is>
      </c>
      <c r="C322" s="76" t="n">
        <v>0.8070000000000001</v>
      </c>
      <c r="D322" s="76" t="n">
        <v>0.793</v>
      </c>
      <c r="E322" s="76" t="n">
        <v>0.779</v>
      </c>
      <c r="F322" s="76" t="n">
        <v>0.798</v>
      </c>
      <c r="G322" s="76" t="n">
        <v>0.8159999999999999</v>
      </c>
      <c r="H322" s="76" t="n">
        <v>0.786</v>
      </c>
      <c r="I322" s="76" t="n">
        <v>0.746</v>
      </c>
      <c r="J322" s="76" t="n">
        <v>0.765</v>
      </c>
      <c r="K322" s="76" t="n">
        <v>0.787</v>
      </c>
      <c r="L322" s="76" t="n">
        <v>0.73</v>
      </c>
      <c r="M322" s="76" t="n">
        <v>0.673</v>
      </c>
      <c r="N322" s="76" t="n">
        <v>0.6909999999999999</v>
      </c>
      <c r="O322" s="76" t="n">
        <v>0.714</v>
      </c>
      <c r="P322" s="76" t="n">
        <v>0.703</v>
      </c>
      <c r="Q322" s="76" t="n">
        <v>0.6879999999999999</v>
      </c>
      <c r="R322" s="76" t="n">
        <v>0.668</v>
      </c>
      <c r="S322" s="76" t="n">
        <v>0.648</v>
      </c>
      <c r="T322" s="76" t="n">
        <v>0.629</v>
      </c>
      <c r="U322" s="76" t="n">
        <v>0.609</v>
      </c>
      <c r="V322" s="76" t="n">
        <v>0.554</v>
      </c>
      <c r="W322" s="76" t="n">
        <v>0.455</v>
      </c>
      <c r="X322" s="76" t="n">
        <v>0.371</v>
      </c>
      <c r="Y322" s="76" t="n">
        <v>0.192</v>
      </c>
      <c r="Z322" s="76" t="n">
        <v>0.192</v>
      </c>
      <c r="AA322" s="76" t="n">
        <v>0.192</v>
      </c>
      <c r="AB322" s="76" t="n"/>
      <c r="AC322" s="76" t="n"/>
      <c r="AD322" s="76" t="n"/>
      <c r="AE322" s="76" t="n"/>
      <c r="AF322" s="76" t="n"/>
      <c r="AG322" s="76" t="n"/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>
        <v>0.63144</v>
      </c>
    </row>
    <row r="323">
      <c r="A323" s="76" t="inlineStr">
        <is>
          <t>MN</t>
        </is>
      </c>
      <c r="B323" s="76" t="inlineStr">
        <is>
          <t>CSP</t>
        </is>
      </c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6" t="n"/>
      <c r="AC323" s="76" t="n"/>
      <c r="AD323" s="76" t="n"/>
      <c r="AE323" s="76" t="n"/>
      <c r="AF323" s="76" t="n"/>
      <c r="AG323" s="76" t="n"/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</row>
    <row r="324">
      <c r="A324" s="76" t="inlineStr">
        <is>
          <t>MN</t>
        </is>
      </c>
      <c r="B324" s="76" t="inlineStr">
        <is>
          <t>Dist PV</t>
        </is>
      </c>
      <c r="C324" s="76" t="n"/>
      <c r="D324" s="76" t="n"/>
      <c r="E324" s="76" t="n"/>
      <c r="F324" s="76" t="n">
        <v>0.15825</v>
      </c>
      <c r="G324" s="76" t="n">
        <v>0.15825</v>
      </c>
      <c r="H324" s="76" t="n">
        <v>0.15825</v>
      </c>
      <c r="I324" s="76" t="n">
        <v>0.15825</v>
      </c>
      <c r="J324" s="76" t="n">
        <v>0.15825</v>
      </c>
      <c r="K324" s="76" t="n">
        <v>0.15825</v>
      </c>
      <c r="L324" s="76" t="n">
        <v>0.15825</v>
      </c>
      <c r="M324" s="76" t="n">
        <v>0.15825</v>
      </c>
      <c r="N324" s="76" t="n">
        <v>0.15825</v>
      </c>
      <c r="O324" s="76" t="n">
        <v>0.15825</v>
      </c>
      <c r="P324" s="76" t="n">
        <v>0.15825</v>
      </c>
      <c r="Q324" s="76" t="n">
        <v>0.15825</v>
      </c>
      <c r="R324" s="76" t="n">
        <v>0.15825</v>
      </c>
      <c r="S324" s="76" t="n">
        <v>0.15825</v>
      </c>
      <c r="T324" s="76" t="n">
        <v>0.15825</v>
      </c>
      <c r="U324" s="76" t="n">
        <v>0.15825</v>
      </c>
      <c r="V324" s="76" t="n">
        <v>0.15825</v>
      </c>
      <c r="W324" s="76" t="n">
        <v>0.15825</v>
      </c>
      <c r="X324" s="76" t="n">
        <v>0.15825</v>
      </c>
      <c r="Y324" s="76" t="n">
        <v>0.15825</v>
      </c>
      <c r="Z324" s="76" t="n">
        <v>0.15825</v>
      </c>
      <c r="AA324" s="76" t="n">
        <v>0.15825</v>
      </c>
      <c r="AB324" s="76" t="n">
        <v>0.15825</v>
      </c>
      <c r="AC324" s="76" t="n">
        <v>0.15825</v>
      </c>
      <c r="AD324" s="76" t="n">
        <v>0.15825</v>
      </c>
      <c r="AE324" s="76" t="n">
        <v>0.15825</v>
      </c>
      <c r="AF324" s="76" t="n">
        <v>0.15825</v>
      </c>
      <c r="AG324" s="76" t="n">
        <v>0.15825</v>
      </c>
      <c r="AH324" s="76" t="n">
        <v>0.15825</v>
      </c>
      <c r="AI324" s="76" t="n">
        <v>0.15825</v>
      </c>
      <c r="AJ324" s="76" t="n">
        <v>0.15825</v>
      </c>
      <c r="AK324" s="76" t="n">
        <v>0.15825</v>
      </c>
      <c r="AL324" s="76" t="n">
        <v>0.15825</v>
      </c>
      <c r="AM324" s="76" t="n">
        <v>0.15825</v>
      </c>
      <c r="AN324" s="76" t="n">
        <v>0.15825</v>
      </c>
      <c r="AO324" s="76" t="n">
        <v>0.15825</v>
      </c>
      <c r="AP324" s="76" t="n">
        <v>0.15825</v>
      </c>
      <c r="AQ324" s="76" t="n">
        <v>0.15825</v>
      </c>
      <c r="AR324" s="76" t="n">
        <v>0.1582500000000001</v>
      </c>
    </row>
    <row r="325">
      <c r="A325" s="76" t="inlineStr">
        <is>
          <t>MN</t>
        </is>
      </c>
      <c r="B325" s="76" t="inlineStr">
        <is>
          <t>Gas CCGT</t>
        </is>
      </c>
      <c r="C325" s="76" t="n">
        <v>0.048</v>
      </c>
      <c r="D325" s="76" t="n">
        <v>0.098</v>
      </c>
      <c r="E325" s="76" t="n">
        <v>0.1485</v>
      </c>
      <c r="F325" s="76" t="n">
        <v>0.118</v>
      </c>
      <c r="G325" s="76" t="n">
        <v>0.08599999999999999</v>
      </c>
      <c r="H325" s="76" t="n">
        <v>0.3455</v>
      </c>
      <c r="I325" s="76" t="n">
        <v>0.605</v>
      </c>
      <c r="J325" s="76" t="n">
        <v>0.4745</v>
      </c>
      <c r="K325" s="76" t="n">
        <v>0.345</v>
      </c>
      <c r="L325" s="76" t="n">
        <v>0.505</v>
      </c>
      <c r="M325" s="76" t="n">
        <v>0.6194999999999999</v>
      </c>
      <c r="N325" s="76" t="n">
        <v>0.5565</v>
      </c>
      <c r="O325" s="76" t="n">
        <v>0.4935</v>
      </c>
      <c r="P325" s="76" t="n">
        <v>0.473</v>
      </c>
      <c r="Q325" s="76" t="n">
        <v>0.4525</v>
      </c>
      <c r="R325" s="76" t="n">
        <v>0.323</v>
      </c>
      <c r="S325" s="76" t="n">
        <v>0.1935</v>
      </c>
      <c r="T325" s="76" t="n">
        <v>0.1775</v>
      </c>
      <c r="U325" s="76" t="n">
        <v>0.161</v>
      </c>
      <c r="V325" s="76" t="n">
        <v>0.1305</v>
      </c>
      <c r="W325" s="76" t="n">
        <v>0.101</v>
      </c>
      <c r="X325" s="76" t="n">
        <v>0.1035</v>
      </c>
      <c r="Y325" s="76" t="n">
        <v>0.107</v>
      </c>
      <c r="Z325" s="76" t="n">
        <v>0.111</v>
      </c>
      <c r="AA325" s="76" t="n">
        <v>0.1155</v>
      </c>
      <c r="AB325" s="76" t="n">
        <v>0.1205</v>
      </c>
      <c r="AC325" s="76" t="n">
        <v>0.1085</v>
      </c>
      <c r="AD325" s="76" t="n">
        <v>0.0975</v>
      </c>
      <c r="AE325" s="76" t="n">
        <v>0.08599999999999999</v>
      </c>
      <c r="AF325" s="76" t="n">
        <v>0.07450000000000001</v>
      </c>
      <c r="AG325" s="76" t="n">
        <v>0.0635</v>
      </c>
      <c r="AH325" s="76" t="n">
        <v>0.062</v>
      </c>
      <c r="AI325" s="76" t="n">
        <v>0.0605</v>
      </c>
      <c r="AJ325" s="76" t="n">
        <v>0.0595</v>
      </c>
      <c r="AK325" s="76" t="n">
        <v>0.0575</v>
      </c>
      <c r="AL325" s="76" t="n">
        <v>0.0565</v>
      </c>
      <c r="AM325" s="76" t="n">
        <v>0.0605</v>
      </c>
      <c r="AN325" s="76" t="n">
        <v>0.0635</v>
      </c>
      <c r="AO325" s="76" t="n">
        <v>0.0675</v>
      </c>
      <c r="AP325" s="76" t="n">
        <v>0.07100000000000001</v>
      </c>
      <c r="AQ325" s="76" t="n">
        <v>0.075</v>
      </c>
      <c r="AR325" s="76" t="n">
        <v>0.1969756097560976</v>
      </c>
    </row>
    <row r="326">
      <c r="A326" s="76" t="inlineStr">
        <is>
          <t>MN</t>
        </is>
      </c>
      <c r="B326" s="76" t="inlineStr">
        <is>
          <t>Gas CT</t>
        </is>
      </c>
      <c r="C326" s="76" t="n">
        <v>0.00825</v>
      </c>
      <c r="D326" s="76" t="n">
        <v>0.008</v>
      </c>
      <c r="E326" s="76" t="n">
        <v>0.0075</v>
      </c>
      <c r="F326" s="76" t="n">
        <v>0.006</v>
      </c>
      <c r="G326" s="76" t="n">
        <v>0.004</v>
      </c>
      <c r="H326" s="76" t="n">
        <v>0.01525</v>
      </c>
      <c r="I326" s="76" t="n">
        <v>0.02625</v>
      </c>
      <c r="J326" s="76" t="n">
        <v>0.01575</v>
      </c>
      <c r="K326" s="76" t="n">
        <v>0.00525</v>
      </c>
      <c r="L326" s="76" t="n">
        <v>0.00775</v>
      </c>
      <c r="M326" s="76" t="n">
        <v>0.011</v>
      </c>
      <c r="N326" s="76" t="n">
        <v>0.01175</v>
      </c>
      <c r="O326" s="76" t="n">
        <v>0.01225</v>
      </c>
      <c r="P326" s="76" t="n">
        <v>0.012</v>
      </c>
      <c r="Q326" s="76" t="n">
        <v>0.008666666666666666</v>
      </c>
      <c r="R326" s="76" t="n">
        <v>0.005666666666666666</v>
      </c>
      <c r="S326" s="76" t="n">
        <v>0.002666666666666667</v>
      </c>
      <c r="T326" s="76" t="n">
        <v>0.002333333333333334</v>
      </c>
      <c r="U326" s="76" t="n">
        <v>0.002333333333333334</v>
      </c>
      <c r="V326" s="76" t="n">
        <v>0.001333333333333333</v>
      </c>
      <c r="W326" s="76" t="n">
        <v>0.0003333333333333333</v>
      </c>
      <c r="X326" s="76" t="n">
        <v>0.001333333333333333</v>
      </c>
      <c r="Y326" s="76" t="n">
        <v>0.002</v>
      </c>
      <c r="Z326" s="76" t="n">
        <v>0.001666666666666667</v>
      </c>
      <c r="AA326" s="76" t="n">
        <v>0.001</v>
      </c>
      <c r="AB326" s="76" t="n">
        <v>0.0003333333333333333</v>
      </c>
      <c r="AC326" s="76" t="n">
        <v>0.0003333333333333333</v>
      </c>
      <c r="AD326" s="76" t="n">
        <v>0.0003333333333333333</v>
      </c>
      <c r="AE326" s="76" t="n">
        <v>0.0006666666666666666</v>
      </c>
      <c r="AF326" s="76" t="n">
        <v>0.0006666666666666666</v>
      </c>
      <c r="AG326" s="76" t="n">
        <v>0.0006666666666666666</v>
      </c>
      <c r="AH326" s="76" t="n">
        <v>0.0006666666666666666</v>
      </c>
      <c r="AI326" s="76" t="n">
        <v>0.0003333333333333333</v>
      </c>
      <c r="AJ326" s="76" t="n">
        <v>0.0003333333333333333</v>
      </c>
      <c r="AK326" s="76" t="n">
        <v>0</v>
      </c>
      <c r="AL326" s="76" t="n">
        <v>0</v>
      </c>
      <c r="AM326" s="76" t="n">
        <v>0</v>
      </c>
      <c r="AN326" s="76" t="n">
        <v>0</v>
      </c>
      <c r="AO326" s="76" t="n">
        <v>0</v>
      </c>
      <c r="AP326" s="76" t="n">
        <v>0</v>
      </c>
      <c r="AQ326" s="76" t="n">
        <v>0</v>
      </c>
      <c r="AR326" s="76" t="n">
        <v>0.005145985401459857</v>
      </c>
    </row>
    <row r="327">
      <c r="A327" s="76" t="inlineStr">
        <is>
          <t>MN</t>
        </is>
      </c>
      <c r="B327" s="76" t="inlineStr">
        <is>
          <t>Geothermal</t>
        </is>
      </c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  <c r="AA327" s="76" t="n"/>
      <c r="AB327" s="76" t="n"/>
      <c r="AC327" s="76" t="n"/>
      <c r="AD327" s="76" t="n"/>
      <c r="AE327" s="76" t="n"/>
      <c r="AF327" s="76" t="n"/>
      <c r="AG327" s="76" t="n"/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</row>
    <row r="328">
      <c r="A328" s="76" t="inlineStr">
        <is>
          <t>MN</t>
        </is>
      </c>
      <c r="B328" s="76" t="inlineStr">
        <is>
          <t>Hydro</t>
        </is>
      </c>
      <c r="C328" s="76" t="n">
        <v>1.93</v>
      </c>
      <c r="D328" s="76" t="n">
        <v>1.7205</v>
      </c>
      <c r="E328" s="76" t="n">
        <v>1.512</v>
      </c>
      <c r="F328" s="76" t="n">
        <v>1.244</v>
      </c>
      <c r="G328" s="76" t="n">
        <v>0.9760000000000001</v>
      </c>
      <c r="H328" s="76" t="n">
        <v>1.254</v>
      </c>
      <c r="I328" s="76" t="n">
        <v>1.53225</v>
      </c>
      <c r="J328" s="76" t="n">
        <v>1.53225</v>
      </c>
      <c r="K328" s="76" t="n">
        <v>1.5325</v>
      </c>
      <c r="L328" s="76" t="n">
        <v>1.5325</v>
      </c>
      <c r="M328" s="76" t="n">
        <v>1.5325</v>
      </c>
      <c r="N328" s="76" t="n">
        <v>1.53275</v>
      </c>
      <c r="O328" s="76" t="n">
        <v>1.533</v>
      </c>
      <c r="P328" s="76" t="n">
        <v>1.53325</v>
      </c>
      <c r="Q328" s="76" t="n">
        <v>1.53325</v>
      </c>
      <c r="R328" s="76" t="n">
        <v>1.5335</v>
      </c>
      <c r="S328" s="76" t="n">
        <v>1.5335</v>
      </c>
      <c r="T328" s="76" t="n">
        <v>1.5335</v>
      </c>
      <c r="U328" s="76" t="n">
        <v>1.5335</v>
      </c>
      <c r="V328" s="76" t="n">
        <v>1.5335</v>
      </c>
      <c r="W328" s="76" t="n">
        <v>1.5335</v>
      </c>
      <c r="X328" s="76" t="n">
        <v>1.53375</v>
      </c>
      <c r="Y328" s="76" t="n">
        <v>1.53375</v>
      </c>
      <c r="Z328" s="76" t="n">
        <v>1.53375</v>
      </c>
      <c r="AA328" s="76" t="n">
        <v>1.53375</v>
      </c>
      <c r="AB328" s="76" t="n">
        <v>1.53375</v>
      </c>
      <c r="AC328" s="76" t="n">
        <v>1.53375</v>
      </c>
      <c r="AD328" s="76" t="n">
        <v>1.53375</v>
      </c>
      <c r="AE328" s="76" t="n">
        <v>1.53375</v>
      </c>
      <c r="AF328" s="76" t="n">
        <v>1.53375</v>
      </c>
      <c r="AG328" s="76" t="n">
        <v>1.53375</v>
      </c>
      <c r="AH328" s="76" t="n">
        <v>1.53375</v>
      </c>
      <c r="AI328" s="76" t="n">
        <v>1.53375</v>
      </c>
      <c r="AJ328" s="76" t="n">
        <v>1.53375</v>
      </c>
      <c r="AK328" s="76" t="n">
        <v>1.53375</v>
      </c>
      <c r="AL328" s="76" t="n">
        <v>1.53375</v>
      </c>
      <c r="AM328" s="76" t="n">
        <v>1.53375</v>
      </c>
      <c r="AN328" s="76" t="n">
        <v>1.53375</v>
      </c>
      <c r="AO328" s="76" t="n">
        <v>1.53375</v>
      </c>
      <c r="AP328" s="76" t="n">
        <v>1.53375</v>
      </c>
      <c r="AQ328" s="76" t="n">
        <v>1.53375</v>
      </c>
      <c r="AR328" s="76" t="n">
        <v>1.519676829268292</v>
      </c>
    </row>
    <row r="329">
      <c r="A329" s="76" t="inlineStr">
        <is>
          <t>MN</t>
        </is>
      </c>
      <c r="B329" s="76" t="inlineStr">
        <is>
          <t>Nuclear</t>
        </is>
      </c>
      <c r="C329" s="76" t="n">
        <v>0.902</v>
      </c>
      <c r="D329" s="76" t="n">
        <v>0.902</v>
      </c>
      <c r="E329" s="76" t="n">
        <v>0.902</v>
      </c>
      <c r="F329" s="76" t="n">
        <v>0.902</v>
      </c>
      <c r="G329" s="76" t="n">
        <v>0.902</v>
      </c>
      <c r="H329" s="76" t="n">
        <v>0.902</v>
      </c>
      <c r="I329" s="76" t="n">
        <v>0.902</v>
      </c>
      <c r="J329" s="76" t="n">
        <v>0.902</v>
      </c>
      <c r="K329" s="76" t="n">
        <v>0.902</v>
      </c>
      <c r="L329" s="76" t="n">
        <v>0.902</v>
      </c>
      <c r="M329" s="76" t="n">
        <v>0.902</v>
      </c>
      <c r="N329" s="76" t="n">
        <v>0.902</v>
      </c>
      <c r="O329" s="76" t="n">
        <v>0.902</v>
      </c>
      <c r="P329" s="76" t="n">
        <v>0.902</v>
      </c>
      <c r="Q329" s="76" t="n">
        <v>0.902</v>
      </c>
      <c r="R329" s="76" t="n">
        <v>0.902</v>
      </c>
      <c r="S329" s="76" t="n">
        <v>0.902</v>
      </c>
      <c r="T329" s="76" t="n">
        <v>0.902</v>
      </c>
      <c r="U329" s="76" t="n">
        <v>0.902</v>
      </c>
      <c r="V329" s="76" t="n">
        <v>0.902</v>
      </c>
      <c r="W329" s="76" t="n">
        <v>0.902</v>
      </c>
      <c r="X329" s="76" t="n">
        <v>0.902</v>
      </c>
      <c r="Y329" s="76" t="n">
        <v>0.902</v>
      </c>
      <c r="Z329" s="76" t="n">
        <v>0.902</v>
      </c>
      <c r="AA329" s="76" t="n">
        <v>0.902</v>
      </c>
      <c r="AB329" s="76" t="n">
        <v>0.902</v>
      </c>
      <c r="AC329" s="76" t="n">
        <v>0.902</v>
      </c>
      <c r="AD329" s="76" t="n">
        <v>0.902</v>
      </c>
      <c r="AE329" s="76" t="n">
        <v>0.902</v>
      </c>
      <c r="AF329" s="76" t="n">
        <v>0.902</v>
      </c>
      <c r="AG329" s="76" t="n">
        <v>0.902</v>
      </c>
      <c r="AH329" s="76" t="n">
        <v>0.858</v>
      </c>
      <c r="AI329" s="76" t="n">
        <v>0.8129999999999999</v>
      </c>
      <c r="AJ329" s="76" t="n">
        <v>0.769</v>
      </c>
      <c r="AK329" s="76" t="n">
        <v>0.724</v>
      </c>
      <c r="AL329" s="76" t="n">
        <v>0.68</v>
      </c>
      <c r="AM329" s="76" t="n">
        <v>0.68</v>
      </c>
      <c r="AN329" s="76" t="n">
        <v>0.68</v>
      </c>
      <c r="AO329" s="76" t="n">
        <v>0.68</v>
      </c>
      <c r="AP329" s="76" t="n">
        <v>0.68</v>
      </c>
      <c r="AQ329" s="76" t="n">
        <v>0.68</v>
      </c>
      <c r="AR329" s="76" t="n">
        <v>0.8586829268292684</v>
      </c>
    </row>
    <row r="330">
      <c r="A330" s="76" t="inlineStr">
        <is>
          <t>MN</t>
        </is>
      </c>
      <c r="B330" s="76" t="inlineStr">
        <is>
          <t>Other</t>
        </is>
      </c>
      <c r="C330" s="76" t="n">
        <v>0.19275</v>
      </c>
      <c r="D330" s="76" t="n">
        <v>0.1955</v>
      </c>
      <c r="E330" s="76" t="n">
        <v>0.1985</v>
      </c>
      <c r="F330" s="76" t="n">
        <v>0.199</v>
      </c>
      <c r="G330" s="76" t="n">
        <v>0.1995</v>
      </c>
      <c r="H330" s="76" t="n">
        <v>0.20525</v>
      </c>
      <c r="I330" s="76" t="n">
        <v>0.21025</v>
      </c>
      <c r="J330" s="76" t="n">
        <v>0.2125</v>
      </c>
      <c r="K330" s="76" t="n">
        <v>0.21425</v>
      </c>
      <c r="L330" s="76" t="n">
        <v>0.21475</v>
      </c>
      <c r="M330" s="76" t="n">
        <v>0.215</v>
      </c>
      <c r="N330" s="76" t="n">
        <v>0.215</v>
      </c>
      <c r="O330" s="76" t="n">
        <v>0.21525</v>
      </c>
      <c r="P330" s="76" t="n">
        <v>0.21525</v>
      </c>
      <c r="Q330" s="76" t="n">
        <v>0.21525</v>
      </c>
      <c r="R330" s="76" t="n">
        <v>0.215</v>
      </c>
      <c r="S330" s="76" t="n">
        <v>0.21475</v>
      </c>
      <c r="T330" s="76" t="n">
        <v>0.21525</v>
      </c>
      <c r="U330" s="76" t="n">
        <v>0.21575</v>
      </c>
      <c r="V330" s="76" t="n">
        <v>0.216</v>
      </c>
      <c r="W330" s="76" t="n">
        <v>0.21625</v>
      </c>
      <c r="X330" s="76" t="n">
        <v>0.21625</v>
      </c>
      <c r="Y330" s="76" t="n">
        <v>0.21625</v>
      </c>
      <c r="Z330" s="76" t="n">
        <v>0.21625</v>
      </c>
      <c r="AA330" s="76" t="n">
        <v>0.21625</v>
      </c>
      <c r="AB330" s="76" t="n">
        <v>0.21625</v>
      </c>
      <c r="AC330" s="76" t="n">
        <v>0.21625</v>
      </c>
      <c r="AD330" s="76" t="n">
        <v>0.21625</v>
      </c>
      <c r="AE330" s="76" t="n">
        <v>0.21625</v>
      </c>
      <c r="AF330" s="76" t="n">
        <v>0.21625</v>
      </c>
      <c r="AG330" s="76" t="n">
        <v>0.21625</v>
      </c>
      <c r="AH330" s="76" t="n">
        <v>0.21625</v>
      </c>
      <c r="AI330" s="76" t="n">
        <v>0.21625</v>
      </c>
      <c r="AJ330" s="76" t="n">
        <v>0.21625</v>
      </c>
      <c r="AK330" s="76" t="n">
        <v>0.21625</v>
      </c>
      <c r="AL330" s="76" t="n">
        <v>0.21625</v>
      </c>
      <c r="AM330" s="76" t="n">
        <v>0.21625</v>
      </c>
      <c r="AN330" s="76" t="n">
        <v>0.21625</v>
      </c>
      <c r="AO330" s="76" t="n">
        <v>0.21625</v>
      </c>
      <c r="AP330" s="76" t="n">
        <v>0.21625</v>
      </c>
      <c r="AQ330" s="76" t="n">
        <v>0.21625</v>
      </c>
      <c r="AR330" s="76" t="n">
        <v>0.2130731707317072</v>
      </c>
    </row>
    <row r="331">
      <c r="A331" s="76" t="inlineStr">
        <is>
          <t>MN</t>
        </is>
      </c>
      <c r="B331" s="76" t="inlineStr">
        <is>
          <t>Utility PV</t>
        </is>
      </c>
      <c r="C331" s="76" t="n"/>
      <c r="D331" s="76" t="n"/>
      <c r="E331" s="76" t="n"/>
      <c r="F331" s="76" t="n">
        <v>0.233</v>
      </c>
      <c r="G331" s="76" t="n">
        <v>0.233</v>
      </c>
      <c r="H331" s="76" t="n">
        <v>0.231</v>
      </c>
      <c r="I331" s="76" t="n">
        <v>0.2306666666666667</v>
      </c>
      <c r="J331" s="76" t="n">
        <v>0.2286666666666667</v>
      </c>
      <c r="K331" s="76" t="n">
        <v>0.2276666666666667</v>
      </c>
      <c r="L331" s="76" t="n">
        <v>0.2266666666666667</v>
      </c>
      <c r="M331" s="76" t="n">
        <v>0.2256666666666667</v>
      </c>
      <c r="N331" s="76" t="n">
        <v>0.2246666666666667</v>
      </c>
      <c r="O331" s="76" t="n">
        <v>0.2236666666666667</v>
      </c>
      <c r="P331" s="76" t="n">
        <v>0.2226666666666667</v>
      </c>
      <c r="Q331" s="76" t="n">
        <v>0.2213333333333334</v>
      </c>
      <c r="R331" s="76" t="n">
        <v>0.2185</v>
      </c>
      <c r="S331" s="76" t="n">
        <v>0.2175</v>
      </c>
      <c r="T331" s="76" t="n">
        <v>0.2165</v>
      </c>
      <c r="U331" s="76" t="n">
        <v>0.21525</v>
      </c>
      <c r="V331" s="76" t="n">
        <v>0.21425</v>
      </c>
      <c r="W331" s="76" t="n">
        <v>0.21325</v>
      </c>
      <c r="X331" s="76" t="n">
        <v>0.21225</v>
      </c>
      <c r="Y331" s="76" t="n">
        <v>0.21125</v>
      </c>
      <c r="Z331" s="76" t="n">
        <v>0.21775</v>
      </c>
      <c r="AA331" s="76" t="n">
        <v>0.219</v>
      </c>
      <c r="AB331" s="76" t="n">
        <v>0.21975</v>
      </c>
      <c r="AC331" s="76" t="n">
        <v>0.2185</v>
      </c>
      <c r="AD331" s="76" t="n">
        <v>0.21725</v>
      </c>
      <c r="AE331" s="76" t="n">
        <v>0.21625</v>
      </c>
      <c r="AF331" s="76" t="n">
        <v>0.21525</v>
      </c>
      <c r="AG331" s="76" t="n">
        <v>0.214</v>
      </c>
      <c r="AH331" s="76" t="n">
        <v>0.213</v>
      </c>
      <c r="AI331" s="76" t="n">
        <v>0.212</v>
      </c>
      <c r="AJ331" s="76" t="n">
        <v>0.211</v>
      </c>
      <c r="AK331" s="76" t="n">
        <v>0.21</v>
      </c>
      <c r="AL331" s="76" t="n">
        <v>0.20875</v>
      </c>
      <c r="AM331" s="76" t="n">
        <v>0.21475</v>
      </c>
      <c r="AN331" s="76" t="n">
        <v>0.21725</v>
      </c>
      <c r="AO331" s="76" t="n">
        <v>0.219</v>
      </c>
      <c r="AP331" s="76" t="n">
        <v>0.21975</v>
      </c>
      <c r="AQ331" s="76" t="n">
        <v>0.221</v>
      </c>
      <c r="AR331" s="76" t="n">
        <v>0.2181323529411765</v>
      </c>
    </row>
    <row r="332">
      <c r="A332" s="76" t="inlineStr">
        <is>
          <t>MN</t>
        </is>
      </c>
      <c r="B332" s="76" t="inlineStr">
        <is>
          <t>Wind offshore</t>
        </is>
      </c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  <c r="AA332" s="76" t="n"/>
      <c r="AB332" s="76" t="n"/>
      <c r="AC332" s="76" t="n"/>
      <c r="AD332" s="76" t="n"/>
      <c r="AE332" s="76" t="n"/>
      <c r="AF332" s="76" t="n"/>
      <c r="AG332" s="76" t="n"/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</row>
    <row r="333">
      <c r="A333" s="76" t="inlineStr">
        <is>
          <t>MN</t>
        </is>
      </c>
      <c r="B333" s="76" t="inlineStr">
        <is>
          <t>Wind onshore</t>
        </is>
      </c>
      <c r="C333" s="76" t="n">
        <v>0.3185</v>
      </c>
      <c r="D333" s="76" t="n">
        <v>0.3315</v>
      </c>
      <c r="E333" s="76" t="n">
        <v>0.34</v>
      </c>
      <c r="F333" s="76" t="n">
        <v>0.35375</v>
      </c>
      <c r="G333" s="76" t="n">
        <v>0.355</v>
      </c>
      <c r="H333" s="76" t="n">
        <v>0.35925</v>
      </c>
      <c r="I333" s="76" t="n">
        <v>0.362</v>
      </c>
      <c r="J333" s="76" t="n">
        <v>0.36325</v>
      </c>
      <c r="K333" s="76" t="n">
        <v>0.364</v>
      </c>
      <c r="L333" s="76" t="n">
        <v>0.36875</v>
      </c>
      <c r="M333" s="76" t="n">
        <v>0.37275</v>
      </c>
      <c r="N333" s="76" t="n">
        <v>0.37575</v>
      </c>
      <c r="O333" s="76" t="n">
        <v>0.377</v>
      </c>
      <c r="P333" s="76" t="n">
        <v>0.3805000000000001</v>
      </c>
      <c r="Q333" s="76" t="n">
        <v>0.3825</v>
      </c>
      <c r="R333" s="76" t="n">
        <v>0.386</v>
      </c>
      <c r="S333" s="76" t="n">
        <v>0.3887499999999999</v>
      </c>
      <c r="T333" s="76" t="n">
        <v>0.3865</v>
      </c>
      <c r="U333" s="76" t="n">
        <v>0.3845</v>
      </c>
      <c r="V333" s="76" t="n">
        <v>0.38725</v>
      </c>
      <c r="W333" s="76" t="n">
        <v>0.386</v>
      </c>
      <c r="X333" s="76" t="n">
        <v>0.397</v>
      </c>
      <c r="Y333" s="76" t="n">
        <v>0.4025</v>
      </c>
      <c r="Z333" s="76" t="n">
        <v>0.40175</v>
      </c>
      <c r="AA333" s="76" t="n">
        <v>0.4007500000000001</v>
      </c>
      <c r="AB333" s="76" t="n">
        <v>0.3995</v>
      </c>
      <c r="AC333" s="76" t="n">
        <v>0.409</v>
      </c>
      <c r="AD333" s="76" t="n">
        <v>0.41475</v>
      </c>
      <c r="AE333" s="76" t="n">
        <v>0.41875</v>
      </c>
      <c r="AF333" s="76" t="n">
        <v>0.4215</v>
      </c>
      <c r="AG333" s="76" t="n">
        <v>0.4235</v>
      </c>
      <c r="AH333" s="76" t="n">
        <v>0.43325</v>
      </c>
      <c r="AI333" s="76" t="n">
        <v>0.44275</v>
      </c>
      <c r="AJ333" s="76" t="n">
        <v>0.45325</v>
      </c>
      <c r="AK333" s="76" t="n">
        <v>0.4635</v>
      </c>
      <c r="AL333" s="76" t="n">
        <v>0.4745</v>
      </c>
      <c r="AM333" s="76" t="n">
        <v>0.475</v>
      </c>
      <c r="AN333" s="76" t="n">
        <v>0.47575</v>
      </c>
      <c r="AO333" s="76" t="n">
        <v>0.4765</v>
      </c>
      <c r="AP333" s="76" t="n">
        <v>0.477</v>
      </c>
      <c r="AQ333" s="76" t="n">
        <v>0.47775</v>
      </c>
      <c r="AR333" s="76" t="n">
        <v>0.4015060975609757</v>
      </c>
    </row>
    <row r="334">
      <c r="A334" s="76" t="inlineStr">
        <is>
          <t>MO</t>
        </is>
      </c>
      <c r="B334" s="76" t="inlineStr">
        <is>
          <t>MO</t>
        </is>
      </c>
      <c r="C334" s="76" t="n">
        <v>0.239</v>
      </c>
      <c r="D334" s="76" t="n">
        <v>0.2262777777777777</v>
      </c>
      <c r="E334" s="76" t="n">
        <v>0.2178611111111111</v>
      </c>
      <c r="F334" s="76" t="n">
        <v>0.2242820512820513</v>
      </c>
      <c r="G334" s="76" t="n">
        <v>0.2276578947368421</v>
      </c>
      <c r="H334" s="76" t="n">
        <v>0.2449047619047619</v>
      </c>
      <c r="I334" s="76" t="n">
        <v>0.2644761904761904</v>
      </c>
      <c r="J334" s="76" t="n">
        <v>0.252</v>
      </c>
      <c r="K334" s="76" t="n">
        <v>0.250909090909091</v>
      </c>
      <c r="L334" s="76" t="n">
        <v>0.2577499999999999</v>
      </c>
      <c r="M334" s="76" t="n">
        <v>0.2510697674418604</v>
      </c>
      <c r="N334" s="76" t="n">
        <v>0.2635106382978724</v>
      </c>
      <c r="O334" s="76" t="n">
        <v>0.2591063829787234</v>
      </c>
      <c r="P334" s="76" t="n">
        <v>0.2553617021276596</v>
      </c>
      <c r="Q334" s="76" t="n">
        <v>0.2511276595744681</v>
      </c>
      <c r="R334" s="76" t="n">
        <v>0.23238</v>
      </c>
      <c r="S334" s="76" t="n">
        <v>0.22292</v>
      </c>
      <c r="T334" s="76" t="n">
        <v>0.2128823529411764</v>
      </c>
      <c r="U334" s="76" t="n">
        <v>0.2090588235294117</v>
      </c>
      <c r="V334" s="76" t="n">
        <v>0.2042745098039216</v>
      </c>
      <c r="W334" s="76" t="n">
        <v>0.1995686274509803</v>
      </c>
      <c r="X334" s="76" t="n">
        <v>0.1954705882352941</v>
      </c>
      <c r="Y334" s="76" t="n">
        <v>0.1859019607843137</v>
      </c>
      <c r="Z334" s="76" t="n">
        <v>0.1798076923076923</v>
      </c>
      <c r="AA334" s="76" t="n">
        <v>0.1788269230769231</v>
      </c>
      <c r="AB334" s="76" t="n">
        <v>0.1637142857142857</v>
      </c>
      <c r="AC334" s="76" t="n">
        <v>0.1630612244897959</v>
      </c>
      <c r="AD334" s="76" t="n">
        <v>0.1624489795918367</v>
      </c>
      <c r="AE334" s="76" t="n">
        <v>0.1620612244897959</v>
      </c>
      <c r="AF334" s="76" t="n">
        <v>0.1616734693877551</v>
      </c>
      <c r="AG334" s="76" t="n">
        <v>0.1646458333333334</v>
      </c>
      <c r="AH334" s="76" t="n">
        <v>0.1649791666666666</v>
      </c>
      <c r="AI334" s="76" t="n">
        <v>0.1650416666666667</v>
      </c>
      <c r="AJ334" s="76" t="n">
        <v>0.1650208333333333</v>
      </c>
      <c r="AK334" s="76" t="n">
        <v>0.1649583333333333</v>
      </c>
      <c r="AL334" s="76" t="n">
        <v>0.1492340425531915</v>
      </c>
      <c r="AM334" s="76" t="n">
        <v>0.1484255319148936</v>
      </c>
      <c r="AN334" s="76" t="n">
        <v>0.1478936170212766</v>
      </c>
      <c r="AO334" s="76" t="n">
        <v>0.1474255319148936</v>
      </c>
      <c r="AP334" s="76" t="n">
        <v>0.1469148936170213</v>
      </c>
      <c r="AQ334" s="76" t="n">
        <v>0.1494347826086956</v>
      </c>
      <c r="AR334" s="76" t="n">
        <v>0.1991113445378151</v>
      </c>
    </row>
    <row r="335">
      <c r="A335" s="76" t="inlineStr">
        <is>
          <t>MO</t>
        </is>
      </c>
      <c r="B335" s="76" t="inlineStr">
        <is>
          <t>Battery</t>
        </is>
      </c>
      <c r="C335" s="76" t="n"/>
      <c r="D335" s="76" t="n">
        <v>-0.044</v>
      </c>
      <c r="E335" s="76" t="n">
        <v>-0.044</v>
      </c>
      <c r="F335" s="76" t="n">
        <v>-0.04</v>
      </c>
      <c r="G335" s="76" t="n">
        <v>-0.035</v>
      </c>
      <c r="H335" s="76" t="n">
        <v>-0.044</v>
      </c>
      <c r="I335" s="76" t="n">
        <v>-0.052</v>
      </c>
      <c r="J335" s="76" t="n">
        <v>-0.0355</v>
      </c>
      <c r="K335" s="76" t="n">
        <v>-0.041</v>
      </c>
      <c r="L335" s="76" t="n">
        <v>-0.0405</v>
      </c>
      <c r="M335" s="76" t="n">
        <v>-0.0395</v>
      </c>
      <c r="N335" s="76" t="n">
        <v>-0.038</v>
      </c>
      <c r="O335" s="76" t="n">
        <v>-0.0365</v>
      </c>
      <c r="P335" s="76" t="n">
        <v>-0.0375</v>
      </c>
      <c r="Q335" s="76" t="n">
        <v>-0.0385</v>
      </c>
      <c r="R335" s="76" t="n">
        <v>-0.04525</v>
      </c>
      <c r="S335" s="76" t="n">
        <v>-0.04625</v>
      </c>
      <c r="T335" s="76" t="n">
        <v>-0.0568</v>
      </c>
      <c r="U335" s="76" t="n">
        <v>-0.06279999999999999</v>
      </c>
      <c r="V335" s="76" t="n">
        <v>-0.0646</v>
      </c>
      <c r="W335" s="76" t="n">
        <v>-0.0648</v>
      </c>
      <c r="X335" s="76" t="n">
        <v>-0.06420000000000001</v>
      </c>
      <c r="Y335" s="76" t="n">
        <v>-0.0636</v>
      </c>
      <c r="Z335" s="76" t="n">
        <v>-0.06466666666666666</v>
      </c>
      <c r="AA335" s="76" t="n">
        <v>-0.06366666666666666</v>
      </c>
      <c r="AB335" s="76" t="n">
        <v>-0.06233333333333333</v>
      </c>
      <c r="AC335" s="76" t="n">
        <v>-0.06633333333333334</v>
      </c>
      <c r="AD335" s="76" t="n">
        <v>-0.06900000000000001</v>
      </c>
      <c r="AE335" s="76" t="n">
        <v>-0.07050000000000001</v>
      </c>
      <c r="AF335" s="76" t="n">
        <v>-0.07183333333333335</v>
      </c>
      <c r="AG335" s="76" t="n">
        <v>-0.07300000000000001</v>
      </c>
      <c r="AH335" s="76" t="n">
        <v>-0.07083333333333335</v>
      </c>
      <c r="AI335" s="76" t="n">
        <v>-0.06866666666666667</v>
      </c>
      <c r="AJ335" s="76" t="n">
        <v>-0.06666666666666667</v>
      </c>
      <c r="AK335" s="76" t="n">
        <v>-0.0645</v>
      </c>
      <c r="AL335" s="76" t="n">
        <v>-0.062</v>
      </c>
      <c r="AM335" s="76" t="n">
        <v>-0.06366666666666666</v>
      </c>
      <c r="AN335" s="76" t="n">
        <v>-0.06283333333333334</v>
      </c>
      <c r="AO335" s="76" t="n">
        <v>-0.0615</v>
      </c>
      <c r="AP335" s="76" t="n">
        <v>-0.06066666666666667</v>
      </c>
      <c r="AQ335" s="76" t="n">
        <v>-0.05966666666666667</v>
      </c>
      <c r="AR335" s="76" t="n">
        <v>-0.06081547619047621</v>
      </c>
    </row>
    <row r="336">
      <c r="A336" s="76" t="inlineStr">
        <is>
          <t>MO</t>
        </is>
      </c>
      <c r="B336" s="76" t="inlineStr">
        <is>
          <t>Biopower</t>
        </is>
      </c>
      <c r="C336" s="76" t="n">
        <v>0.522</v>
      </c>
      <c r="D336" s="76" t="n">
        <v>0.522</v>
      </c>
      <c r="E336" s="76" t="n">
        <v>0.522</v>
      </c>
      <c r="F336" s="76" t="n">
        <v>0.522</v>
      </c>
      <c r="G336" s="76" t="n">
        <v>0.522</v>
      </c>
      <c r="H336" s="76" t="n">
        <v>0.522</v>
      </c>
      <c r="I336" s="76" t="n">
        <v>0.522</v>
      </c>
      <c r="J336" s="76" t="n">
        <v>0.522</v>
      </c>
      <c r="K336" s="76" t="n">
        <v>0.522</v>
      </c>
      <c r="L336" s="76" t="n">
        <v>0.522</v>
      </c>
      <c r="M336" s="76" t="n">
        <v>0.522</v>
      </c>
      <c r="N336" s="76" t="n">
        <v>0.522</v>
      </c>
      <c r="O336" s="76" t="n">
        <v>0.522</v>
      </c>
      <c r="P336" s="76" t="n">
        <v>0.522</v>
      </c>
      <c r="Q336" s="76" t="n">
        <v>0.522</v>
      </c>
      <c r="R336" s="76" t="n">
        <v>0.522</v>
      </c>
      <c r="S336" s="76" t="n">
        <v>0.522</v>
      </c>
      <c r="T336" s="76" t="n">
        <v>0.522</v>
      </c>
      <c r="U336" s="76" t="n">
        <v>0.522</v>
      </c>
      <c r="V336" s="76" t="n">
        <v>0.522</v>
      </c>
      <c r="W336" s="76" t="n">
        <v>0.522</v>
      </c>
      <c r="X336" s="76" t="n">
        <v>0.522</v>
      </c>
      <c r="Y336" s="76" t="n">
        <v>0.522</v>
      </c>
      <c r="Z336" s="76" t="n">
        <v>0.50925</v>
      </c>
      <c r="AA336" s="76" t="n">
        <v>0.49625</v>
      </c>
      <c r="AB336" s="76" t="n">
        <v>0.4835</v>
      </c>
      <c r="AC336" s="76" t="n">
        <v>0.49125</v>
      </c>
      <c r="AD336" s="76" t="n">
        <v>0.499</v>
      </c>
      <c r="AE336" s="76" t="n">
        <v>0.50675</v>
      </c>
      <c r="AF336" s="76" t="n">
        <v>0.5145</v>
      </c>
      <c r="AG336" s="76" t="n">
        <v>0.522</v>
      </c>
      <c r="AH336" s="76" t="n">
        <v>0.5145</v>
      </c>
      <c r="AI336" s="76" t="n">
        <v>0.50675</v>
      </c>
      <c r="AJ336" s="76" t="n">
        <v>0.499</v>
      </c>
      <c r="AK336" s="76" t="n">
        <v>0.49125</v>
      </c>
      <c r="AL336" s="76" t="n">
        <v>0.4835</v>
      </c>
      <c r="AM336" s="76" t="n">
        <v>0.4675</v>
      </c>
      <c r="AN336" s="76" t="n">
        <v>0.451</v>
      </c>
      <c r="AO336" s="76" t="n">
        <v>0.43475</v>
      </c>
      <c r="AP336" s="76" t="n">
        <v>0.4185</v>
      </c>
      <c r="AQ336" s="76" t="n">
        <v>0.402</v>
      </c>
      <c r="AR336" s="76" t="n">
        <v>0.5043812499999997</v>
      </c>
    </row>
    <row r="337">
      <c r="A337" s="76" t="inlineStr">
        <is>
          <t>MO</t>
        </is>
      </c>
      <c r="B337" s="76" t="inlineStr">
        <is>
          <t>Coal</t>
        </is>
      </c>
      <c r="C337" s="76" t="n">
        <v>0.7678</v>
      </c>
      <c r="D337" s="76" t="n">
        <v>0.6786</v>
      </c>
      <c r="E337" s="76" t="n">
        <v>0.5931999999999998</v>
      </c>
      <c r="F337" s="76" t="n">
        <v>0.624</v>
      </c>
      <c r="G337" s="76" t="n">
        <v>0.8234999999999999</v>
      </c>
      <c r="H337" s="76" t="n">
        <v>0.772</v>
      </c>
      <c r="I337" s="76" t="n">
        <v>0.715</v>
      </c>
      <c r="J337" s="76" t="n">
        <v>0.748</v>
      </c>
      <c r="K337" s="76" t="n">
        <v>0.83325</v>
      </c>
      <c r="L337" s="76" t="n">
        <v>0.8275</v>
      </c>
      <c r="M337" s="76" t="n">
        <v>0.8113333333333334</v>
      </c>
      <c r="N337" s="76" t="n">
        <v>0.8140000000000001</v>
      </c>
      <c r="O337" s="76" t="n">
        <v>0.8166666666666668</v>
      </c>
      <c r="P337" s="76" t="n">
        <v>0.8076666666666666</v>
      </c>
      <c r="Q337" s="76" t="n">
        <v>0.7933333333333333</v>
      </c>
      <c r="R337" s="76" t="n">
        <v>0.7919999999999999</v>
      </c>
      <c r="S337" s="76" t="n">
        <v>0.7903333333333333</v>
      </c>
      <c r="T337" s="76" t="n">
        <v>0.762</v>
      </c>
      <c r="U337" s="76" t="n">
        <v>0.7333333333333334</v>
      </c>
      <c r="V337" s="76" t="n">
        <v>0.6826666666666666</v>
      </c>
      <c r="W337" s="76" t="n">
        <v>0.6313333333333333</v>
      </c>
      <c r="X337" s="76" t="n">
        <v>0.5670000000000001</v>
      </c>
      <c r="Y337" s="76" t="n">
        <v>0.409</v>
      </c>
      <c r="Z337" s="76" t="n">
        <v>0.409</v>
      </c>
      <c r="AA337" s="76" t="n">
        <v>0.409</v>
      </c>
      <c r="AB337" s="76" t="n"/>
      <c r="AC337" s="76" t="n"/>
      <c r="AD337" s="76" t="n"/>
      <c r="AE337" s="76" t="n"/>
      <c r="AF337" s="76" t="n"/>
      <c r="AG337" s="76" t="n"/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>
        <v>0.7065280898876404</v>
      </c>
    </row>
    <row r="338">
      <c r="A338" s="76" t="inlineStr">
        <is>
          <t>MO</t>
        </is>
      </c>
      <c r="B338" s="76" t="inlineStr">
        <is>
          <t>CSP</t>
        </is>
      </c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  <c r="AA338" s="76" t="n"/>
      <c r="AB338" s="76" t="n"/>
      <c r="AC338" s="76" t="n"/>
      <c r="AD338" s="76" t="n"/>
      <c r="AE338" s="76" t="n"/>
      <c r="AF338" s="76" t="n"/>
      <c r="AG338" s="76" t="n"/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</row>
    <row r="339">
      <c r="A339" s="76" t="inlineStr">
        <is>
          <t>MO</t>
        </is>
      </c>
      <c r="B339" s="76" t="inlineStr">
        <is>
          <t>Dist PV</t>
        </is>
      </c>
      <c r="C339" s="76" t="n">
        <v>0.1685</v>
      </c>
      <c r="D339" s="76" t="n">
        <v>0.1693333333333333</v>
      </c>
      <c r="E339" s="76" t="n">
        <v>0.1693333333333333</v>
      </c>
      <c r="F339" s="76" t="n">
        <v>0.1693333333333333</v>
      </c>
      <c r="G339" s="76" t="n">
        <v>0.1693333333333333</v>
      </c>
      <c r="H339" s="76" t="n">
        <v>0.1693333333333333</v>
      </c>
      <c r="I339" s="76" t="n">
        <v>0.1693333333333333</v>
      </c>
      <c r="J339" s="76" t="n">
        <v>0.1693333333333333</v>
      </c>
      <c r="K339" s="76" t="n">
        <v>0.1693333333333333</v>
      </c>
      <c r="L339" s="76" t="n">
        <v>0.1693333333333333</v>
      </c>
      <c r="M339" s="76" t="n">
        <v>0.1693333333333333</v>
      </c>
      <c r="N339" s="76" t="n">
        <v>0.1693333333333333</v>
      </c>
      <c r="O339" s="76" t="n">
        <v>0.1693333333333333</v>
      </c>
      <c r="P339" s="76" t="n">
        <v>0.1693333333333333</v>
      </c>
      <c r="Q339" s="76" t="n">
        <v>0.1693333333333333</v>
      </c>
      <c r="R339" s="76" t="n">
        <v>0.1693333333333333</v>
      </c>
      <c r="S339" s="76" t="n">
        <v>0.1693333333333333</v>
      </c>
      <c r="T339" s="76" t="n">
        <v>0.1693333333333333</v>
      </c>
      <c r="U339" s="76" t="n">
        <v>0.1693333333333333</v>
      </c>
      <c r="V339" s="76" t="n">
        <v>0.1693333333333333</v>
      </c>
      <c r="W339" s="76" t="n">
        <v>0.1693333333333333</v>
      </c>
      <c r="X339" s="76" t="n">
        <v>0.1693333333333333</v>
      </c>
      <c r="Y339" s="76" t="n">
        <v>0.1693333333333333</v>
      </c>
      <c r="Z339" s="76" t="n">
        <v>0.1681666666666667</v>
      </c>
      <c r="AA339" s="76" t="n">
        <v>0.1671666666666667</v>
      </c>
      <c r="AB339" s="76" t="n">
        <v>0.1663333333333333</v>
      </c>
      <c r="AC339" s="76" t="n">
        <v>0.1663333333333333</v>
      </c>
      <c r="AD339" s="76" t="n">
        <v>0.1663333333333333</v>
      </c>
      <c r="AE339" s="76" t="n">
        <v>0.1663333333333333</v>
      </c>
      <c r="AF339" s="76" t="n">
        <v>0.1663333333333333</v>
      </c>
      <c r="AG339" s="76" t="n">
        <v>0.1663333333333333</v>
      </c>
      <c r="AH339" s="76" t="n">
        <v>0.1671666666666667</v>
      </c>
      <c r="AI339" s="76" t="n">
        <v>0.1678333333333334</v>
      </c>
      <c r="AJ339" s="76" t="n">
        <v>0.1683333333333333</v>
      </c>
      <c r="AK339" s="76" t="n">
        <v>0.1688333333333334</v>
      </c>
      <c r="AL339" s="76" t="n">
        <v>0.1693333333333333</v>
      </c>
      <c r="AM339" s="76" t="n">
        <v>0.1693333333333333</v>
      </c>
      <c r="AN339" s="76" t="n">
        <v>0.1693333333333333</v>
      </c>
      <c r="AO339" s="76" t="n">
        <v>0.1693333333333333</v>
      </c>
      <c r="AP339" s="76" t="n">
        <v>0.1693333333333333</v>
      </c>
      <c r="AQ339" s="76" t="n">
        <v>0.1693333333333333</v>
      </c>
      <c r="AR339" s="76" t="n">
        <v>0.1686680327868852</v>
      </c>
    </row>
    <row r="340">
      <c r="A340" s="76" t="inlineStr">
        <is>
          <t>MO</t>
        </is>
      </c>
      <c r="B340" s="76" t="inlineStr">
        <is>
          <t>Gas CCGT</t>
        </is>
      </c>
      <c r="C340" s="76" t="n">
        <v>0.016</v>
      </c>
      <c r="D340" s="76" t="n">
        <v>0.09425</v>
      </c>
      <c r="E340" s="76" t="n">
        <v>0.17275</v>
      </c>
      <c r="F340" s="76" t="n">
        <v>0.11125</v>
      </c>
      <c r="G340" s="76" t="n">
        <v>0.0495</v>
      </c>
      <c r="H340" s="76" t="n">
        <v>0.27675</v>
      </c>
      <c r="I340" s="76" t="n">
        <v>0.5035000000000001</v>
      </c>
      <c r="J340" s="76" t="n">
        <v>0.416</v>
      </c>
      <c r="K340" s="76" t="n">
        <v>0.3285</v>
      </c>
      <c r="L340" s="76" t="n">
        <v>0.407</v>
      </c>
      <c r="M340" s="76" t="n">
        <v>0.4855</v>
      </c>
      <c r="N340" s="76" t="n">
        <v>0.43675</v>
      </c>
      <c r="O340" s="76" t="n">
        <v>0.388</v>
      </c>
      <c r="P340" s="76" t="n">
        <v>0.35225</v>
      </c>
      <c r="Q340" s="76" t="n">
        <v>0.31625</v>
      </c>
      <c r="R340" s="76" t="n">
        <v>0.20725</v>
      </c>
      <c r="S340" s="76" t="n">
        <v>0.098</v>
      </c>
      <c r="T340" s="76" t="n">
        <v>0.09125</v>
      </c>
      <c r="U340" s="76" t="n">
        <v>0.08474999999999999</v>
      </c>
      <c r="V340" s="76" t="n">
        <v>0.06675</v>
      </c>
      <c r="W340" s="76" t="n">
        <v>0.049</v>
      </c>
      <c r="X340" s="76" t="n">
        <v>0.05425000000000001</v>
      </c>
      <c r="Y340" s="76" t="n">
        <v>0.0595</v>
      </c>
      <c r="Z340" s="76" t="n">
        <v>0.0615</v>
      </c>
      <c r="AA340" s="76" t="n">
        <v>0.0635</v>
      </c>
      <c r="AB340" s="76" t="n">
        <v>0.0655</v>
      </c>
      <c r="AC340" s="76" t="n">
        <v>0.05775</v>
      </c>
      <c r="AD340" s="76" t="n">
        <v>0.0495</v>
      </c>
      <c r="AE340" s="76" t="n">
        <v>0.042</v>
      </c>
      <c r="AF340" s="76" t="n">
        <v>0.03375</v>
      </c>
      <c r="AG340" s="76" t="n">
        <v>0.02575</v>
      </c>
      <c r="AH340" s="76" t="n">
        <v>0.026</v>
      </c>
      <c r="AI340" s="76" t="n">
        <v>0.02625</v>
      </c>
      <c r="AJ340" s="76" t="n">
        <v>0.02625</v>
      </c>
      <c r="AK340" s="76" t="n">
        <v>0.02625</v>
      </c>
      <c r="AL340" s="76" t="n">
        <v>0.0265</v>
      </c>
      <c r="AM340" s="76" t="n">
        <v>0.02675</v>
      </c>
      <c r="AN340" s="76" t="n">
        <v>0.02725</v>
      </c>
      <c r="AO340" s="76" t="n">
        <v>0.02775</v>
      </c>
      <c r="AP340" s="76" t="n">
        <v>0.02825</v>
      </c>
      <c r="AQ340" s="76" t="n">
        <v>0.0285</v>
      </c>
      <c r="AR340" s="76" t="n">
        <v>0.1398536585365854</v>
      </c>
    </row>
    <row r="341">
      <c r="A341" s="76" t="inlineStr">
        <is>
          <t>MO</t>
        </is>
      </c>
      <c r="B341" s="76" t="inlineStr">
        <is>
          <t>Gas CT</t>
        </is>
      </c>
      <c r="C341" s="76" t="n">
        <v>0.0026</v>
      </c>
      <c r="D341" s="76" t="n">
        <v>0.0032</v>
      </c>
      <c r="E341" s="76" t="n">
        <v>0.0038</v>
      </c>
      <c r="F341" s="76" t="n">
        <v>0.0056</v>
      </c>
      <c r="G341" s="76" t="n">
        <v>0.0062</v>
      </c>
      <c r="H341" s="76" t="n">
        <v>0.0175</v>
      </c>
      <c r="I341" s="76" t="n">
        <v>0.02066666666666667</v>
      </c>
      <c r="J341" s="76" t="n">
        <v>0.01566666666666667</v>
      </c>
      <c r="K341" s="76" t="n">
        <v>0.012</v>
      </c>
      <c r="L341" s="76" t="n">
        <v>0.0135</v>
      </c>
      <c r="M341" s="76" t="n">
        <v>0.0155</v>
      </c>
      <c r="N341" s="76" t="n">
        <v>0.01183333333333333</v>
      </c>
      <c r="O341" s="76" t="n">
        <v>0.008499999999999999</v>
      </c>
      <c r="P341" s="76" t="n">
        <v>0.009333333333333334</v>
      </c>
      <c r="Q341" s="76" t="n">
        <v>0.01033333333333333</v>
      </c>
      <c r="R341" s="76" t="n">
        <v>0.008166666666666668</v>
      </c>
      <c r="S341" s="76" t="n">
        <v>0.005999999999999999</v>
      </c>
      <c r="T341" s="76" t="n">
        <v>0.004666666666666667</v>
      </c>
      <c r="U341" s="76" t="n">
        <v>0.003666666666666667</v>
      </c>
      <c r="V341" s="76" t="n">
        <v>0.002</v>
      </c>
      <c r="W341" s="76" t="n">
        <v>0.0006666666666666666</v>
      </c>
      <c r="X341" s="76" t="n">
        <v>0.0005</v>
      </c>
      <c r="Y341" s="76" t="n">
        <v>0.0001666666666666667</v>
      </c>
      <c r="Z341" s="76" t="n">
        <v>0.0001666666666666667</v>
      </c>
      <c r="AA341" s="76" t="n">
        <v>0.0001666666666666667</v>
      </c>
      <c r="AB341" s="76" t="n">
        <v>0.0003333333333333333</v>
      </c>
      <c r="AC341" s="76" t="n">
        <v>0.0003333333333333333</v>
      </c>
      <c r="AD341" s="76" t="n">
        <v>0.0003333333333333333</v>
      </c>
      <c r="AE341" s="76" t="n">
        <v>0.0003333333333333333</v>
      </c>
      <c r="AF341" s="76" t="n">
        <v>0.0003333333333333333</v>
      </c>
      <c r="AG341" s="76" t="n">
        <v>0.0003333333333333333</v>
      </c>
      <c r="AH341" s="76" t="n">
        <v>0.0003333333333333333</v>
      </c>
      <c r="AI341" s="76" t="n">
        <v>0.0001666666666666667</v>
      </c>
      <c r="AJ341" s="76" t="n">
        <v>0.0001666666666666667</v>
      </c>
      <c r="AK341" s="76" t="n">
        <v>0</v>
      </c>
      <c r="AL341" s="76" t="n">
        <v>0</v>
      </c>
      <c r="AM341" s="76" t="n">
        <v>0</v>
      </c>
      <c r="AN341" s="76" t="n">
        <v>0</v>
      </c>
      <c r="AO341" s="76" t="n">
        <v>0</v>
      </c>
      <c r="AP341" s="76" t="n">
        <v>0</v>
      </c>
      <c r="AQ341" s="76" t="n">
        <v>0</v>
      </c>
      <c r="AR341" s="76" t="n">
        <v>0.004518672199170121</v>
      </c>
    </row>
    <row r="342">
      <c r="A342" s="76" t="inlineStr">
        <is>
          <t>MO</t>
        </is>
      </c>
      <c r="B342" s="76" t="inlineStr">
        <is>
          <t>Geothermal</t>
        </is>
      </c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  <c r="AA342" s="76" t="n"/>
      <c r="AB342" s="76" t="n"/>
      <c r="AC342" s="76" t="n"/>
      <c r="AD342" s="76" t="n"/>
      <c r="AE342" s="76" t="n"/>
      <c r="AF342" s="76" t="n"/>
      <c r="AG342" s="76" t="n"/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</row>
    <row r="343">
      <c r="A343" s="76" t="inlineStr">
        <is>
          <t>MO</t>
        </is>
      </c>
      <c r="B343" s="76" t="inlineStr">
        <is>
          <t>Hydro</t>
        </is>
      </c>
      <c r="C343" s="76" t="n">
        <v>0.1566</v>
      </c>
      <c r="D343" s="76" t="n">
        <v>0.1182</v>
      </c>
      <c r="E343" s="76" t="n">
        <v>0.07959999999999999</v>
      </c>
      <c r="F343" s="76" t="n">
        <v>0.0736</v>
      </c>
      <c r="G343" s="76" t="n">
        <v>0.06739999999999999</v>
      </c>
      <c r="H343" s="76" t="n">
        <v>0.09179999999999999</v>
      </c>
      <c r="I343" s="76" t="n">
        <v>0.1162</v>
      </c>
      <c r="J343" s="76" t="n">
        <v>0.1162</v>
      </c>
      <c r="K343" s="76" t="n">
        <v>0.1162</v>
      </c>
      <c r="L343" s="76" t="n">
        <v>0.1178</v>
      </c>
      <c r="M343" s="76" t="n">
        <v>0.1196</v>
      </c>
      <c r="N343" s="76" t="n">
        <v>0.1196</v>
      </c>
      <c r="O343" s="76" t="n">
        <v>0.1196</v>
      </c>
      <c r="P343" s="76" t="n">
        <v>0.118</v>
      </c>
      <c r="Q343" s="76" t="n">
        <v>0.1162</v>
      </c>
      <c r="R343" s="76" t="n">
        <v>0.1146</v>
      </c>
      <c r="S343" s="76" t="n">
        <v>0.113</v>
      </c>
      <c r="T343" s="76" t="n">
        <v>0.1078</v>
      </c>
      <c r="U343" s="76" t="n">
        <v>0.1026</v>
      </c>
      <c r="V343" s="76" t="n">
        <v>0.09920000000000001</v>
      </c>
      <c r="W343" s="76" t="n">
        <v>0.096</v>
      </c>
      <c r="X343" s="76" t="n">
        <v>0.095</v>
      </c>
      <c r="Y343" s="76" t="n">
        <v>0.094</v>
      </c>
      <c r="Z343" s="76" t="n">
        <v>0.09659999999999999</v>
      </c>
      <c r="AA343" s="76" t="n">
        <v>0.0994</v>
      </c>
      <c r="AB343" s="76" t="n">
        <v>0.1016</v>
      </c>
      <c r="AC343" s="76" t="n">
        <v>0.1014</v>
      </c>
      <c r="AD343" s="76" t="n">
        <v>0.1008</v>
      </c>
      <c r="AE343" s="76" t="n">
        <v>0.1004</v>
      </c>
      <c r="AF343" s="76" t="n">
        <v>0.1</v>
      </c>
      <c r="AG343" s="76" t="n">
        <v>0.0994</v>
      </c>
      <c r="AH343" s="76" t="n">
        <v>0.1</v>
      </c>
      <c r="AI343" s="76" t="n">
        <v>0.1002</v>
      </c>
      <c r="AJ343" s="76" t="n">
        <v>0.1006</v>
      </c>
      <c r="AK343" s="76" t="n">
        <v>0.1008</v>
      </c>
      <c r="AL343" s="76" t="n">
        <v>0.101</v>
      </c>
      <c r="AM343" s="76" t="n">
        <v>0.1034</v>
      </c>
      <c r="AN343" s="76" t="n">
        <v>0.1056</v>
      </c>
      <c r="AO343" s="76" t="n">
        <v>0.1082</v>
      </c>
      <c r="AP343" s="76" t="n">
        <v>0.1104</v>
      </c>
      <c r="AQ343" s="76" t="n">
        <v>0.1128</v>
      </c>
      <c r="AR343" s="76" t="n">
        <v>0.1051560975609757</v>
      </c>
    </row>
    <row r="344">
      <c r="A344" s="76" t="inlineStr">
        <is>
          <t>MO</t>
        </is>
      </c>
      <c r="B344" s="76" t="inlineStr">
        <is>
          <t>Nuclear</t>
        </is>
      </c>
      <c r="C344" s="76" t="n">
        <v>0.902</v>
      </c>
      <c r="D344" s="76" t="n">
        <v>0.902</v>
      </c>
      <c r="E344" s="76" t="n">
        <v>0.902</v>
      </c>
      <c r="F344" s="76" t="n">
        <v>0.902</v>
      </c>
      <c r="G344" s="76" t="n">
        <v>0.902</v>
      </c>
      <c r="H344" s="76" t="n">
        <v>0.902</v>
      </c>
      <c r="I344" s="76" t="n">
        <v>0.902</v>
      </c>
      <c r="J344" s="76" t="n">
        <v>0.902</v>
      </c>
      <c r="K344" s="76" t="n">
        <v>0.902</v>
      </c>
      <c r="L344" s="76" t="n">
        <v>0.902</v>
      </c>
      <c r="M344" s="76" t="n">
        <v>0.902</v>
      </c>
      <c r="N344" s="76" t="n">
        <v>0.902</v>
      </c>
      <c r="O344" s="76" t="n">
        <v>0.902</v>
      </c>
      <c r="P344" s="76" t="n">
        <v>0.902</v>
      </c>
      <c r="Q344" s="76" t="n">
        <v>0.902</v>
      </c>
      <c r="R344" s="76" t="n">
        <v>0.902</v>
      </c>
      <c r="S344" s="76" t="n">
        <v>0.902</v>
      </c>
      <c r="T344" s="76" t="n">
        <v>0.902</v>
      </c>
      <c r="U344" s="76" t="n">
        <v>0.902</v>
      </c>
      <c r="V344" s="76" t="n">
        <v>0.902</v>
      </c>
      <c r="W344" s="76" t="n">
        <v>0.902</v>
      </c>
      <c r="X344" s="76" t="n">
        <v>0.902</v>
      </c>
      <c r="Y344" s="76" t="n">
        <v>0.902</v>
      </c>
      <c r="Z344" s="76" t="n">
        <v>0.902</v>
      </c>
      <c r="AA344" s="76" t="n">
        <v>0.902</v>
      </c>
      <c r="AB344" s="76" t="n">
        <v>0.902</v>
      </c>
      <c r="AC344" s="76" t="n">
        <v>0.902</v>
      </c>
      <c r="AD344" s="76" t="n">
        <v>0.902</v>
      </c>
      <c r="AE344" s="76" t="n">
        <v>0.902</v>
      </c>
      <c r="AF344" s="76" t="n">
        <v>0.902</v>
      </c>
      <c r="AG344" s="76" t="n">
        <v>0.902</v>
      </c>
      <c r="AH344" s="76" t="n">
        <v>0.902</v>
      </c>
      <c r="AI344" s="76" t="n">
        <v>0.902</v>
      </c>
      <c r="AJ344" s="76" t="n">
        <v>0.902</v>
      </c>
      <c r="AK344" s="76" t="n">
        <v>0.902</v>
      </c>
      <c r="AL344" s="76" t="n"/>
      <c r="AM344" s="76" t="n"/>
      <c r="AN344" s="76" t="n"/>
      <c r="AO344" s="76" t="n"/>
      <c r="AP344" s="76" t="n"/>
      <c r="AQ344" s="76" t="n"/>
      <c r="AR344" s="76" t="n">
        <v>0.9020000000000004</v>
      </c>
    </row>
    <row r="345">
      <c r="A345" s="76" t="inlineStr">
        <is>
          <t>MO</t>
        </is>
      </c>
      <c r="B345" s="76" t="inlineStr">
        <is>
          <t>Other</t>
        </is>
      </c>
      <c r="C345" s="76" t="n">
        <v>0</v>
      </c>
      <c r="D345" s="76" t="n">
        <v>0</v>
      </c>
      <c r="E345" s="76" t="n">
        <v>0</v>
      </c>
      <c r="F345" s="76" t="n">
        <v>0</v>
      </c>
      <c r="G345" s="76" t="n">
        <v>0</v>
      </c>
      <c r="H345" s="76" t="n">
        <v>0.001</v>
      </c>
      <c r="I345" s="76" t="n">
        <v>0.002</v>
      </c>
      <c r="J345" s="76" t="n">
        <v>0.001</v>
      </c>
      <c r="K345" s="76" t="n">
        <v>0</v>
      </c>
      <c r="L345" s="76" t="n">
        <v>0</v>
      </c>
      <c r="M345" s="76" t="n">
        <v>0</v>
      </c>
      <c r="N345" s="76" t="n">
        <v>0</v>
      </c>
      <c r="O345" s="76" t="n">
        <v>0</v>
      </c>
      <c r="P345" s="76" t="n">
        <v>0</v>
      </c>
      <c r="Q345" s="76" t="n">
        <v>0</v>
      </c>
      <c r="R345" s="76" t="n">
        <v>0</v>
      </c>
      <c r="S345" s="76" t="n">
        <v>0</v>
      </c>
      <c r="T345" s="76" t="n">
        <v>0</v>
      </c>
      <c r="U345" s="76" t="n">
        <v>0</v>
      </c>
      <c r="V345" s="76" t="n">
        <v>0</v>
      </c>
      <c r="W345" s="76" t="n">
        <v>0</v>
      </c>
      <c r="X345" s="76" t="n">
        <v>0</v>
      </c>
      <c r="Y345" s="76" t="n">
        <v>0</v>
      </c>
      <c r="Z345" s="76" t="n">
        <v>0</v>
      </c>
      <c r="AA345" s="76" t="n">
        <v>0</v>
      </c>
      <c r="AB345" s="76" t="n">
        <v>0</v>
      </c>
      <c r="AC345" s="76" t="n">
        <v>0</v>
      </c>
      <c r="AD345" s="76" t="n">
        <v>0</v>
      </c>
      <c r="AE345" s="76" t="n">
        <v>0</v>
      </c>
      <c r="AF345" s="76" t="n">
        <v>0</v>
      </c>
      <c r="AG345" s="76" t="n">
        <v>0</v>
      </c>
      <c r="AH345" s="76" t="n">
        <v>0</v>
      </c>
      <c r="AI345" s="76" t="n">
        <v>0</v>
      </c>
      <c r="AJ345" s="76" t="n">
        <v>0</v>
      </c>
      <c r="AK345" s="76" t="n">
        <v>0</v>
      </c>
      <c r="AL345" s="76" t="n">
        <v>0</v>
      </c>
      <c r="AM345" s="76" t="n">
        <v>0</v>
      </c>
      <c r="AN345" s="76" t="n">
        <v>0</v>
      </c>
      <c r="AO345" s="76" t="n">
        <v>0</v>
      </c>
      <c r="AP345" s="76" t="n">
        <v>0</v>
      </c>
      <c r="AQ345" s="76" t="n">
        <v>0</v>
      </c>
      <c r="AR345" s="76" t="n">
        <v>0.0001036269430051813</v>
      </c>
    </row>
    <row r="346">
      <c r="A346" s="76" t="inlineStr">
        <is>
          <t>MO</t>
        </is>
      </c>
      <c r="B346" s="76" t="inlineStr">
        <is>
          <t>Utility PV</t>
        </is>
      </c>
      <c r="C346" s="76" t="n"/>
      <c r="D346" s="76" t="n"/>
      <c r="E346" s="76" t="n"/>
      <c r="F346" s="76" t="n">
        <v>0.2455</v>
      </c>
      <c r="G346" s="76" t="n">
        <v>0.2455</v>
      </c>
      <c r="H346" s="76" t="n">
        <v>0.2442</v>
      </c>
      <c r="I346" s="76" t="n">
        <v>0.2438</v>
      </c>
      <c r="J346" s="76" t="n">
        <v>0.2446666666666667</v>
      </c>
      <c r="K346" s="76" t="n">
        <v>0.2441666666666667</v>
      </c>
      <c r="L346" s="76" t="n">
        <v>0.2428333333333333</v>
      </c>
      <c r="M346" s="76" t="n">
        <v>0.2418333333333333</v>
      </c>
      <c r="N346" s="76" t="n">
        <v>0.2466666666666667</v>
      </c>
      <c r="O346" s="76" t="n">
        <v>0.2465</v>
      </c>
      <c r="P346" s="76" t="n">
        <v>0.2468333333333333</v>
      </c>
      <c r="Q346" s="76" t="n">
        <v>0.2461666666666666</v>
      </c>
      <c r="R346" s="76" t="n">
        <v>0.2451666666666667</v>
      </c>
      <c r="S346" s="76" t="n">
        <v>0.244</v>
      </c>
      <c r="T346" s="76" t="n">
        <v>0.2428333333333333</v>
      </c>
      <c r="U346" s="76" t="n">
        <v>0.2415</v>
      </c>
      <c r="V346" s="76" t="n">
        <v>0.2403333333333334</v>
      </c>
      <c r="W346" s="76" t="n">
        <v>0.239</v>
      </c>
      <c r="X346" s="76" t="n">
        <v>0.2378333333333333</v>
      </c>
      <c r="Y346" s="76" t="n">
        <v>0.2366666666666667</v>
      </c>
      <c r="Z346" s="76" t="n">
        <v>0.2361666666666667</v>
      </c>
      <c r="AA346" s="76" t="n">
        <v>0.2355</v>
      </c>
      <c r="AB346" s="76" t="n">
        <v>0.2346666666666667</v>
      </c>
      <c r="AC346" s="76" t="n">
        <v>0.2346666666666667</v>
      </c>
      <c r="AD346" s="76" t="n">
        <v>0.234</v>
      </c>
      <c r="AE346" s="76" t="n">
        <v>0.2333333333333333</v>
      </c>
      <c r="AF346" s="76" t="n">
        <v>0.2326666666666667</v>
      </c>
      <c r="AG346" s="76" t="n">
        <v>0.232</v>
      </c>
      <c r="AH346" s="76" t="n">
        <v>0.2311666666666667</v>
      </c>
      <c r="AI346" s="76" t="n">
        <v>0.2303333333333334</v>
      </c>
      <c r="AJ346" s="76" t="n">
        <v>0.2295</v>
      </c>
      <c r="AK346" s="76" t="n">
        <v>0.2285</v>
      </c>
      <c r="AL346" s="76" t="n">
        <v>0.2275</v>
      </c>
      <c r="AM346" s="76" t="n">
        <v>0.2265</v>
      </c>
      <c r="AN346" s="76" t="n">
        <v>0.2258333333333333</v>
      </c>
      <c r="AO346" s="76" t="n">
        <v>0.225</v>
      </c>
      <c r="AP346" s="76" t="n">
        <v>0.2243333333333334</v>
      </c>
      <c r="AQ346" s="76" t="n">
        <v>0.2233333333333334</v>
      </c>
      <c r="AR346" s="76" t="n">
        <v>0.2367614678899081</v>
      </c>
    </row>
    <row r="347">
      <c r="A347" s="76" t="inlineStr">
        <is>
          <t>MO</t>
        </is>
      </c>
      <c r="B347" s="76" t="inlineStr">
        <is>
          <t>Wind offshore</t>
        </is>
      </c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  <c r="AA347" s="76" t="n"/>
      <c r="AB347" s="76" t="n"/>
      <c r="AC347" s="76" t="n"/>
      <c r="AD347" s="76" t="n"/>
      <c r="AE347" s="76" t="n"/>
      <c r="AF347" s="76" t="n"/>
      <c r="AG347" s="76" t="n"/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</row>
    <row r="348">
      <c r="A348" s="76" t="inlineStr">
        <is>
          <t>MO</t>
        </is>
      </c>
      <c r="B348" s="76" t="inlineStr">
        <is>
          <t>Wind onshore</t>
        </is>
      </c>
      <c r="C348" s="76" t="n">
        <v>0.329</v>
      </c>
      <c r="D348" s="76" t="n">
        <v>0.329</v>
      </c>
      <c r="E348" s="76" t="n">
        <v>0.329</v>
      </c>
      <c r="F348" s="76" t="n">
        <v>0.329</v>
      </c>
      <c r="G348" s="76" t="n">
        <v>0.329</v>
      </c>
      <c r="H348" s="76" t="n">
        <v>0.339</v>
      </c>
      <c r="I348" s="76" t="n">
        <v>0.346</v>
      </c>
      <c r="J348" s="76" t="n">
        <v>0.349</v>
      </c>
      <c r="K348" s="76" t="n">
        <v>0.351</v>
      </c>
      <c r="L348" s="76" t="n">
        <v>0.351</v>
      </c>
      <c r="M348" s="76" t="n">
        <v>0.351</v>
      </c>
      <c r="N348" s="76" t="n">
        <v>0.4234</v>
      </c>
      <c r="O348" s="76" t="n">
        <v>0.423</v>
      </c>
      <c r="P348" s="76" t="n">
        <v>0.4224</v>
      </c>
      <c r="Q348" s="76" t="n">
        <v>0.4218</v>
      </c>
      <c r="R348" s="76" t="n">
        <v>0.416</v>
      </c>
      <c r="S348" s="76" t="n">
        <v>0.4161666666666666</v>
      </c>
      <c r="T348" s="76" t="n">
        <v>0.41</v>
      </c>
      <c r="U348" s="76" t="n">
        <v>0.4078333333333333</v>
      </c>
      <c r="V348" s="76" t="n">
        <v>0.4116666666666667</v>
      </c>
      <c r="W348" s="76" t="n">
        <v>0.4146666666666667</v>
      </c>
      <c r="X348" s="76" t="n">
        <v>0.4101666666666667</v>
      </c>
      <c r="Y348" s="76" t="n">
        <v>0.4061666666666666</v>
      </c>
      <c r="Z348" s="76" t="n">
        <v>0.4026666666666667</v>
      </c>
      <c r="AA348" s="76" t="n">
        <v>0.3998333333333333</v>
      </c>
      <c r="AB348" s="76" t="n">
        <v>0.3970000000000001</v>
      </c>
      <c r="AC348" s="76" t="n">
        <v>0.3958333333333333</v>
      </c>
      <c r="AD348" s="76" t="n">
        <v>0.395</v>
      </c>
      <c r="AE348" s="76" t="n">
        <v>0.3941666666666666</v>
      </c>
      <c r="AF348" s="76" t="n">
        <v>0.3936666666666667</v>
      </c>
      <c r="AG348" s="76" t="n">
        <v>0.3931666666666667</v>
      </c>
      <c r="AH348" s="76" t="n">
        <v>0.398</v>
      </c>
      <c r="AI348" s="76" t="n">
        <v>0.4015</v>
      </c>
      <c r="AJ348" s="76" t="n">
        <v>0.4045</v>
      </c>
      <c r="AK348" s="76" t="n">
        <v>0.4075</v>
      </c>
      <c r="AL348" s="76" t="n">
        <v>0.41</v>
      </c>
      <c r="AM348" s="76" t="n">
        <v>0.4148333333333333</v>
      </c>
      <c r="AN348" s="76" t="n">
        <v>0.4193333333333333</v>
      </c>
      <c r="AO348" s="76" t="n">
        <v>0.4235</v>
      </c>
      <c r="AP348" s="76" t="n">
        <v>0.428</v>
      </c>
      <c r="AQ348" s="76" t="n">
        <v>0.4316666666666666</v>
      </c>
      <c r="AR348" s="76" t="n">
        <v>0.4053582887700534</v>
      </c>
    </row>
    <row r="349">
      <c r="A349" s="76" t="inlineStr">
        <is>
          <t>MS</t>
        </is>
      </c>
      <c r="B349" s="76" t="inlineStr">
        <is>
          <t>MS</t>
        </is>
      </c>
      <c r="C349" s="76" t="n">
        <v>0.351375</v>
      </c>
      <c r="D349" s="76" t="n">
        <v>0.386</v>
      </c>
      <c r="E349" s="76" t="n">
        <v>0.3955555555555555</v>
      </c>
      <c r="F349" s="76" t="n">
        <v>0.3603636363636364</v>
      </c>
      <c r="G349" s="76" t="n">
        <v>0.3694545454545454</v>
      </c>
      <c r="H349" s="76" t="n">
        <v>0.3779999999999999</v>
      </c>
      <c r="I349" s="76" t="n">
        <v>0.3888333333333333</v>
      </c>
      <c r="J349" s="76" t="n">
        <v>0.3705384615384615</v>
      </c>
      <c r="K349" s="76" t="n">
        <v>0.362</v>
      </c>
      <c r="L349" s="76" t="n">
        <v>0.3606153846153845</v>
      </c>
      <c r="M349" s="76" t="n">
        <v>0.3566153846153846</v>
      </c>
      <c r="N349" s="76" t="n">
        <v>0.3493846153846155</v>
      </c>
      <c r="O349" s="76" t="n">
        <v>0.3419230769230769</v>
      </c>
      <c r="P349" s="76" t="n">
        <v>0.3367692307692308</v>
      </c>
      <c r="Q349" s="76" t="n">
        <v>0.3315384615384616</v>
      </c>
      <c r="R349" s="76" t="n">
        <v>0.3321428571428572</v>
      </c>
      <c r="S349" s="76" t="n">
        <v>0.304</v>
      </c>
      <c r="T349" s="76" t="n">
        <v>0.2704285714285714</v>
      </c>
      <c r="U349" s="76" t="n">
        <v>0.2612142857142857</v>
      </c>
      <c r="V349" s="76" t="n">
        <v>0.2335333333333333</v>
      </c>
      <c r="W349" s="76" t="n">
        <v>0.2286</v>
      </c>
      <c r="X349" s="76" t="n">
        <v>0.2281333333333334</v>
      </c>
      <c r="Y349" s="76" t="n">
        <v>0.1937857142857143</v>
      </c>
      <c r="Z349" s="76" t="n">
        <v>0.1976</v>
      </c>
      <c r="AA349" s="76" t="n">
        <v>0.195</v>
      </c>
      <c r="AB349" s="76" t="n">
        <v>0.1919333333333333</v>
      </c>
      <c r="AC349" s="76" t="n">
        <v>0.1888</v>
      </c>
      <c r="AD349" s="76" t="n">
        <v>0.1868</v>
      </c>
      <c r="AE349" s="76" t="n">
        <v>0.185</v>
      </c>
      <c r="AF349" s="76" t="n">
        <v>0.1833333333333334</v>
      </c>
      <c r="AG349" s="76" t="n">
        <v>0.1816</v>
      </c>
      <c r="AH349" s="76" t="n">
        <v>0.1829333333333333</v>
      </c>
      <c r="AI349" s="76" t="n">
        <v>0.1840666666666667</v>
      </c>
      <c r="AJ349" s="76" t="n">
        <v>0.1851333333333333</v>
      </c>
      <c r="AK349" s="76" t="n">
        <v>0.1862</v>
      </c>
      <c r="AL349" s="76" t="n">
        <v>0.1359285714285714</v>
      </c>
      <c r="AM349" s="76" t="n">
        <v>0.1367857142857143</v>
      </c>
      <c r="AN349" s="76" t="n">
        <v>0.1375</v>
      </c>
      <c r="AO349" s="76" t="n">
        <v>0.1382142857142857</v>
      </c>
      <c r="AP349" s="76" t="n">
        <v>0.139</v>
      </c>
      <c r="AQ349" s="76" t="n">
        <v>0.1503076923076923</v>
      </c>
      <c r="AR349" s="76" t="n">
        <v>0.2495714285714286</v>
      </c>
    </row>
    <row r="350">
      <c r="A350" s="76" t="inlineStr">
        <is>
          <t>MS</t>
        </is>
      </c>
      <c r="B350" s="76" t="inlineStr">
        <is>
          <t>Battery</t>
        </is>
      </c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>
        <v>-0.043</v>
      </c>
      <c r="U350" s="76" t="n">
        <v>-0.043</v>
      </c>
      <c r="V350" s="76" t="n">
        <v>-0.046</v>
      </c>
      <c r="W350" s="76" t="n">
        <v>-0.046</v>
      </c>
      <c r="X350" s="76" t="n">
        <v>-0.0515</v>
      </c>
      <c r="Y350" s="76" t="n">
        <v>-0.0515</v>
      </c>
      <c r="Z350" s="76" t="n">
        <v>-0.056</v>
      </c>
      <c r="AA350" s="76" t="n">
        <v>-0.0605</v>
      </c>
      <c r="AB350" s="76" t="n">
        <v>-0.064</v>
      </c>
      <c r="AC350" s="76" t="n">
        <v>-0.067</v>
      </c>
      <c r="AD350" s="76" t="n">
        <v>-0.068</v>
      </c>
      <c r="AE350" s="76" t="n">
        <v>-0.06900000000000001</v>
      </c>
      <c r="AF350" s="76" t="n">
        <v>-0.06900000000000001</v>
      </c>
      <c r="AG350" s="76" t="n">
        <v>-0.06950000000000001</v>
      </c>
      <c r="AH350" s="76" t="n">
        <v>-0.0665</v>
      </c>
      <c r="AI350" s="76" t="n">
        <v>-0.064</v>
      </c>
      <c r="AJ350" s="76" t="n">
        <v>-0.061</v>
      </c>
      <c r="AK350" s="76" t="n">
        <v>-0.0585</v>
      </c>
      <c r="AL350" s="76" t="n">
        <v>-0.056</v>
      </c>
      <c r="AM350" s="76" t="n">
        <v>-0.0545</v>
      </c>
      <c r="AN350" s="76" t="n">
        <v>-0.05300000000000001</v>
      </c>
      <c r="AO350" s="76" t="n">
        <v>-0.052</v>
      </c>
      <c r="AP350" s="76" t="n">
        <v>-0.0505</v>
      </c>
      <c r="AQ350" s="76" t="n">
        <v>-0.05</v>
      </c>
      <c r="AR350" s="76" t="n">
        <v>-0.05769565217391304</v>
      </c>
    </row>
    <row r="351">
      <c r="A351" s="76" t="inlineStr">
        <is>
          <t>MS</t>
        </is>
      </c>
      <c r="B351" s="76" t="inlineStr">
        <is>
          <t>Biopower</t>
        </is>
      </c>
      <c r="C351" s="76" t="n"/>
      <c r="D351" s="76" t="n">
        <v>0.522</v>
      </c>
      <c r="E351" s="76" t="n">
        <v>0.522</v>
      </c>
      <c r="F351" s="76" t="n">
        <v>0.522</v>
      </c>
      <c r="G351" s="76" t="n">
        <v>0.522</v>
      </c>
      <c r="H351" s="76" t="n">
        <v>0.522</v>
      </c>
      <c r="I351" s="76" t="n">
        <v>0.522</v>
      </c>
      <c r="J351" s="76" t="n">
        <v>0.522</v>
      </c>
      <c r="K351" s="76" t="n">
        <v>0.522</v>
      </c>
      <c r="L351" s="76" t="n">
        <v>0.522</v>
      </c>
      <c r="M351" s="76" t="n">
        <v>0.522</v>
      </c>
      <c r="N351" s="76" t="n">
        <v>0.522</v>
      </c>
      <c r="O351" s="76" t="n">
        <v>0.522</v>
      </c>
      <c r="P351" s="76" t="n">
        <v>0.522</v>
      </c>
      <c r="Q351" s="76" t="n">
        <v>0.522</v>
      </c>
      <c r="R351" s="76" t="n">
        <v>0.522</v>
      </c>
      <c r="S351" s="76" t="n">
        <v>0.522</v>
      </c>
      <c r="T351" s="76" t="n">
        <v>0.522</v>
      </c>
      <c r="U351" s="76" t="n">
        <v>0.522</v>
      </c>
      <c r="V351" s="76" t="n">
        <v>0.522</v>
      </c>
      <c r="W351" s="76" t="n">
        <v>0.522</v>
      </c>
      <c r="X351" s="76" t="n">
        <v>0.522</v>
      </c>
      <c r="Y351" s="76" t="n">
        <v>0.522</v>
      </c>
      <c r="Z351" s="76" t="n">
        <v>0.522</v>
      </c>
      <c r="AA351" s="76" t="n">
        <v>0.522</v>
      </c>
      <c r="AB351" s="76" t="n">
        <v>0.522</v>
      </c>
      <c r="AC351" s="76" t="n">
        <v>0.522</v>
      </c>
      <c r="AD351" s="76" t="n">
        <v>0.522</v>
      </c>
      <c r="AE351" s="76" t="n">
        <v>0.522</v>
      </c>
      <c r="AF351" s="76" t="n">
        <v>0.522</v>
      </c>
      <c r="AG351" s="76" t="n">
        <v>0.522</v>
      </c>
      <c r="AH351" s="76" t="n">
        <v>0.522</v>
      </c>
      <c r="AI351" s="76" t="n">
        <v>0.522</v>
      </c>
      <c r="AJ351" s="76" t="n">
        <v>0.522</v>
      </c>
      <c r="AK351" s="76" t="n">
        <v>0.522</v>
      </c>
      <c r="AL351" s="76" t="n">
        <v>0.522</v>
      </c>
      <c r="AM351" s="76" t="n">
        <v>0.522</v>
      </c>
      <c r="AN351" s="76" t="n">
        <v>0.522</v>
      </c>
      <c r="AO351" s="76" t="n">
        <v>0.522</v>
      </c>
      <c r="AP351" s="76" t="n">
        <v>0.522</v>
      </c>
      <c r="AQ351" s="76" t="n">
        <v>0.522</v>
      </c>
      <c r="AR351" s="76" t="n">
        <v>0.5219999999999998</v>
      </c>
    </row>
    <row r="352">
      <c r="A352" s="76" t="inlineStr">
        <is>
          <t>MS</t>
        </is>
      </c>
      <c r="B352" s="76" t="inlineStr">
        <is>
          <t>Coal</t>
        </is>
      </c>
      <c r="C352" s="76" t="n">
        <v>0.788</v>
      </c>
      <c r="D352" s="76" t="n">
        <v>0.533</v>
      </c>
      <c r="E352" s="76" t="n">
        <v>0.257</v>
      </c>
      <c r="F352" s="76" t="n">
        <v>0.535</v>
      </c>
      <c r="G352" s="76" t="n">
        <v>0.8140000000000001</v>
      </c>
      <c r="H352" s="76" t="n">
        <v>0.6890000000000001</v>
      </c>
      <c r="I352" s="76" t="n">
        <v>0.514</v>
      </c>
      <c r="J352" s="76" t="n">
        <v>0.592</v>
      </c>
      <c r="K352" s="76" t="n">
        <v>0.6705</v>
      </c>
      <c r="L352" s="76" t="n">
        <v>0.599</v>
      </c>
      <c r="M352" s="76" t="n">
        <v>0.5115000000000001</v>
      </c>
      <c r="N352" s="76" t="n">
        <v>0.542</v>
      </c>
      <c r="O352" s="76" t="n">
        <v>0.5725</v>
      </c>
      <c r="P352" s="76" t="n">
        <v>0.624</v>
      </c>
      <c r="Q352" s="76" t="n">
        <v>0.6755</v>
      </c>
      <c r="R352" s="76" t="n">
        <v>0.7155</v>
      </c>
      <c r="S352" s="76" t="n">
        <v>0.825</v>
      </c>
      <c r="T352" s="76" t="n">
        <v>0.786</v>
      </c>
      <c r="U352" s="76" t="n">
        <v>0.746</v>
      </c>
      <c r="V352" s="76" t="n">
        <v>0.719</v>
      </c>
      <c r="W352" s="76" t="n">
        <v>0.6919999999999999</v>
      </c>
      <c r="X352" s="76" t="n">
        <v>0.6919999999999999</v>
      </c>
      <c r="Y352" s="76" t="n"/>
      <c r="Z352" s="76" t="n"/>
      <c r="AA352" s="76" t="n"/>
      <c r="AB352" s="76" t="n"/>
      <c r="AC352" s="76" t="n"/>
      <c r="AD352" s="76" t="n"/>
      <c r="AE352" s="76" t="n"/>
      <c r="AF352" s="76" t="n"/>
      <c r="AG352" s="76" t="n"/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>
        <v>0.624342105263158</v>
      </c>
    </row>
    <row r="353">
      <c r="A353" s="76" t="inlineStr">
        <is>
          <t>MS</t>
        </is>
      </c>
      <c r="B353" s="76" t="inlineStr">
        <is>
          <t>CSP</t>
        </is>
      </c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6" t="n"/>
      <c r="AC353" s="76" t="n"/>
      <c r="AD353" s="76" t="n"/>
      <c r="AE353" s="76" t="n"/>
      <c r="AF353" s="76" t="n"/>
      <c r="AG353" s="76" t="n"/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</row>
    <row r="354">
      <c r="A354" s="76" t="inlineStr">
        <is>
          <t>MS</t>
        </is>
      </c>
      <c r="B354" s="76" t="inlineStr">
        <is>
          <t>Dist PV</t>
        </is>
      </c>
      <c r="C354" s="76" t="n"/>
      <c r="D354" s="76" t="n"/>
      <c r="E354" s="76" t="n"/>
      <c r="F354" s="76" t="n">
        <v>0.173</v>
      </c>
      <c r="G354" s="76" t="n">
        <v>0.173</v>
      </c>
      <c r="H354" s="76" t="n">
        <v>0.173</v>
      </c>
      <c r="I354" s="76" t="n">
        <v>0.173</v>
      </c>
      <c r="J354" s="76" t="n">
        <v>0.173</v>
      </c>
      <c r="K354" s="76" t="n">
        <v>0.173</v>
      </c>
      <c r="L354" s="76" t="n">
        <v>0.173</v>
      </c>
      <c r="M354" s="76" t="n">
        <v>0.173</v>
      </c>
      <c r="N354" s="76" t="n">
        <v>0.173</v>
      </c>
      <c r="O354" s="76" t="n">
        <v>0.173</v>
      </c>
      <c r="P354" s="76" t="n">
        <v>0.173</v>
      </c>
      <c r="Q354" s="76" t="n">
        <v>0.173</v>
      </c>
      <c r="R354" s="76" t="n">
        <v>0.173</v>
      </c>
      <c r="S354" s="76" t="n">
        <v>0.173</v>
      </c>
      <c r="T354" s="76" t="n">
        <v>0.173</v>
      </c>
      <c r="U354" s="76" t="n">
        <v>0.173</v>
      </c>
      <c r="V354" s="76" t="n">
        <v>0.139</v>
      </c>
      <c r="W354" s="76" t="n">
        <v>0.121</v>
      </c>
      <c r="X354" s="76" t="n">
        <v>0.123</v>
      </c>
      <c r="Y354" s="76" t="n">
        <v>0.124</v>
      </c>
      <c r="Z354" s="76" t="n">
        <v>0.1465</v>
      </c>
      <c r="AA354" s="76" t="n">
        <v>0.162</v>
      </c>
      <c r="AB354" s="76" t="n">
        <v>0.173</v>
      </c>
      <c r="AC354" s="76" t="n">
        <v>0.173</v>
      </c>
      <c r="AD354" s="76" t="n">
        <v>0.173</v>
      </c>
      <c r="AE354" s="76" t="n">
        <v>0.173</v>
      </c>
      <c r="AF354" s="76" t="n">
        <v>0.173</v>
      </c>
      <c r="AG354" s="76" t="n">
        <v>0.173</v>
      </c>
      <c r="AH354" s="76" t="n">
        <v>0.167</v>
      </c>
      <c r="AI354" s="76" t="n">
        <v>0.1615</v>
      </c>
      <c r="AJ354" s="76" t="n">
        <v>0.1565</v>
      </c>
      <c r="AK354" s="76" t="n">
        <v>0.1525</v>
      </c>
      <c r="AL354" s="76" t="n">
        <v>0.1485</v>
      </c>
      <c r="AM354" s="76" t="n">
        <v>0.1505</v>
      </c>
      <c r="AN354" s="76" t="n">
        <v>0.1525</v>
      </c>
      <c r="AO354" s="76" t="n">
        <v>0.154</v>
      </c>
      <c r="AP354" s="76" t="n">
        <v>0.156</v>
      </c>
      <c r="AQ354" s="76" t="n">
        <v>0.1575</v>
      </c>
      <c r="AR354" s="76" t="n">
        <v>0.162578947368421</v>
      </c>
    </row>
    <row r="355">
      <c r="A355" s="76" t="inlineStr">
        <is>
          <t>MS</t>
        </is>
      </c>
      <c r="B355" s="76" t="inlineStr">
        <is>
          <t>Gas CCGT</t>
        </is>
      </c>
      <c r="C355" s="76" t="n">
        <v>0.1635</v>
      </c>
      <c r="D355" s="76" t="n">
        <v>0.488</v>
      </c>
      <c r="E355" s="76" t="n">
        <v>0.806</v>
      </c>
      <c r="F355" s="76" t="n">
        <v>0.5569999999999999</v>
      </c>
      <c r="G355" s="76" t="n">
        <v>0.328</v>
      </c>
      <c r="H355" s="76" t="n">
        <v>0.569</v>
      </c>
      <c r="I355" s="76" t="n">
        <v>0.8095</v>
      </c>
      <c r="J355" s="76" t="n">
        <v>0.6759999999999999</v>
      </c>
      <c r="K355" s="76" t="n">
        <v>0.5425</v>
      </c>
      <c r="L355" s="76" t="n">
        <v>0.6060000000000001</v>
      </c>
      <c r="M355" s="76" t="n">
        <v>0.669</v>
      </c>
      <c r="N355" s="76" t="n">
        <v>0.5920000000000001</v>
      </c>
      <c r="O355" s="76" t="n">
        <v>0.5135000000000001</v>
      </c>
      <c r="P355" s="76" t="n">
        <v>0.431</v>
      </c>
      <c r="Q355" s="76" t="n">
        <v>0.348</v>
      </c>
      <c r="R355" s="76" t="n">
        <v>0.3035</v>
      </c>
      <c r="S355" s="76" t="n">
        <v>0.259</v>
      </c>
      <c r="T355" s="76" t="n">
        <v>0.2165</v>
      </c>
      <c r="U355" s="76" t="n">
        <v>0.174</v>
      </c>
      <c r="V355" s="76" t="n">
        <v>0.1845</v>
      </c>
      <c r="W355" s="76" t="n">
        <v>0.195</v>
      </c>
      <c r="X355" s="76" t="n">
        <v>0.187</v>
      </c>
      <c r="Y355" s="76" t="n">
        <v>0.1785</v>
      </c>
      <c r="Z355" s="76" t="n">
        <v>0.148</v>
      </c>
      <c r="AA355" s="76" t="n">
        <v>0.118</v>
      </c>
      <c r="AB355" s="76" t="n">
        <v>0.08749999999999999</v>
      </c>
      <c r="AC355" s="76" t="n">
        <v>0.08199999999999999</v>
      </c>
      <c r="AD355" s="76" t="n">
        <v>0.07650000000000001</v>
      </c>
      <c r="AE355" s="76" t="n">
        <v>0.07150000000000001</v>
      </c>
      <c r="AF355" s="76" t="n">
        <v>0.0665</v>
      </c>
      <c r="AG355" s="76" t="n">
        <v>0.061</v>
      </c>
      <c r="AH355" s="76" t="n">
        <v>0.0645</v>
      </c>
      <c r="AI355" s="76" t="n">
        <v>0.068</v>
      </c>
      <c r="AJ355" s="76" t="n">
        <v>0.07150000000000001</v>
      </c>
      <c r="AK355" s="76" t="n">
        <v>0.0755</v>
      </c>
      <c r="AL355" s="76" t="n">
        <v>0.079</v>
      </c>
      <c r="AM355" s="76" t="n">
        <v>0.08099999999999999</v>
      </c>
      <c r="AN355" s="76" t="n">
        <v>0.08249999999999999</v>
      </c>
      <c r="AO355" s="76" t="n">
        <v>0.08499999999999999</v>
      </c>
      <c r="AP355" s="76" t="n">
        <v>0.08699999999999999</v>
      </c>
      <c r="AQ355" s="76" t="n">
        <v>0.0895</v>
      </c>
      <c r="AR355" s="76" t="n">
        <v>0.2754024390243903</v>
      </c>
    </row>
    <row r="356">
      <c r="A356" s="76" t="inlineStr">
        <is>
          <t>MS</t>
        </is>
      </c>
      <c r="B356" s="76" t="inlineStr">
        <is>
          <t>Gas CT</t>
        </is>
      </c>
      <c r="C356" s="76" t="n">
        <v>0.003</v>
      </c>
      <c r="D356" s="76" t="n">
        <v>0.004</v>
      </c>
      <c r="E356" s="76" t="n">
        <v>0.005</v>
      </c>
      <c r="F356" s="76" t="n">
        <v>0.005</v>
      </c>
      <c r="G356" s="76" t="n">
        <v>0.005</v>
      </c>
      <c r="H356" s="76" t="n">
        <v>0.004500000000000001</v>
      </c>
      <c r="I356" s="76" t="n">
        <v>0.004</v>
      </c>
      <c r="J356" s="76" t="n">
        <v>0.004</v>
      </c>
      <c r="K356" s="76" t="n">
        <v>0.004</v>
      </c>
      <c r="L356" s="76" t="n">
        <v>0.004</v>
      </c>
      <c r="M356" s="76" t="n">
        <v>0.004</v>
      </c>
      <c r="N356" s="76" t="n">
        <v>0.004</v>
      </c>
      <c r="O356" s="76" t="n">
        <v>0.004</v>
      </c>
      <c r="P356" s="76" t="n">
        <v>0.0025</v>
      </c>
      <c r="Q356" s="76" t="n">
        <v>0.0005</v>
      </c>
      <c r="R356" s="76" t="n">
        <v>0.0005</v>
      </c>
      <c r="S356" s="76" t="n">
        <v>0.0005</v>
      </c>
      <c r="T356" s="76" t="n">
        <v>0</v>
      </c>
      <c r="U356" s="76" t="n">
        <v>0</v>
      </c>
      <c r="V356" s="76" t="n">
        <v>0</v>
      </c>
      <c r="W356" s="76" t="n">
        <v>0</v>
      </c>
      <c r="X356" s="76" t="n">
        <v>0</v>
      </c>
      <c r="Y356" s="76" t="n">
        <v>0</v>
      </c>
      <c r="Z356" s="76" t="n">
        <v>0</v>
      </c>
      <c r="AA356" s="76" t="n">
        <v>0</v>
      </c>
      <c r="AB356" s="76" t="n">
        <v>0</v>
      </c>
      <c r="AC356" s="76" t="n">
        <v>0</v>
      </c>
      <c r="AD356" s="76" t="n">
        <v>0</v>
      </c>
      <c r="AE356" s="76" t="n">
        <v>0</v>
      </c>
      <c r="AF356" s="76" t="n">
        <v>0</v>
      </c>
      <c r="AG356" s="76" t="n">
        <v>0</v>
      </c>
      <c r="AH356" s="76" t="n">
        <v>0</v>
      </c>
      <c r="AI356" s="76" t="n">
        <v>0</v>
      </c>
      <c r="AJ356" s="76" t="n">
        <v>0</v>
      </c>
      <c r="AK356" s="76" t="n">
        <v>0</v>
      </c>
      <c r="AL356" s="76" t="n">
        <v>0</v>
      </c>
      <c r="AM356" s="76" t="n">
        <v>0</v>
      </c>
      <c r="AN356" s="76" t="n">
        <v>0</v>
      </c>
      <c r="AO356" s="76" t="n">
        <v>0</v>
      </c>
      <c r="AP356" s="76" t="n">
        <v>0</v>
      </c>
      <c r="AQ356" s="76" t="n">
        <v>0</v>
      </c>
      <c r="AR356" s="76" t="n">
        <v>0.001426829268292684</v>
      </c>
    </row>
    <row r="357">
      <c r="A357" s="76" t="inlineStr">
        <is>
          <t>MS</t>
        </is>
      </c>
      <c r="B357" s="76" t="inlineStr">
        <is>
          <t>Geothermal</t>
        </is>
      </c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  <c r="AA357" s="76" t="n"/>
      <c r="AB357" s="76" t="n"/>
      <c r="AC357" s="76" t="n"/>
      <c r="AD357" s="76" t="n"/>
      <c r="AE357" s="76" t="n"/>
      <c r="AF357" s="76" t="n"/>
      <c r="AG357" s="76" t="n"/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</row>
    <row r="358">
      <c r="A358" s="76" t="inlineStr">
        <is>
          <t>MS</t>
        </is>
      </c>
      <c r="B358" s="76" t="inlineStr">
        <is>
          <t>Hydro</t>
        </is>
      </c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  <c r="AA358" s="76" t="n"/>
      <c r="AB358" s="76" t="n"/>
      <c r="AC358" s="76" t="n"/>
      <c r="AD358" s="76" t="n"/>
      <c r="AE358" s="76" t="n"/>
      <c r="AF358" s="76" t="n"/>
      <c r="AG358" s="76" t="n"/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</row>
    <row r="359">
      <c r="A359" s="76" t="inlineStr">
        <is>
          <t>MS</t>
        </is>
      </c>
      <c r="B359" s="76" t="inlineStr">
        <is>
          <t>Nuclear</t>
        </is>
      </c>
      <c r="C359" s="76" t="n">
        <v>0.902</v>
      </c>
      <c r="D359" s="76" t="n">
        <v>0.902</v>
      </c>
      <c r="E359" s="76" t="n">
        <v>0.902</v>
      </c>
      <c r="F359" s="76" t="n">
        <v>0.902</v>
      </c>
      <c r="G359" s="76" t="n">
        <v>0.902</v>
      </c>
      <c r="H359" s="76" t="n">
        <v>0.902</v>
      </c>
      <c r="I359" s="76" t="n">
        <v>0.902</v>
      </c>
      <c r="J359" s="76" t="n">
        <v>0.902</v>
      </c>
      <c r="K359" s="76" t="n">
        <v>0.902</v>
      </c>
      <c r="L359" s="76" t="n">
        <v>0.902</v>
      </c>
      <c r="M359" s="76" t="n">
        <v>0.902</v>
      </c>
      <c r="N359" s="76" t="n">
        <v>0.902</v>
      </c>
      <c r="O359" s="76" t="n">
        <v>0.902</v>
      </c>
      <c r="P359" s="76" t="n">
        <v>0.902</v>
      </c>
      <c r="Q359" s="76" t="n">
        <v>0.902</v>
      </c>
      <c r="R359" s="76" t="n">
        <v>0.902</v>
      </c>
      <c r="S359" s="76" t="n">
        <v>0.902</v>
      </c>
      <c r="T359" s="76" t="n">
        <v>0.902</v>
      </c>
      <c r="U359" s="76" t="n">
        <v>0.902</v>
      </c>
      <c r="V359" s="76" t="n">
        <v>0.902</v>
      </c>
      <c r="W359" s="76" t="n">
        <v>0.902</v>
      </c>
      <c r="X359" s="76" t="n">
        <v>0.902</v>
      </c>
      <c r="Y359" s="76" t="n">
        <v>0.902</v>
      </c>
      <c r="Z359" s="76" t="n">
        <v>0.902</v>
      </c>
      <c r="AA359" s="76" t="n">
        <v>0.902</v>
      </c>
      <c r="AB359" s="76" t="n">
        <v>0.902</v>
      </c>
      <c r="AC359" s="76" t="n">
        <v>0.902</v>
      </c>
      <c r="AD359" s="76" t="n">
        <v>0.902</v>
      </c>
      <c r="AE359" s="76" t="n">
        <v>0.902</v>
      </c>
      <c r="AF359" s="76" t="n">
        <v>0.902</v>
      </c>
      <c r="AG359" s="76" t="n">
        <v>0.902</v>
      </c>
      <c r="AH359" s="76" t="n">
        <v>0.902</v>
      </c>
      <c r="AI359" s="76" t="n">
        <v>0.902</v>
      </c>
      <c r="AJ359" s="76" t="n">
        <v>0.902</v>
      </c>
      <c r="AK359" s="76" t="n">
        <v>0.902</v>
      </c>
      <c r="AL359" s="76" t="n"/>
      <c r="AM359" s="76" t="n"/>
      <c r="AN359" s="76" t="n"/>
      <c r="AO359" s="76" t="n"/>
      <c r="AP359" s="76" t="n"/>
      <c r="AQ359" s="76" t="n"/>
      <c r="AR359" s="76" t="n">
        <v>0.9020000000000004</v>
      </c>
    </row>
    <row r="360">
      <c r="A360" s="76" t="inlineStr">
        <is>
          <t>MS</t>
        </is>
      </c>
      <c r="B360" s="76" t="inlineStr">
        <is>
          <t>Other</t>
        </is>
      </c>
      <c r="C360" s="76" t="n">
        <v>0</v>
      </c>
      <c r="D360" s="76" t="n">
        <v>0</v>
      </c>
      <c r="E360" s="76" t="n">
        <v>0</v>
      </c>
      <c r="F360" s="76" t="n">
        <v>0</v>
      </c>
      <c r="G360" s="76" t="n">
        <v>0</v>
      </c>
      <c r="H360" s="76" t="n">
        <v>0</v>
      </c>
      <c r="I360" s="76" t="n">
        <v>0</v>
      </c>
      <c r="J360" s="76" t="n">
        <v>0</v>
      </c>
      <c r="K360" s="76" t="n">
        <v>0</v>
      </c>
      <c r="L360" s="76" t="n">
        <v>0</v>
      </c>
      <c r="M360" s="76" t="n">
        <v>0</v>
      </c>
      <c r="N360" s="76" t="n">
        <v>0</v>
      </c>
      <c r="O360" s="76" t="n">
        <v>0</v>
      </c>
      <c r="P360" s="76" t="n">
        <v>0</v>
      </c>
      <c r="Q360" s="76" t="n">
        <v>0</v>
      </c>
      <c r="R360" s="76" t="n">
        <v>0</v>
      </c>
      <c r="S360" s="76" t="n">
        <v>0</v>
      </c>
      <c r="T360" s="76" t="n">
        <v>0</v>
      </c>
      <c r="U360" s="76" t="n">
        <v>0</v>
      </c>
      <c r="V360" s="76" t="n">
        <v>0</v>
      </c>
      <c r="W360" s="76" t="n">
        <v>0</v>
      </c>
      <c r="X360" s="76" t="n">
        <v>0</v>
      </c>
      <c r="Y360" s="76" t="n">
        <v>0</v>
      </c>
      <c r="Z360" s="76" t="n">
        <v>0</v>
      </c>
      <c r="AA360" s="76" t="n">
        <v>0</v>
      </c>
      <c r="AB360" s="76" t="n">
        <v>0</v>
      </c>
      <c r="AC360" s="76" t="n">
        <v>0</v>
      </c>
      <c r="AD360" s="76" t="n">
        <v>0</v>
      </c>
      <c r="AE360" s="76" t="n">
        <v>0</v>
      </c>
      <c r="AF360" s="76" t="n">
        <v>0</v>
      </c>
      <c r="AG360" s="76" t="n">
        <v>0</v>
      </c>
      <c r="AH360" s="76" t="n">
        <v>0</v>
      </c>
      <c r="AI360" s="76" t="n">
        <v>0</v>
      </c>
      <c r="AJ360" s="76" t="n">
        <v>0</v>
      </c>
      <c r="AK360" s="76" t="n">
        <v>0</v>
      </c>
      <c r="AL360" s="76" t="n">
        <v>0</v>
      </c>
      <c r="AM360" s="76" t="n">
        <v>0</v>
      </c>
      <c r="AN360" s="76" t="n">
        <v>0</v>
      </c>
      <c r="AO360" s="76" t="n">
        <v>0</v>
      </c>
      <c r="AP360" s="76" t="n">
        <v>0</v>
      </c>
      <c r="AQ360" s="76" t="n"/>
      <c r="AR360" s="76" t="n">
        <v>0</v>
      </c>
    </row>
    <row r="361">
      <c r="A361" s="76" t="inlineStr">
        <is>
          <t>MS</t>
        </is>
      </c>
      <c r="B361" s="76" t="inlineStr">
        <is>
          <t>Utility PV</t>
        </is>
      </c>
      <c r="C361" s="76" t="n"/>
      <c r="D361" s="76" t="n"/>
      <c r="E361" s="76" t="n"/>
      <c r="F361" s="76" t="n"/>
      <c r="G361" s="76" t="n"/>
      <c r="H361" s="76" t="n">
        <v>0.241</v>
      </c>
      <c r="I361" s="76" t="n">
        <v>0.241</v>
      </c>
      <c r="J361" s="76" t="n">
        <v>0.2515</v>
      </c>
      <c r="K361" s="76" t="n">
        <v>0.251</v>
      </c>
      <c r="L361" s="76" t="n">
        <v>0.25</v>
      </c>
      <c r="M361" s="76" t="n">
        <v>0.2485</v>
      </c>
      <c r="N361" s="76" t="n">
        <v>0.248</v>
      </c>
      <c r="O361" s="76" t="n">
        <v>0.2475</v>
      </c>
      <c r="P361" s="76" t="n">
        <v>0.2465</v>
      </c>
      <c r="Q361" s="76" t="n">
        <v>0.246</v>
      </c>
      <c r="R361" s="76" t="n">
        <v>0.245</v>
      </c>
      <c r="S361" s="76" t="n">
        <v>0.2435</v>
      </c>
      <c r="T361" s="76" t="n">
        <v>0.2455</v>
      </c>
      <c r="U361" s="76" t="n">
        <v>0.2445</v>
      </c>
      <c r="V361" s="76" t="n">
        <v>0.243</v>
      </c>
      <c r="W361" s="76" t="n">
        <v>0.241</v>
      </c>
      <c r="X361" s="76" t="n">
        <v>0.2395</v>
      </c>
      <c r="Y361" s="76" t="n">
        <v>0.2385</v>
      </c>
      <c r="Z361" s="76" t="n">
        <v>0.238</v>
      </c>
      <c r="AA361" s="76" t="n">
        <v>0.238</v>
      </c>
      <c r="AB361" s="76" t="n">
        <v>0.238</v>
      </c>
      <c r="AC361" s="76" t="n">
        <v>0.231</v>
      </c>
      <c r="AD361" s="76" t="n">
        <v>0.2295</v>
      </c>
      <c r="AE361" s="76" t="n">
        <v>0.2285</v>
      </c>
      <c r="AF361" s="76" t="n">
        <v>0.227</v>
      </c>
      <c r="AG361" s="76" t="n">
        <v>0.226</v>
      </c>
      <c r="AH361" s="76" t="n">
        <v>0.226</v>
      </c>
      <c r="AI361" s="76" t="n">
        <v>0.226</v>
      </c>
      <c r="AJ361" s="76" t="n">
        <v>0.226</v>
      </c>
      <c r="AK361" s="76" t="n">
        <v>0.226</v>
      </c>
      <c r="AL361" s="76" t="n">
        <v>0.2255</v>
      </c>
      <c r="AM361" s="76" t="n">
        <v>0.225</v>
      </c>
      <c r="AN361" s="76" t="n">
        <v>0.2245</v>
      </c>
      <c r="AO361" s="76" t="n">
        <v>0.2235</v>
      </c>
      <c r="AP361" s="76" t="n">
        <v>0.223</v>
      </c>
      <c r="AQ361" s="76" t="n">
        <v>0.222</v>
      </c>
      <c r="AR361" s="76" t="n">
        <v>0.2364</v>
      </c>
    </row>
    <row r="362">
      <c r="A362" s="76" t="inlineStr">
        <is>
          <t>MS</t>
        </is>
      </c>
      <c r="B362" s="76" t="inlineStr">
        <is>
          <t>Wind offshore</t>
        </is>
      </c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  <c r="AA362" s="76" t="n"/>
      <c r="AB362" s="76" t="n"/>
      <c r="AC362" s="76" t="n"/>
      <c r="AD362" s="76" t="n"/>
      <c r="AE362" s="76" t="n"/>
      <c r="AF362" s="76" t="n"/>
      <c r="AG362" s="76" t="n"/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</row>
    <row r="363">
      <c r="A363" s="76" t="inlineStr">
        <is>
          <t>MS</t>
        </is>
      </c>
      <c r="B363" s="76" t="inlineStr">
        <is>
          <t>Wind onshore</t>
        </is>
      </c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>
        <v>0.351</v>
      </c>
      <c r="S363" s="76" t="n">
        <v>0.351</v>
      </c>
      <c r="T363" s="76" t="n">
        <v>0.349</v>
      </c>
      <c r="U363" s="76" t="n">
        <v>0.347</v>
      </c>
      <c r="V363" s="76" t="n">
        <v>0.319</v>
      </c>
      <c r="W363" s="76" t="n">
        <v>0.291</v>
      </c>
      <c r="X363" s="76" t="n">
        <v>0.31</v>
      </c>
      <c r="Y363" s="76" t="n">
        <v>0.31</v>
      </c>
      <c r="Z363" s="76" t="n">
        <v>0.2935</v>
      </c>
      <c r="AA363" s="76" t="n">
        <v>0.293</v>
      </c>
      <c r="AB363" s="76" t="n">
        <v>0.293</v>
      </c>
      <c r="AC363" s="76" t="n">
        <v>0.285</v>
      </c>
      <c r="AD363" s="76" t="n">
        <v>0.278</v>
      </c>
      <c r="AE363" s="76" t="n">
        <v>0.2715</v>
      </c>
      <c r="AF363" s="76" t="n">
        <v>0.2655</v>
      </c>
      <c r="AG363" s="76" t="n">
        <v>0.2595</v>
      </c>
      <c r="AH363" s="76" t="n">
        <v>0.269</v>
      </c>
      <c r="AI363" s="76" t="n">
        <v>0.277</v>
      </c>
      <c r="AJ363" s="76" t="n">
        <v>0.2835</v>
      </c>
      <c r="AK363" s="76" t="n">
        <v>0.289</v>
      </c>
      <c r="AL363" s="76" t="n">
        <v>0.2935</v>
      </c>
      <c r="AM363" s="76" t="n">
        <v>0.2945</v>
      </c>
      <c r="AN363" s="76" t="n">
        <v>0.295</v>
      </c>
      <c r="AO363" s="76" t="n">
        <v>0.296</v>
      </c>
      <c r="AP363" s="76" t="n">
        <v>0.2965</v>
      </c>
      <c r="AQ363" s="76" t="n">
        <v>0.297</v>
      </c>
      <c r="AR363" s="76" t="n">
        <v>0.292909090909091</v>
      </c>
    </row>
    <row r="364">
      <c r="A364" s="76" t="inlineStr">
        <is>
          <t>MT</t>
        </is>
      </c>
      <c r="B364" s="76" t="inlineStr">
        <is>
          <t>MT</t>
        </is>
      </c>
      <c r="C364" s="76" t="n">
        <v>0.3455714285714285</v>
      </c>
      <c r="D364" s="76" t="n">
        <v>0.3144285714285714</v>
      </c>
      <c r="E364" s="76" t="n">
        <v>0.2819285714285714</v>
      </c>
      <c r="F364" s="76" t="n">
        <v>0.2728421052631579</v>
      </c>
      <c r="G364" s="76" t="n">
        <v>0.2933157894736843</v>
      </c>
      <c r="H364" s="76" t="n">
        <v>0.261578947368421</v>
      </c>
      <c r="I364" s="76" t="n">
        <v>0.2288947368421053</v>
      </c>
      <c r="J364" s="76" t="n">
        <v>0.241952380952381</v>
      </c>
      <c r="K364" s="76" t="n">
        <v>0.255904761904762</v>
      </c>
      <c r="L364" s="76" t="n">
        <v>0.2458571428571429</v>
      </c>
      <c r="M364" s="76" t="n">
        <v>0.231952380952381</v>
      </c>
      <c r="N364" s="76" t="n">
        <v>0.2099615384615385</v>
      </c>
      <c r="O364" s="76" t="n">
        <v>0.2187307692307692</v>
      </c>
      <c r="P364" s="76" t="n">
        <v>0.2301851851851852</v>
      </c>
      <c r="Q364" s="76" t="n">
        <v>0.2388846153846154</v>
      </c>
      <c r="R364" s="76" t="n">
        <v>0.2286296296296296</v>
      </c>
      <c r="S364" s="76" t="n">
        <v>0.2294814814814815</v>
      </c>
      <c r="T364" s="76" t="n">
        <v>0.2275185185185185</v>
      </c>
      <c r="U364" s="76" t="n">
        <v>0.2255555555555555</v>
      </c>
      <c r="V364" s="76" t="n">
        <v>0.2208888888888889</v>
      </c>
      <c r="W364" s="76" t="n">
        <v>0.2165555555555556</v>
      </c>
      <c r="X364" s="76" t="n">
        <v>0.2160370370370371</v>
      </c>
      <c r="Y364" s="76" t="n">
        <v>0.21236</v>
      </c>
      <c r="Z364" s="76" t="n">
        <v>0.21296</v>
      </c>
      <c r="AA364" s="76" t="n">
        <v>0.21356</v>
      </c>
      <c r="AB364" s="76" t="n">
        <v>0.21412</v>
      </c>
      <c r="AC364" s="76" t="n">
        <v>0.214</v>
      </c>
      <c r="AD364" s="76" t="n">
        <v>0.21388</v>
      </c>
      <c r="AE364" s="76" t="n">
        <v>0.21384</v>
      </c>
      <c r="AF364" s="76" t="n">
        <v>0.21372</v>
      </c>
      <c r="AG364" s="76" t="n">
        <v>0.2136</v>
      </c>
      <c r="AH364" s="76" t="n">
        <v>0.21328</v>
      </c>
      <c r="AI364" s="76" t="n">
        <v>0.21296</v>
      </c>
      <c r="AJ364" s="76" t="n">
        <v>0.2128</v>
      </c>
      <c r="AK364" s="76" t="n">
        <v>0.21244</v>
      </c>
      <c r="AL364" s="76" t="n">
        <v>0.2211666666666667</v>
      </c>
      <c r="AM364" s="76" t="n">
        <v>0.2210416666666667</v>
      </c>
      <c r="AN364" s="76" t="n">
        <v>0.2202083333333333</v>
      </c>
      <c r="AO364" s="76" t="n">
        <v>0.2192916666666666</v>
      </c>
      <c r="AP364" s="76" t="n">
        <v>0.2184583333333333</v>
      </c>
      <c r="AQ364" s="76" t="n">
        <v>0.2173333333333334</v>
      </c>
      <c r="AR364" s="76" t="n">
        <v>0.2285264248704663</v>
      </c>
    </row>
    <row r="365">
      <c r="A365" s="76" t="inlineStr">
        <is>
          <t>MT</t>
        </is>
      </c>
      <c r="B365" s="76" t="inlineStr">
        <is>
          <t>Battery</t>
        </is>
      </c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>
        <v>-0.01075</v>
      </c>
      <c r="O365" s="76" t="n">
        <v>-0.01075</v>
      </c>
      <c r="P365" s="76" t="n">
        <v>-0.01175</v>
      </c>
      <c r="Q365" s="76" t="n">
        <v>-0.01275</v>
      </c>
      <c r="R365" s="76" t="n">
        <v>-0.0266</v>
      </c>
      <c r="S365" s="76" t="n">
        <v>-0.0266</v>
      </c>
      <c r="T365" s="76" t="n">
        <v>-0.03319999999999999</v>
      </c>
      <c r="U365" s="76" t="n">
        <v>-0.0392</v>
      </c>
      <c r="V365" s="76" t="n">
        <v>-0.04540000000000001</v>
      </c>
      <c r="W365" s="76" t="n">
        <v>-0.0518</v>
      </c>
      <c r="X365" s="76" t="n">
        <v>-0.05620000000000001</v>
      </c>
      <c r="Y365" s="76" t="n">
        <v>-0.0604</v>
      </c>
      <c r="Z365" s="76" t="n">
        <v>-0.0602</v>
      </c>
      <c r="AA365" s="76" t="n">
        <v>-0.06020000000000001</v>
      </c>
      <c r="AB365" s="76" t="n">
        <v>-0.06</v>
      </c>
      <c r="AC365" s="76" t="n">
        <v>-0.0602</v>
      </c>
      <c r="AD365" s="76" t="n">
        <v>-0.0604</v>
      </c>
      <c r="AE365" s="76" t="n">
        <v>-0.0598</v>
      </c>
      <c r="AF365" s="76" t="n">
        <v>-0.0598</v>
      </c>
      <c r="AG365" s="76" t="n">
        <v>-0.05939999999999999</v>
      </c>
      <c r="AH365" s="76" t="n">
        <v>-0.0596</v>
      </c>
      <c r="AI365" s="76" t="n">
        <v>-0.0598</v>
      </c>
      <c r="AJ365" s="76" t="n">
        <v>-0.0596</v>
      </c>
      <c r="AK365" s="76" t="n">
        <v>-0.0596</v>
      </c>
      <c r="AL365" s="76" t="n">
        <v>-0.059</v>
      </c>
      <c r="AM365" s="76" t="n">
        <v>-0.0576</v>
      </c>
      <c r="AN365" s="76" t="n">
        <v>-0.05599999999999999</v>
      </c>
      <c r="AO365" s="76" t="n">
        <v>-0.0544</v>
      </c>
      <c r="AP365" s="76" t="n">
        <v>-0.05300000000000001</v>
      </c>
      <c r="AQ365" s="76" t="n">
        <v>-0.0516</v>
      </c>
      <c r="AR365" s="76" t="n">
        <v>-0.04884931506849314</v>
      </c>
    </row>
    <row r="366">
      <c r="A366" s="76" t="inlineStr">
        <is>
          <t>MT</t>
        </is>
      </c>
      <c r="B366" s="76" t="inlineStr">
        <is>
          <t>Biopower</t>
        </is>
      </c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  <c r="AA366" s="76" t="n"/>
      <c r="AB366" s="76" t="n"/>
      <c r="AC366" s="76" t="n"/>
      <c r="AD366" s="76" t="n"/>
      <c r="AE366" s="76" t="n"/>
      <c r="AF366" s="76" t="n"/>
      <c r="AG366" s="76" t="n"/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</row>
    <row r="367">
      <c r="A367" s="76" t="inlineStr">
        <is>
          <t>MT</t>
        </is>
      </c>
      <c r="B367" s="76" t="inlineStr">
        <is>
          <t>Coal</t>
        </is>
      </c>
      <c r="C367" s="76" t="n">
        <v>0.6296666666666667</v>
      </c>
      <c r="D367" s="76" t="n">
        <v>0.4036666666666667</v>
      </c>
      <c r="E367" s="76" t="n">
        <v>0.178</v>
      </c>
      <c r="F367" s="76" t="n">
        <v>0.36</v>
      </c>
      <c r="G367" s="76" t="n">
        <v>0.5426666666666667</v>
      </c>
      <c r="H367" s="76" t="n">
        <v>0.308</v>
      </c>
      <c r="I367" s="76" t="n">
        <v>0.067</v>
      </c>
      <c r="J367" s="76" t="n">
        <v>0.177</v>
      </c>
      <c r="K367" s="76" t="n">
        <v>0.287</v>
      </c>
      <c r="L367" s="76" t="n">
        <v>0.169</v>
      </c>
      <c r="M367" s="76" t="n">
        <v>0.051</v>
      </c>
      <c r="N367" s="76" t="n">
        <v>0.112</v>
      </c>
      <c r="O367" s="76" t="n">
        <v>0.1936666666666667</v>
      </c>
      <c r="P367" s="76" t="n">
        <v>0.2196666666666667</v>
      </c>
      <c r="Q367" s="76" t="n">
        <v>0.337</v>
      </c>
      <c r="R367" s="76" t="n">
        <v>0.3375</v>
      </c>
      <c r="S367" s="76" t="n">
        <v>0.347</v>
      </c>
      <c r="T367" s="76" t="n">
        <v>0.334</v>
      </c>
      <c r="U367" s="76" t="n">
        <v>0.3205</v>
      </c>
      <c r="V367" s="76" t="n">
        <v>0.288</v>
      </c>
      <c r="W367" s="76" t="n">
        <v>0.2555</v>
      </c>
      <c r="X367" s="76" t="n">
        <v>0.2555</v>
      </c>
      <c r="Y367" s="76" t="n"/>
      <c r="Z367" s="76" t="n"/>
      <c r="AA367" s="76" t="n"/>
      <c r="AB367" s="76" t="n"/>
      <c r="AC367" s="76" t="n"/>
      <c r="AD367" s="76" t="n"/>
      <c r="AE367" s="76" t="n"/>
      <c r="AF367" s="76" t="n"/>
      <c r="AG367" s="76" t="n"/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>
        <v>0.2766379310344828</v>
      </c>
    </row>
    <row r="368">
      <c r="A368" s="76" t="inlineStr">
        <is>
          <t>MT</t>
        </is>
      </c>
      <c r="B368" s="76" t="inlineStr">
        <is>
          <t>CSP</t>
        </is>
      </c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  <c r="AA368" s="76" t="n"/>
      <c r="AB368" s="76" t="n"/>
      <c r="AC368" s="76" t="n"/>
      <c r="AD368" s="76" t="n"/>
      <c r="AE368" s="76" t="n"/>
      <c r="AF368" s="76" t="n"/>
      <c r="AG368" s="76" t="n"/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</row>
    <row r="369">
      <c r="A369" s="76" t="inlineStr">
        <is>
          <t>MT</t>
        </is>
      </c>
      <c r="B369" s="76" t="inlineStr">
        <is>
          <t>Dist PV</t>
        </is>
      </c>
      <c r="C369" s="76" t="n"/>
      <c r="D369" s="76" t="n"/>
      <c r="E369" s="76" t="n"/>
      <c r="F369" s="76" t="n">
        <v>0.17</v>
      </c>
      <c r="G369" s="76" t="n">
        <v>0.17</v>
      </c>
      <c r="H369" s="76" t="n">
        <v>0.17</v>
      </c>
      <c r="I369" s="76" t="n">
        <v>0.17</v>
      </c>
      <c r="J369" s="76" t="n">
        <v>0.17</v>
      </c>
      <c r="K369" s="76" t="n">
        <v>0.17</v>
      </c>
      <c r="L369" s="76" t="n">
        <v>0.17</v>
      </c>
      <c r="M369" s="76" t="n">
        <v>0.17</v>
      </c>
      <c r="N369" s="76" t="n">
        <v>0.17</v>
      </c>
      <c r="O369" s="76" t="n">
        <v>0.17</v>
      </c>
      <c r="P369" s="76" t="n">
        <v>0.17</v>
      </c>
      <c r="Q369" s="76" t="n">
        <v>0.17</v>
      </c>
      <c r="R369" s="76" t="n">
        <v>0.17</v>
      </c>
      <c r="S369" s="76" t="n">
        <v>0.17</v>
      </c>
      <c r="T369" s="76" t="n">
        <v>0.17</v>
      </c>
      <c r="U369" s="76" t="n">
        <v>0.17</v>
      </c>
      <c r="V369" s="76" t="n">
        <v>0.17</v>
      </c>
      <c r="W369" s="76" t="n">
        <v>0.17</v>
      </c>
      <c r="X369" s="76" t="n">
        <v>0.17</v>
      </c>
      <c r="Y369" s="76" t="n">
        <v>0.17</v>
      </c>
      <c r="Z369" s="76" t="n">
        <v>0.17</v>
      </c>
      <c r="AA369" s="76" t="n">
        <v>0.17</v>
      </c>
      <c r="AB369" s="76" t="n">
        <v>0.17</v>
      </c>
      <c r="AC369" s="76" t="n">
        <v>0.17</v>
      </c>
      <c r="AD369" s="76" t="n">
        <v>0.17</v>
      </c>
      <c r="AE369" s="76" t="n">
        <v>0.17</v>
      </c>
      <c r="AF369" s="76" t="n">
        <v>0.17</v>
      </c>
      <c r="AG369" s="76" t="n">
        <v>0.17</v>
      </c>
      <c r="AH369" s="76" t="n">
        <v>0.17</v>
      </c>
      <c r="AI369" s="76" t="n">
        <v>0.17</v>
      </c>
      <c r="AJ369" s="76" t="n">
        <v>0.17</v>
      </c>
      <c r="AK369" s="76" t="n">
        <v>0.17</v>
      </c>
      <c r="AL369" s="76" t="n">
        <v>0.17</v>
      </c>
      <c r="AM369" s="76" t="n">
        <v>0.17</v>
      </c>
      <c r="AN369" s="76" t="n">
        <v>0.17</v>
      </c>
      <c r="AO369" s="76" t="n">
        <v>0.17</v>
      </c>
      <c r="AP369" s="76" t="n">
        <v>0.17</v>
      </c>
      <c r="AQ369" s="76" t="n">
        <v>0.17</v>
      </c>
      <c r="AR369" s="76" t="n">
        <v>0.1700000000000001</v>
      </c>
    </row>
    <row r="370">
      <c r="A370" s="76" t="inlineStr">
        <is>
          <t>MT</t>
        </is>
      </c>
      <c r="B370" s="76" t="inlineStr">
        <is>
          <t>Gas CCGT</t>
        </is>
      </c>
      <c r="C370" s="76" t="n">
        <v>0.004</v>
      </c>
      <c r="D370" s="76" t="n">
        <v>0.004</v>
      </c>
      <c r="E370" s="76" t="n">
        <v>0.004</v>
      </c>
      <c r="F370" s="76" t="n">
        <v>0.007</v>
      </c>
      <c r="G370" s="76" t="n">
        <v>0.008999999999999999</v>
      </c>
      <c r="H370" s="76" t="n">
        <v>0.106</v>
      </c>
      <c r="I370" s="76" t="n">
        <v>0.203</v>
      </c>
      <c r="J370" s="76" t="n">
        <v>0.153</v>
      </c>
      <c r="K370" s="76" t="n">
        <v>0.104</v>
      </c>
      <c r="L370" s="76" t="n">
        <v>0.116</v>
      </c>
      <c r="M370" s="76" t="n">
        <v>0.127</v>
      </c>
      <c r="N370" s="76" t="n">
        <v>0.107</v>
      </c>
      <c r="O370" s="76" t="n">
        <v>0.08699999999999999</v>
      </c>
      <c r="P370" s="76" t="n">
        <v>0.07099999999999999</v>
      </c>
      <c r="Q370" s="76" t="n">
        <v>0.055</v>
      </c>
      <c r="R370" s="76" t="n">
        <v>0.038</v>
      </c>
      <c r="S370" s="76" t="n">
        <v>0.021</v>
      </c>
      <c r="T370" s="76" t="n">
        <v>0.02</v>
      </c>
      <c r="U370" s="76" t="n">
        <v>0.019</v>
      </c>
      <c r="V370" s="76" t="n">
        <v>0.01</v>
      </c>
      <c r="W370" s="76" t="n">
        <v>0</v>
      </c>
      <c r="X370" s="76" t="n">
        <v>0.019</v>
      </c>
      <c r="Y370" s="76" t="n">
        <v>0.039</v>
      </c>
      <c r="Z370" s="76" t="n">
        <v>0.039</v>
      </c>
      <c r="AA370" s="76" t="n">
        <v>0.04</v>
      </c>
      <c r="AB370" s="76" t="n">
        <v>0.041</v>
      </c>
      <c r="AC370" s="76" t="n">
        <v>0.04</v>
      </c>
      <c r="AD370" s="76" t="n">
        <v>0.038</v>
      </c>
      <c r="AE370" s="76" t="n">
        <v>0.036</v>
      </c>
      <c r="AF370" s="76" t="n">
        <v>0.035</v>
      </c>
      <c r="AG370" s="76" t="n">
        <v>0.033</v>
      </c>
      <c r="AH370" s="76" t="n">
        <v>0.033</v>
      </c>
      <c r="AI370" s="76" t="n">
        <v>0.033</v>
      </c>
      <c r="AJ370" s="76" t="n">
        <v>0.034</v>
      </c>
      <c r="AK370" s="76" t="n">
        <v>0.034</v>
      </c>
      <c r="AL370" s="76" t="n">
        <v>0.034</v>
      </c>
      <c r="AM370" s="76" t="n">
        <v>0.027</v>
      </c>
      <c r="AN370" s="76" t="n">
        <v>0.02</v>
      </c>
      <c r="AO370" s="76" t="n">
        <v>0.014</v>
      </c>
      <c r="AP370" s="76" t="n">
        <v>0.007</v>
      </c>
      <c r="AQ370" s="76" t="n">
        <v>0</v>
      </c>
      <c r="AR370" s="76" t="n">
        <v>0.045390243902439</v>
      </c>
    </row>
    <row r="371">
      <c r="A371" s="76" t="inlineStr">
        <is>
          <t>MT</t>
        </is>
      </c>
      <c r="B371" s="76" t="inlineStr">
        <is>
          <t>Gas CT</t>
        </is>
      </c>
      <c r="C371" s="76" t="n">
        <v>0.0005</v>
      </c>
      <c r="D371" s="76" t="n">
        <v>0.001</v>
      </c>
      <c r="E371" s="76" t="n">
        <v>0.001</v>
      </c>
      <c r="F371" s="76" t="n">
        <v>0.001</v>
      </c>
      <c r="G371" s="76" t="n">
        <v>0.001</v>
      </c>
      <c r="H371" s="76" t="n">
        <v>0.001</v>
      </c>
      <c r="I371" s="76" t="n">
        <v>0.001</v>
      </c>
      <c r="J371" s="76" t="n">
        <v>0.001</v>
      </c>
      <c r="K371" s="76" t="n">
        <v>0.001</v>
      </c>
      <c r="L371" s="76" t="n">
        <v>0.001</v>
      </c>
      <c r="M371" s="76" t="n">
        <v>0.001</v>
      </c>
      <c r="N371" s="76" t="n">
        <v>0.001</v>
      </c>
      <c r="O371" s="76" t="n">
        <v>0.0015</v>
      </c>
      <c r="P371" s="76" t="n">
        <v>0.0015</v>
      </c>
      <c r="Q371" s="76" t="n">
        <v>0.0015</v>
      </c>
      <c r="R371" s="76" t="n">
        <v>0.0005</v>
      </c>
      <c r="S371" s="76" t="n">
        <v>0</v>
      </c>
      <c r="T371" s="76" t="n">
        <v>0</v>
      </c>
      <c r="U371" s="76" t="n">
        <v>0</v>
      </c>
      <c r="V371" s="76" t="n">
        <v>0</v>
      </c>
      <c r="W371" s="76" t="n">
        <v>0</v>
      </c>
      <c r="X371" s="76" t="n">
        <v>0</v>
      </c>
      <c r="Y371" s="76" t="n">
        <v>0</v>
      </c>
      <c r="Z371" s="76" t="n">
        <v>0.0005</v>
      </c>
      <c r="AA371" s="76" t="n">
        <v>0.0015</v>
      </c>
      <c r="AB371" s="76" t="n">
        <v>0.002</v>
      </c>
      <c r="AC371" s="76" t="n">
        <v>0.0015</v>
      </c>
      <c r="AD371" s="76" t="n">
        <v>0.001</v>
      </c>
      <c r="AE371" s="76" t="n">
        <v>0.001</v>
      </c>
      <c r="AF371" s="76" t="n">
        <v>0.0005</v>
      </c>
      <c r="AG371" s="76" t="n">
        <v>0</v>
      </c>
      <c r="AH371" s="76" t="n">
        <v>0</v>
      </c>
      <c r="AI371" s="76" t="n">
        <v>0</v>
      </c>
      <c r="AJ371" s="76" t="n">
        <v>0</v>
      </c>
      <c r="AK371" s="76" t="n">
        <v>0</v>
      </c>
      <c r="AL371" s="76" t="n">
        <v>0</v>
      </c>
      <c r="AM371" s="76" t="n">
        <v>0</v>
      </c>
      <c r="AN371" s="76" t="n">
        <v>0</v>
      </c>
      <c r="AO371" s="76" t="n">
        <v>0</v>
      </c>
      <c r="AP371" s="76" t="n">
        <v>0</v>
      </c>
      <c r="AQ371" s="76" t="n">
        <v>0</v>
      </c>
      <c r="AR371" s="76" t="n">
        <v>0.0005975609756097563</v>
      </c>
    </row>
    <row r="372">
      <c r="A372" s="76" t="inlineStr">
        <is>
          <t>MT</t>
        </is>
      </c>
      <c r="B372" s="76" t="inlineStr">
        <is>
          <t>Geothermal</t>
        </is>
      </c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76" t="n"/>
      <c r="AC372" s="76" t="n"/>
      <c r="AD372" s="76" t="n"/>
      <c r="AE372" s="76" t="n"/>
      <c r="AF372" s="76" t="n"/>
      <c r="AG372" s="76" t="n"/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</row>
    <row r="373">
      <c r="A373" s="76" t="inlineStr">
        <is>
          <t>MT</t>
        </is>
      </c>
      <c r="B373" s="76" t="inlineStr">
        <is>
          <t>Hydro</t>
        </is>
      </c>
      <c r="C373" s="76" t="n">
        <v>0.389</v>
      </c>
      <c r="D373" s="76" t="n">
        <v>0.455</v>
      </c>
      <c r="E373" s="76" t="n">
        <v>0.521</v>
      </c>
      <c r="F373" s="76" t="n">
        <v>0.4656666666666667</v>
      </c>
      <c r="G373" s="76" t="n">
        <v>0.4106666666666667</v>
      </c>
      <c r="H373" s="76" t="n">
        <v>0.4133333333333333</v>
      </c>
      <c r="I373" s="76" t="n">
        <v>0.416</v>
      </c>
      <c r="J373" s="76" t="n">
        <v>0.416</v>
      </c>
      <c r="K373" s="76" t="n">
        <v>0.416</v>
      </c>
      <c r="L373" s="76" t="n">
        <v>0.4156666666666666</v>
      </c>
      <c r="M373" s="76" t="n">
        <v>0.4156666666666666</v>
      </c>
      <c r="N373" s="76" t="n">
        <v>0.4156666666666666</v>
      </c>
      <c r="O373" s="76" t="n">
        <v>0.4156666666666666</v>
      </c>
      <c r="P373" s="76" t="n">
        <v>0.4156666666666666</v>
      </c>
      <c r="Q373" s="76" t="n">
        <v>0.4156666666666666</v>
      </c>
      <c r="R373" s="76" t="n">
        <v>0.4156666666666666</v>
      </c>
      <c r="S373" s="76" t="n">
        <v>0.4156666666666666</v>
      </c>
      <c r="T373" s="76" t="n">
        <v>0.4156666666666666</v>
      </c>
      <c r="U373" s="76" t="n">
        <v>0.4156666666666666</v>
      </c>
      <c r="V373" s="76" t="n">
        <v>0.4156666666666666</v>
      </c>
      <c r="W373" s="76" t="n">
        <v>0.4156666666666666</v>
      </c>
      <c r="X373" s="76" t="n">
        <v>0.4156666666666666</v>
      </c>
      <c r="Y373" s="76" t="n">
        <v>0.4156666666666666</v>
      </c>
      <c r="Z373" s="76" t="n">
        <v>0.4156666666666666</v>
      </c>
      <c r="AA373" s="76" t="n">
        <v>0.4156666666666666</v>
      </c>
      <c r="AB373" s="76" t="n">
        <v>0.4156666666666666</v>
      </c>
      <c r="AC373" s="76" t="n">
        <v>0.4143333333333333</v>
      </c>
      <c r="AD373" s="76" t="n">
        <v>0.4133333333333333</v>
      </c>
      <c r="AE373" s="76" t="n">
        <v>0.4123333333333334</v>
      </c>
      <c r="AF373" s="76" t="n">
        <v>0.411</v>
      </c>
      <c r="AG373" s="76" t="n">
        <v>0.41</v>
      </c>
      <c r="AH373" s="76" t="n">
        <v>0.409</v>
      </c>
      <c r="AI373" s="76" t="n">
        <v>0.4076666666666667</v>
      </c>
      <c r="AJ373" s="76" t="n">
        <v>0.4066666666666667</v>
      </c>
      <c r="AK373" s="76" t="n">
        <v>0.4053333333333333</v>
      </c>
      <c r="AL373" s="76" t="n">
        <v>0.4043333333333334</v>
      </c>
      <c r="AM373" s="76" t="n">
        <v>0.3926666666666667</v>
      </c>
      <c r="AN373" s="76" t="n">
        <v>0.3816666666666667</v>
      </c>
      <c r="AO373" s="76" t="n">
        <v>0.3696666666666666</v>
      </c>
      <c r="AP373" s="76" t="n">
        <v>0.3583333333333334</v>
      </c>
      <c r="AQ373" s="76" t="n">
        <v>0.3463333333333333</v>
      </c>
      <c r="AR373" s="76" t="n">
        <v>0.412479674796748</v>
      </c>
    </row>
    <row r="374">
      <c r="A374" s="76" t="inlineStr">
        <is>
          <t>MT</t>
        </is>
      </c>
      <c r="B374" s="76" t="inlineStr">
        <is>
          <t>Nuclear</t>
        </is>
      </c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  <c r="AA374" s="76" t="n"/>
      <c r="AB374" s="76" t="n"/>
      <c r="AC374" s="76" t="n"/>
      <c r="AD374" s="76" t="n"/>
      <c r="AE374" s="76" t="n"/>
      <c r="AF374" s="76" t="n"/>
      <c r="AG374" s="76" t="n"/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</row>
    <row r="375">
      <c r="A375" s="76" t="inlineStr">
        <is>
          <t>MT</t>
        </is>
      </c>
      <c r="B375" s="76" t="inlineStr">
        <is>
          <t>Other</t>
        </is>
      </c>
      <c r="C375" s="76" t="n">
        <v>0.4375</v>
      </c>
      <c r="D375" s="76" t="n">
        <v>0.4375</v>
      </c>
      <c r="E375" s="76" t="n">
        <v>0.4375</v>
      </c>
      <c r="F375" s="76" t="n">
        <v>0.4375</v>
      </c>
      <c r="G375" s="76" t="n">
        <v>0.4375</v>
      </c>
      <c r="H375" s="76" t="n">
        <v>0.4375</v>
      </c>
      <c r="I375" s="76" t="n">
        <v>0.4375</v>
      </c>
      <c r="J375" s="76" t="n">
        <v>0.4375</v>
      </c>
      <c r="K375" s="76" t="n">
        <v>0.4375</v>
      </c>
      <c r="L375" s="76" t="n">
        <v>0.4375</v>
      </c>
      <c r="M375" s="76" t="n">
        <v>0.4375</v>
      </c>
      <c r="N375" s="76" t="n">
        <v>0.4375</v>
      </c>
      <c r="O375" s="76" t="n">
        <v>0.4375</v>
      </c>
      <c r="P375" s="76" t="n">
        <v>0.4375</v>
      </c>
      <c r="Q375" s="76" t="n">
        <v>0.4375</v>
      </c>
      <c r="R375" s="76" t="n">
        <v>0.4375</v>
      </c>
      <c r="S375" s="76" t="n">
        <v>0.4375</v>
      </c>
      <c r="T375" s="76" t="n">
        <v>0.4375</v>
      </c>
      <c r="U375" s="76" t="n">
        <v>0.4375</v>
      </c>
      <c r="V375" s="76" t="n">
        <v>0.4375</v>
      </c>
      <c r="W375" s="76" t="n">
        <v>0.4375</v>
      </c>
      <c r="X375" s="76" t="n">
        <v>0.4375</v>
      </c>
      <c r="Y375" s="76" t="n">
        <v>0.4375</v>
      </c>
      <c r="Z375" s="76" t="n">
        <v>0.4375</v>
      </c>
      <c r="AA375" s="76" t="n">
        <v>0.4375</v>
      </c>
      <c r="AB375" s="76" t="n">
        <v>0.4375</v>
      </c>
      <c r="AC375" s="76" t="n">
        <v>0.4375</v>
      </c>
      <c r="AD375" s="76" t="n">
        <v>0.4375</v>
      </c>
      <c r="AE375" s="76" t="n">
        <v>0.4375</v>
      </c>
      <c r="AF375" s="76" t="n">
        <v>0.4375</v>
      </c>
      <c r="AG375" s="76" t="n">
        <v>0.4375</v>
      </c>
      <c r="AH375" s="76" t="n">
        <v>0.4375</v>
      </c>
      <c r="AI375" s="76" t="n">
        <v>0.4375</v>
      </c>
      <c r="AJ375" s="76" t="n">
        <v>0.4375</v>
      </c>
      <c r="AK375" s="76" t="n">
        <v>0.4375</v>
      </c>
      <c r="AL375" s="76" t="n">
        <v>0.875</v>
      </c>
      <c r="AM375" s="76" t="n">
        <v>0.875</v>
      </c>
      <c r="AN375" s="76" t="n">
        <v>0.875</v>
      </c>
      <c r="AO375" s="76" t="n">
        <v>0.875</v>
      </c>
      <c r="AP375" s="76" t="n">
        <v>0.875</v>
      </c>
      <c r="AQ375" s="76" t="n">
        <v>0.875</v>
      </c>
      <c r="AR375" s="76" t="n">
        <v>0.4720394736842105</v>
      </c>
    </row>
    <row r="376">
      <c r="A376" s="76" t="inlineStr">
        <is>
          <t>MT</t>
        </is>
      </c>
      <c r="B376" s="76" t="inlineStr">
        <is>
          <t>Utility PV</t>
        </is>
      </c>
      <c r="C376" s="76" t="n"/>
      <c r="D376" s="76" t="n"/>
      <c r="E376" s="76" t="n"/>
      <c r="F376" s="76" t="n"/>
      <c r="G376" s="76" t="n"/>
      <c r="H376" s="76" t="n"/>
      <c r="I376" s="76" t="n"/>
      <c r="J376" s="76" t="n">
        <v>0.218</v>
      </c>
      <c r="K376" s="76" t="n">
        <v>0.218</v>
      </c>
      <c r="L376" s="76" t="n">
        <v>0.217</v>
      </c>
      <c r="M376" s="76" t="n">
        <v>0.2155</v>
      </c>
      <c r="N376" s="76" t="n">
        <v>0.2145</v>
      </c>
      <c r="O376" s="76" t="n">
        <v>0.2135</v>
      </c>
      <c r="P376" s="76" t="n">
        <v>0.2125</v>
      </c>
      <c r="Q376" s="76" t="n">
        <v>0.2115</v>
      </c>
      <c r="R376" s="76" t="n">
        <v>0.2105</v>
      </c>
      <c r="S376" s="76" t="n">
        <v>0.2095</v>
      </c>
      <c r="T376" s="76" t="n">
        <v>0.2085</v>
      </c>
      <c r="U376" s="76" t="n">
        <v>0.2075</v>
      </c>
      <c r="V376" s="76" t="n">
        <v>0.2055</v>
      </c>
      <c r="W376" s="76" t="n">
        <v>0.203</v>
      </c>
      <c r="X376" s="76" t="n">
        <v>0.1965</v>
      </c>
      <c r="Y376" s="76" t="n">
        <v>0.1895</v>
      </c>
      <c r="Z376" s="76" t="n">
        <v>0.193</v>
      </c>
      <c r="AA376" s="76" t="n">
        <v>0.197</v>
      </c>
      <c r="AB376" s="76" t="n">
        <v>0.2005</v>
      </c>
      <c r="AC376" s="76" t="n">
        <v>0.1995</v>
      </c>
      <c r="AD376" s="76" t="n">
        <v>0.1985</v>
      </c>
      <c r="AE376" s="76" t="n">
        <v>0.1975</v>
      </c>
      <c r="AF376" s="76" t="n">
        <v>0.1965</v>
      </c>
      <c r="AG376" s="76" t="n">
        <v>0.1955</v>
      </c>
      <c r="AH376" s="76" t="n">
        <v>0.1945</v>
      </c>
      <c r="AI376" s="76" t="n">
        <v>0.1935</v>
      </c>
      <c r="AJ376" s="76" t="n">
        <v>0.1925</v>
      </c>
      <c r="AK376" s="76" t="n">
        <v>0.1915</v>
      </c>
      <c r="AL376" s="76" t="n">
        <v>0.1905</v>
      </c>
      <c r="AM376" s="76" t="n">
        <v>0.2005</v>
      </c>
      <c r="AN376" s="76" t="n">
        <v>0.201</v>
      </c>
      <c r="AO376" s="76" t="n">
        <v>0.201</v>
      </c>
      <c r="AP376" s="76" t="n">
        <v>0.2015</v>
      </c>
      <c r="AQ376" s="76" t="n">
        <v>0.2</v>
      </c>
      <c r="AR376" s="76" t="n">
        <v>0.2028088235294117</v>
      </c>
    </row>
    <row r="377">
      <c r="A377" s="76" t="inlineStr">
        <is>
          <t>MT</t>
        </is>
      </c>
      <c r="B377" s="76" t="inlineStr">
        <is>
          <t>Wind offshore</t>
        </is>
      </c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  <c r="AA377" s="76" t="n"/>
      <c r="AB377" s="76" t="n"/>
      <c r="AC377" s="76" t="n"/>
      <c r="AD377" s="76" t="n"/>
      <c r="AE377" s="76" t="n"/>
      <c r="AF377" s="76" t="n"/>
      <c r="AG377" s="76" t="n"/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</row>
    <row r="378">
      <c r="A378" s="76" t="inlineStr">
        <is>
          <t>MT</t>
        </is>
      </c>
      <c r="B378" s="76" t="inlineStr">
        <is>
          <t>Wind onshore</t>
        </is>
      </c>
      <c r="C378" s="76" t="n">
        <v>0.3006666666666666</v>
      </c>
      <c r="D378" s="76" t="n">
        <v>0.315</v>
      </c>
      <c r="E378" s="76" t="n">
        <v>0.323</v>
      </c>
      <c r="F378" s="76" t="n">
        <v>0.3243333333333334</v>
      </c>
      <c r="G378" s="76" t="n">
        <v>0.3256666666666666</v>
      </c>
      <c r="H378" s="76" t="n">
        <v>0.3243333333333333</v>
      </c>
      <c r="I378" s="76" t="n">
        <v>0.3233333333333333</v>
      </c>
      <c r="J378" s="76" t="n">
        <v>0.3286666666666667</v>
      </c>
      <c r="K378" s="76" t="n">
        <v>0.3326666666666667</v>
      </c>
      <c r="L378" s="76" t="n">
        <v>0.3773333333333334</v>
      </c>
      <c r="M378" s="76" t="n">
        <v>0.3953333333333333</v>
      </c>
      <c r="N378" s="76" t="n">
        <v>0.414</v>
      </c>
      <c r="O378" s="76" t="n">
        <v>0.415</v>
      </c>
      <c r="P378" s="76" t="n">
        <v>0.4264</v>
      </c>
      <c r="Q378" s="76" t="n">
        <v>0.4269999999999999</v>
      </c>
      <c r="R378" s="76" t="n">
        <v>0.4398000000000001</v>
      </c>
      <c r="S378" s="76" t="n">
        <v>0.4446</v>
      </c>
      <c r="T378" s="76" t="n">
        <v>0.4464</v>
      </c>
      <c r="U378" s="76" t="n">
        <v>0.4478</v>
      </c>
      <c r="V378" s="76" t="n">
        <v>0.4444</v>
      </c>
      <c r="W378" s="76" t="n">
        <v>0.4434</v>
      </c>
      <c r="X378" s="76" t="n">
        <v>0.4438</v>
      </c>
      <c r="Y378" s="76" t="n">
        <v>0.4442</v>
      </c>
      <c r="Z378" s="76" t="n">
        <v>0.4454000000000001</v>
      </c>
      <c r="AA378" s="76" t="n">
        <v>0.4462</v>
      </c>
      <c r="AB378" s="76" t="n">
        <v>0.4470000000000001</v>
      </c>
      <c r="AC378" s="76" t="n">
        <v>0.4482</v>
      </c>
      <c r="AD378" s="76" t="n">
        <v>0.4494</v>
      </c>
      <c r="AE378" s="76" t="n">
        <v>0.45</v>
      </c>
      <c r="AF378" s="76" t="n">
        <v>0.451</v>
      </c>
      <c r="AG378" s="76" t="n">
        <v>0.4516</v>
      </c>
      <c r="AH378" s="76" t="n">
        <v>0.4512</v>
      </c>
      <c r="AI378" s="76" t="n">
        <v>0.451</v>
      </c>
      <c r="AJ378" s="76" t="n">
        <v>0.4508</v>
      </c>
      <c r="AK378" s="76" t="n">
        <v>0.4502</v>
      </c>
      <c r="AL378" s="76" t="n">
        <v>0.45</v>
      </c>
      <c r="AM378" s="76" t="n">
        <v>0.4524</v>
      </c>
      <c r="AN378" s="76" t="n">
        <v>0.4546</v>
      </c>
      <c r="AO378" s="76" t="n">
        <v>0.457</v>
      </c>
      <c r="AP378" s="76" t="n">
        <v>0.4596</v>
      </c>
      <c r="AQ378" s="76" t="n">
        <v>0.462</v>
      </c>
      <c r="AR378" s="76" t="n">
        <v>0.4254364640883976</v>
      </c>
    </row>
    <row r="379">
      <c r="A379" s="76" t="inlineStr">
        <is>
          <t>NC</t>
        </is>
      </c>
      <c r="B379" s="76" t="inlineStr">
        <is>
          <t>NC</t>
        </is>
      </c>
      <c r="C379" s="76" t="n">
        <v>0.3146111111111111</v>
      </c>
      <c r="D379" s="76" t="n">
        <v>0.338</v>
      </c>
      <c r="E379" s="76" t="n">
        <v>0.3277222222222222</v>
      </c>
      <c r="F379" s="76" t="n">
        <v>0.3458333333333333</v>
      </c>
      <c r="G379" s="76" t="n">
        <v>0.3649444444444445</v>
      </c>
      <c r="H379" s="76" t="n">
        <v>0.3551052631578948</v>
      </c>
      <c r="I379" s="76" t="n">
        <v>0.3454736842105263</v>
      </c>
      <c r="J379" s="76" t="n">
        <v>0.3294</v>
      </c>
      <c r="K379" s="76" t="n">
        <v>0.33415</v>
      </c>
      <c r="L379" s="76" t="n">
        <v>0.32775</v>
      </c>
      <c r="M379" s="76" t="n">
        <v>0.32095</v>
      </c>
      <c r="N379" s="76" t="n">
        <v>0.3250952380952381</v>
      </c>
      <c r="O379" s="76" t="n">
        <v>0.3251904761904762</v>
      </c>
      <c r="P379" s="76" t="n">
        <v>0.3155714285714285</v>
      </c>
      <c r="Q379" s="76" t="n">
        <v>0.305904761904762</v>
      </c>
      <c r="R379" s="76" t="n">
        <v>0.2807727272727272</v>
      </c>
      <c r="S379" s="76" t="n">
        <v>0.2682727272727272</v>
      </c>
      <c r="T379" s="76" t="n">
        <v>0.2614545454545455</v>
      </c>
      <c r="U379" s="76" t="n">
        <v>0.2549999999999999</v>
      </c>
      <c r="V379" s="76" t="n">
        <v>0.2521363636363636</v>
      </c>
      <c r="W379" s="76" t="n">
        <v>0.2471818181818181</v>
      </c>
      <c r="X379" s="76" t="n">
        <v>0.2449090909090909</v>
      </c>
      <c r="Y379" s="76" t="n">
        <v>0.2424545454545455</v>
      </c>
      <c r="Z379" s="76" t="n">
        <v>0.2385454545454546</v>
      </c>
      <c r="AA379" s="76" t="n">
        <v>0.2355454545454546</v>
      </c>
      <c r="AB379" s="76" t="n">
        <v>0.23275</v>
      </c>
      <c r="AC379" s="76" t="n">
        <v>0.237</v>
      </c>
      <c r="AD379" s="76" t="n">
        <v>0.2389047619047619</v>
      </c>
      <c r="AE379" s="76" t="n">
        <v>0.2415714285714286</v>
      </c>
      <c r="AF379" s="76" t="n">
        <v>0.2463809523809525</v>
      </c>
      <c r="AG379" s="76" t="n">
        <v>0.2580000000000001</v>
      </c>
      <c r="AH379" s="76" t="n">
        <v>0.2621428571428571</v>
      </c>
      <c r="AI379" s="76" t="n">
        <v>0.2632857142857143</v>
      </c>
      <c r="AJ379" s="76" t="n">
        <v>0.264</v>
      </c>
      <c r="AK379" s="76" t="n">
        <v>0.2645714285714285</v>
      </c>
      <c r="AL379" s="76" t="n">
        <v>0.2651428571428571</v>
      </c>
      <c r="AM379" s="76" t="n">
        <v>0.2662857142857143</v>
      </c>
      <c r="AN379" s="76" t="n">
        <v>0.2668571428571429</v>
      </c>
      <c r="AO379" s="76" t="n">
        <v>0.2674761904761904</v>
      </c>
      <c r="AP379" s="76" t="n">
        <v>0.267952380952381</v>
      </c>
      <c r="AQ379" s="76" t="n">
        <v>0.2681904761904762</v>
      </c>
      <c r="AR379" s="76" t="n">
        <v>0.2814273907910272</v>
      </c>
    </row>
    <row r="380">
      <c r="A380" s="76" t="inlineStr">
        <is>
          <t>NC</t>
        </is>
      </c>
      <c r="B380" s="76" t="inlineStr">
        <is>
          <t>Battery</t>
        </is>
      </c>
      <c r="C380" s="76" t="n"/>
      <c r="D380" s="76" t="n"/>
      <c r="E380" s="76" t="n"/>
      <c r="F380" s="76" t="n"/>
      <c r="G380" s="76" t="n"/>
      <c r="H380" s="76" t="n"/>
      <c r="I380" s="76" t="n"/>
      <c r="J380" s="76" t="n">
        <v>-0.07000000000000001</v>
      </c>
      <c r="K380" s="76" t="n">
        <v>-0.07000000000000001</v>
      </c>
      <c r="L380" s="76" t="n">
        <v>-0.06900000000000001</v>
      </c>
      <c r="M380" s="76" t="n">
        <v>-0.06900000000000001</v>
      </c>
      <c r="N380" s="76" t="n">
        <v>-0.07099999999999999</v>
      </c>
      <c r="O380" s="76" t="n">
        <v>-0.07199999999999999</v>
      </c>
      <c r="P380" s="76" t="n">
        <v>-0.075</v>
      </c>
      <c r="Q380" s="76" t="n">
        <v>-0.078</v>
      </c>
      <c r="R380" s="76" t="n">
        <v>-0.046</v>
      </c>
      <c r="S380" s="76" t="n">
        <v>-0.046</v>
      </c>
      <c r="T380" s="76" t="n">
        <v>-0.047</v>
      </c>
      <c r="U380" s="76" t="n">
        <v>-0.0475</v>
      </c>
      <c r="V380" s="76" t="n">
        <v>-0.0505</v>
      </c>
      <c r="W380" s="76" t="n">
        <v>-0.051</v>
      </c>
      <c r="X380" s="76" t="n">
        <v>-0.05300000000000001</v>
      </c>
      <c r="Y380" s="76" t="n">
        <v>-0.0545</v>
      </c>
      <c r="Z380" s="76" t="n">
        <v>-0.05649999999999999</v>
      </c>
      <c r="AA380" s="76" t="n">
        <v>-0.0575</v>
      </c>
      <c r="AB380" s="76" t="n">
        <v>-0.059</v>
      </c>
      <c r="AC380" s="76" t="n">
        <v>-0.062</v>
      </c>
      <c r="AD380" s="76" t="n">
        <v>-0.0645</v>
      </c>
      <c r="AE380" s="76" t="n">
        <v>-0.067</v>
      </c>
      <c r="AF380" s="76" t="n">
        <v>-0.06900000000000001</v>
      </c>
      <c r="AG380" s="76" t="n">
        <v>-0.07100000000000001</v>
      </c>
      <c r="AH380" s="76" t="n">
        <v>-0.06900000000000001</v>
      </c>
      <c r="AI380" s="76" t="n">
        <v>-0.067</v>
      </c>
      <c r="AJ380" s="76" t="n">
        <v>-0.066</v>
      </c>
      <c r="AK380" s="76" t="n">
        <v>-0.065</v>
      </c>
      <c r="AL380" s="76" t="n">
        <v>-0.064</v>
      </c>
      <c r="AM380" s="76" t="n">
        <v>-0.061</v>
      </c>
      <c r="AN380" s="76" t="n">
        <v>-0.0595</v>
      </c>
      <c r="AO380" s="76" t="n">
        <v>-0.0575</v>
      </c>
      <c r="AP380" s="76" t="n">
        <v>-0.05599999999999999</v>
      </c>
      <c r="AQ380" s="76" t="n">
        <v>-0.055</v>
      </c>
      <c r="AR380" s="76" t="n">
        <v>-0.06030000000000001</v>
      </c>
    </row>
    <row r="381">
      <c r="A381" s="76" t="inlineStr">
        <is>
          <t>NC</t>
        </is>
      </c>
      <c r="B381" s="76" t="inlineStr">
        <is>
          <t>Biopower</t>
        </is>
      </c>
      <c r="C381" s="76" t="n">
        <v>0.433</v>
      </c>
      <c r="D381" s="76" t="n">
        <v>0.3805</v>
      </c>
      <c r="E381" s="76" t="n">
        <v>0.33</v>
      </c>
      <c r="F381" s="76" t="n">
        <v>0.342</v>
      </c>
      <c r="G381" s="76" t="n">
        <v>0.3535</v>
      </c>
      <c r="H381" s="76" t="n">
        <v>0.3155</v>
      </c>
      <c r="I381" s="76" t="n">
        <v>0.276</v>
      </c>
      <c r="J381" s="76" t="n">
        <v>0.277</v>
      </c>
      <c r="K381" s="76" t="n">
        <v>0.2775</v>
      </c>
      <c r="L381" s="76" t="n">
        <v>0.2775</v>
      </c>
      <c r="M381" s="76" t="n">
        <v>0.2775</v>
      </c>
      <c r="N381" s="76" t="n">
        <v>0.2775</v>
      </c>
      <c r="O381" s="76" t="n">
        <v>0.2775</v>
      </c>
      <c r="P381" s="76" t="n">
        <v>0.2775</v>
      </c>
      <c r="Q381" s="76" t="n">
        <v>0.2775</v>
      </c>
      <c r="R381" s="76" t="n">
        <v>0.2775</v>
      </c>
      <c r="S381" s="76" t="n">
        <v>0.2775</v>
      </c>
      <c r="T381" s="76" t="n">
        <v>0.2775</v>
      </c>
      <c r="U381" s="76" t="n">
        <v>0.2775</v>
      </c>
      <c r="V381" s="76" t="n">
        <v>0.2775</v>
      </c>
      <c r="W381" s="76" t="n">
        <v>0.2775</v>
      </c>
      <c r="X381" s="76" t="n">
        <v>0.2775</v>
      </c>
      <c r="Y381" s="76" t="n">
        <v>0.2775</v>
      </c>
      <c r="Z381" s="76" t="n">
        <v>0.28</v>
      </c>
      <c r="AA381" s="76" t="n">
        <v>0.283</v>
      </c>
      <c r="AB381" s="76" t="n">
        <v>0.2855</v>
      </c>
      <c r="AC381" s="76" t="n">
        <v>0.296</v>
      </c>
      <c r="AD381" s="76" t="n">
        <v>0.311</v>
      </c>
      <c r="AE381" s="76" t="n">
        <v>0.3345</v>
      </c>
      <c r="AF381" s="76" t="n">
        <v>0.38</v>
      </c>
      <c r="AG381" s="76" t="n">
        <v>0.499</v>
      </c>
      <c r="AH381" s="76" t="n">
        <v>0.4955</v>
      </c>
      <c r="AI381" s="76" t="n">
        <v>0.492</v>
      </c>
      <c r="AJ381" s="76" t="n">
        <v>0.489</v>
      </c>
      <c r="AK381" s="76" t="n">
        <v>0.4855</v>
      </c>
      <c r="AL381" s="76" t="n">
        <v>0.482</v>
      </c>
      <c r="AM381" s="76" t="n">
        <v>0.4775</v>
      </c>
      <c r="AN381" s="76" t="n">
        <v>0.4725</v>
      </c>
      <c r="AO381" s="76" t="n">
        <v>0.4675</v>
      </c>
      <c r="AP381" s="76" t="n">
        <v>0.463</v>
      </c>
      <c r="AQ381" s="76" t="n">
        <v>0.458</v>
      </c>
      <c r="AR381" s="76" t="n">
        <v>0.3493048780487807</v>
      </c>
    </row>
    <row r="382">
      <c r="A382" s="76" t="inlineStr">
        <is>
          <t>NC</t>
        </is>
      </c>
      <c r="B382" s="76" t="inlineStr">
        <is>
          <t>Coal</t>
        </is>
      </c>
      <c r="C382" s="76" t="n">
        <v>0.653</v>
      </c>
      <c r="D382" s="76" t="n">
        <v>0.505</v>
      </c>
      <c r="E382" s="76" t="n">
        <v>0.3365</v>
      </c>
      <c r="F382" s="76" t="n">
        <v>0.4984999999999999</v>
      </c>
      <c r="G382" s="76" t="n">
        <v>0.6685000000000001</v>
      </c>
      <c r="H382" s="76" t="n">
        <v>0.5615</v>
      </c>
      <c r="I382" s="76" t="n">
        <v>0.455</v>
      </c>
      <c r="J382" s="76" t="n">
        <v>0.503</v>
      </c>
      <c r="K382" s="76" t="n">
        <v>0.554</v>
      </c>
      <c r="L382" s="76" t="n">
        <v>0.489</v>
      </c>
      <c r="M382" s="76" t="n">
        <v>0.422</v>
      </c>
      <c r="N382" s="76" t="n">
        <v>0.4215</v>
      </c>
      <c r="O382" s="76" t="n">
        <v>0.4235</v>
      </c>
      <c r="P382" s="76" t="n">
        <v>0.42</v>
      </c>
      <c r="Q382" s="76" t="n">
        <v>0.4165</v>
      </c>
      <c r="R382" s="76" t="n">
        <v>0.392</v>
      </c>
      <c r="S382" s="76" t="n">
        <v>0.3675</v>
      </c>
      <c r="T382" s="76" t="n">
        <v>0.354</v>
      </c>
      <c r="U382" s="76" t="n">
        <v>0.34</v>
      </c>
      <c r="V382" s="76" t="n">
        <v>0.2945</v>
      </c>
      <c r="W382" s="76" t="n">
        <v>0.2485</v>
      </c>
      <c r="X382" s="76" t="n">
        <v>0.241</v>
      </c>
      <c r="Y382" s="76" t="n">
        <v>0.232</v>
      </c>
      <c r="Z382" s="76" t="n">
        <v>0.232</v>
      </c>
      <c r="AA382" s="76" t="n">
        <v>0.232</v>
      </c>
      <c r="AB382" s="76" t="n"/>
      <c r="AC382" s="76" t="n"/>
      <c r="AD382" s="76" t="n"/>
      <c r="AE382" s="76" t="n"/>
      <c r="AF382" s="76" t="n"/>
      <c r="AG382" s="76" t="n"/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>
        <v>0.41044</v>
      </c>
    </row>
    <row r="383">
      <c r="A383" s="76" t="inlineStr">
        <is>
          <t>NC</t>
        </is>
      </c>
      <c r="B383" s="76" t="inlineStr">
        <is>
          <t>CSP</t>
        </is>
      </c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6" t="n"/>
      <c r="AC383" s="76" t="n"/>
      <c r="AD383" s="76" t="n"/>
      <c r="AE383" s="76" t="n"/>
      <c r="AF383" s="76" t="n"/>
      <c r="AG383" s="76" t="n"/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</row>
    <row r="384">
      <c r="A384" s="76" t="inlineStr">
        <is>
          <t>NC</t>
        </is>
      </c>
      <c r="B384" s="76" t="inlineStr">
        <is>
          <t>Dist PV</t>
        </is>
      </c>
      <c r="C384" s="76" t="n">
        <v>0.1745</v>
      </c>
      <c r="D384" s="76" t="n">
        <v>0.1745</v>
      </c>
      <c r="E384" s="76" t="n">
        <v>0.1745</v>
      </c>
      <c r="F384" s="76" t="n">
        <v>0.1745</v>
      </c>
      <c r="G384" s="76" t="n">
        <v>0.1745</v>
      </c>
      <c r="H384" s="76" t="n">
        <v>0.1745</v>
      </c>
      <c r="I384" s="76" t="n">
        <v>0.1745</v>
      </c>
      <c r="J384" s="76" t="n">
        <v>0.1745</v>
      </c>
      <c r="K384" s="76" t="n">
        <v>0.1745</v>
      </c>
      <c r="L384" s="76" t="n">
        <v>0.1745</v>
      </c>
      <c r="M384" s="76" t="n">
        <v>0.1745</v>
      </c>
      <c r="N384" s="76" t="n">
        <v>0.1745</v>
      </c>
      <c r="O384" s="76" t="n">
        <v>0.1745</v>
      </c>
      <c r="P384" s="76" t="n">
        <v>0.1745</v>
      </c>
      <c r="Q384" s="76" t="n">
        <v>0.1745</v>
      </c>
      <c r="R384" s="76" t="n">
        <v>0.1655</v>
      </c>
      <c r="S384" s="76" t="n">
        <v>0.159</v>
      </c>
      <c r="T384" s="76" t="n">
        <v>0.1575</v>
      </c>
      <c r="U384" s="76" t="n">
        <v>0.1565</v>
      </c>
      <c r="V384" s="76" t="n">
        <v>0.167</v>
      </c>
      <c r="W384" s="76" t="n">
        <v>0.1745</v>
      </c>
      <c r="X384" s="76" t="n">
        <v>0.1745</v>
      </c>
      <c r="Y384" s="76" t="n">
        <v>0.1745</v>
      </c>
      <c r="Z384" s="76" t="n">
        <v>0.168</v>
      </c>
      <c r="AA384" s="76" t="n">
        <v>0.163</v>
      </c>
      <c r="AB384" s="76" t="n">
        <v>0.159</v>
      </c>
      <c r="AC384" s="76" t="n">
        <v>0.1635</v>
      </c>
      <c r="AD384" s="76" t="n">
        <v>0.167</v>
      </c>
      <c r="AE384" s="76" t="n">
        <v>0.17</v>
      </c>
      <c r="AF384" s="76" t="n">
        <v>0.1725</v>
      </c>
      <c r="AG384" s="76" t="n">
        <v>0.1745</v>
      </c>
      <c r="AH384" s="76" t="n">
        <v>0.1745</v>
      </c>
      <c r="AI384" s="76" t="n">
        <v>0.1745</v>
      </c>
      <c r="AJ384" s="76" t="n">
        <v>0.1745</v>
      </c>
      <c r="AK384" s="76" t="n">
        <v>0.1745</v>
      </c>
      <c r="AL384" s="76" t="n">
        <v>0.1745</v>
      </c>
      <c r="AM384" s="76" t="n">
        <v>0.1745</v>
      </c>
      <c r="AN384" s="76" t="n">
        <v>0.1745</v>
      </c>
      <c r="AO384" s="76" t="n">
        <v>0.1745</v>
      </c>
      <c r="AP384" s="76" t="n">
        <v>0.1745</v>
      </c>
      <c r="AQ384" s="76" t="n">
        <v>0.1745</v>
      </c>
      <c r="AR384" s="76" t="n">
        <v>0.1714390243902439</v>
      </c>
    </row>
    <row r="385">
      <c r="A385" s="76" t="inlineStr">
        <is>
          <t>NC</t>
        </is>
      </c>
      <c r="B385" s="76" t="inlineStr">
        <is>
          <t>Gas CCGT</t>
        </is>
      </c>
      <c r="C385" s="76" t="n">
        <v>0.164</v>
      </c>
      <c r="D385" s="76" t="n">
        <v>0.614</v>
      </c>
      <c r="E385" s="76" t="n">
        <v>0.778</v>
      </c>
      <c r="F385" s="76" t="n">
        <v>0.7110000000000001</v>
      </c>
      <c r="G385" s="76" t="n">
        <v>0.646</v>
      </c>
      <c r="H385" s="76" t="n">
        <v>0.736</v>
      </c>
      <c r="I385" s="76" t="n">
        <v>0.8265</v>
      </c>
      <c r="J385" s="76" t="n">
        <v>0.8240000000000001</v>
      </c>
      <c r="K385" s="76" t="n">
        <v>0.8220000000000001</v>
      </c>
      <c r="L385" s="76" t="n">
        <v>0.823</v>
      </c>
      <c r="M385" s="76" t="n">
        <v>0.8235</v>
      </c>
      <c r="N385" s="76" t="n">
        <v>0.8240000000000001</v>
      </c>
      <c r="O385" s="76" t="n">
        <v>0.8245</v>
      </c>
      <c r="P385" s="76" t="n">
        <v>0.7685</v>
      </c>
      <c r="Q385" s="76" t="n">
        <v>0.7124999999999999</v>
      </c>
      <c r="R385" s="76" t="n">
        <v>0.626</v>
      </c>
      <c r="S385" s="76" t="n">
        <v>0.5405</v>
      </c>
      <c r="T385" s="76" t="n">
        <v>0.4944999999999999</v>
      </c>
      <c r="U385" s="76" t="n">
        <v>0.4485</v>
      </c>
      <c r="V385" s="76" t="n">
        <v>0.416</v>
      </c>
      <c r="W385" s="76" t="n">
        <v>0.3835</v>
      </c>
      <c r="X385" s="76" t="n">
        <v>0.364</v>
      </c>
      <c r="Y385" s="76" t="n">
        <v>0.3445</v>
      </c>
      <c r="Z385" s="76" t="n">
        <v>0.318</v>
      </c>
      <c r="AA385" s="76" t="n">
        <v>0.2915</v>
      </c>
      <c r="AB385" s="76" t="n">
        <v>0.265</v>
      </c>
      <c r="AC385" s="76" t="n">
        <v>0.2705</v>
      </c>
      <c r="AD385" s="76" t="n">
        <v>0.2765</v>
      </c>
      <c r="AE385" s="76" t="n">
        <v>0.283</v>
      </c>
      <c r="AF385" s="76" t="n">
        <v>0.2895</v>
      </c>
      <c r="AG385" s="76" t="n">
        <v>0.295</v>
      </c>
      <c r="AH385" s="76" t="n">
        <v>0.298</v>
      </c>
      <c r="AI385" s="76" t="n">
        <v>0.3005</v>
      </c>
      <c r="AJ385" s="76" t="n">
        <v>0.3025</v>
      </c>
      <c r="AK385" s="76" t="n">
        <v>0.305</v>
      </c>
      <c r="AL385" s="76" t="n">
        <v>0.3075</v>
      </c>
      <c r="AM385" s="76" t="n">
        <v>0.3075</v>
      </c>
      <c r="AN385" s="76" t="n">
        <v>0.3075</v>
      </c>
      <c r="AO385" s="76" t="n">
        <v>0.308</v>
      </c>
      <c r="AP385" s="76" t="n">
        <v>0.3085</v>
      </c>
      <c r="AQ385" s="76" t="n">
        <v>0.3085</v>
      </c>
      <c r="AR385" s="76" t="n">
        <v>0.4843292682926826</v>
      </c>
    </row>
    <row r="386">
      <c r="A386" s="76" t="inlineStr">
        <is>
          <t>NC</t>
        </is>
      </c>
      <c r="B386" s="76" t="inlineStr">
        <is>
          <t>Gas CT</t>
        </is>
      </c>
      <c r="C386" s="76" t="n">
        <v>0.005</v>
      </c>
      <c r="D386" s="76" t="n">
        <v>0.004500000000000001</v>
      </c>
      <c r="E386" s="76" t="n">
        <v>0.004</v>
      </c>
      <c r="F386" s="76" t="n">
        <v>0.005</v>
      </c>
      <c r="G386" s="76" t="n">
        <v>0.0055</v>
      </c>
      <c r="H386" s="76" t="n">
        <v>0.005</v>
      </c>
      <c r="I386" s="76" t="n">
        <v>0.004</v>
      </c>
      <c r="J386" s="76" t="n">
        <v>0.0055</v>
      </c>
      <c r="K386" s="76" t="n">
        <v>0.006</v>
      </c>
      <c r="L386" s="76" t="n">
        <v>0.0055</v>
      </c>
      <c r="M386" s="76" t="n">
        <v>0.004</v>
      </c>
      <c r="N386" s="76" t="n">
        <v>0.004</v>
      </c>
      <c r="O386" s="76" t="n">
        <v>0.0035</v>
      </c>
      <c r="P386" s="76" t="n">
        <v>0.004</v>
      </c>
      <c r="Q386" s="76" t="n">
        <v>0.0035</v>
      </c>
      <c r="R386" s="76" t="n">
        <v>0.003</v>
      </c>
      <c r="S386" s="76" t="n">
        <v>0.003</v>
      </c>
      <c r="T386" s="76" t="n">
        <v>0.0015</v>
      </c>
      <c r="U386" s="76" t="n">
        <v>0</v>
      </c>
      <c r="V386" s="76" t="n">
        <v>0</v>
      </c>
      <c r="W386" s="76" t="n">
        <v>0</v>
      </c>
      <c r="X386" s="76" t="n">
        <v>0</v>
      </c>
      <c r="Y386" s="76" t="n">
        <v>0</v>
      </c>
      <c r="Z386" s="76" t="n">
        <v>0</v>
      </c>
      <c r="AA386" s="76" t="n">
        <v>0</v>
      </c>
      <c r="AB386" s="76" t="n">
        <v>0</v>
      </c>
      <c r="AC386" s="76" t="n">
        <v>0</v>
      </c>
      <c r="AD386" s="76" t="n">
        <v>0</v>
      </c>
      <c r="AE386" s="76" t="n">
        <v>0</v>
      </c>
      <c r="AF386" s="76" t="n">
        <v>0</v>
      </c>
      <c r="AG386" s="76" t="n">
        <v>0</v>
      </c>
      <c r="AH386" s="76" t="n">
        <v>0</v>
      </c>
      <c r="AI386" s="76" t="n">
        <v>0</v>
      </c>
      <c r="AJ386" s="76" t="n">
        <v>0</v>
      </c>
      <c r="AK386" s="76" t="n">
        <v>0</v>
      </c>
      <c r="AL386" s="76" t="n">
        <v>0</v>
      </c>
      <c r="AM386" s="76" t="n">
        <v>0</v>
      </c>
      <c r="AN386" s="76" t="n">
        <v>0</v>
      </c>
      <c r="AO386" s="76" t="n">
        <v>0</v>
      </c>
      <c r="AP386" s="76" t="n">
        <v>0</v>
      </c>
      <c r="AQ386" s="76" t="n">
        <v>0</v>
      </c>
      <c r="AR386" s="76" t="n">
        <v>0.001865853658536586</v>
      </c>
    </row>
    <row r="387">
      <c r="A387" s="76" t="inlineStr">
        <is>
          <t>NC</t>
        </is>
      </c>
      <c r="B387" s="76" t="inlineStr">
        <is>
          <t>Geothermal</t>
        </is>
      </c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76" t="n"/>
      <c r="AC387" s="76" t="n"/>
      <c r="AD387" s="76" t="n"/>
      <c r="AE387" s="76" t="n"/>
      <c r="AF387" s="76" t="n"/>
      <c r="AG387" s="76" t="n"/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</row>
    <row r="388">
      <c r="A388" s="76" t="inlineStr">
        <is>
          <t>NC</t>
        </is>
      </c>
      <c r="B388" s="76" t="inlineStr">
        <is>
          <t>Hydro</t>
        </is>
      </c>
      <c r="C388" s="76" t="n">
        <v>0.2635</v>
      </c>
      <c r="D388" s="76" t="n">
        <v>0.2265</v>
      </c>
      <c r="E388" s="76" t="n">
        <v>0.1895</v>
      </c>
      <c r="F388" s="76" t="n">
        <v>0.2445</v>
      </c>
      <c r="G388" s="76" t="n">
        <v>0.2995</v>
      </c>
      <c r="H388" s="76" t="n">
        <v>0.265</v>
      </c>
      <c r="I388" s="76" t="n">
        <v>0.23</v>
      </c>
      <c r="J388" s="76" t="n">
        <v>0.231</v>
      </c>
      <c r="K388" s="76" t="n">
        <v>0.2315</v>
      </c>
      <c r="L388" s="76" t="n">
        <v>0.2315</v>
      </c>
      <c r="M388" s="76" t="n">
        <v>0.232</v>
      </c>
      <c r="N388" s="76" t="n">
        <v>0.2315</v>
      </c>
      <c r="O388" s="76" t="n">
        <v>0.2305</v>
      </c>
      <c r="P388" s="76" t="n">
        <v>0.2305</v>
      </c>
      <c r="Q388" s="76" t="n">
        <v>0.23</v>
      </c>
      <c r="R388" s="76" t="n">
        <v>0.2295</v>
      </c>
      <c r="S388" s="76" t="n">
        <v>0.2295</v>
      </c>
      <c r="T388" s="76" t="n">
        <v>0.2295</v>
      </c>
      <c r="U388" s="76" t="n">
        <v>0.2295</v>
      </c>
      <c r="V388" s="76" t="n">
        <v>0.2295</v>
      </c>
      <c r="W388" s="76" t="n">
        <v>0.2295</v>
      </c>
      <c r="X388" s="76" t="n">
        <v>0.23</v>
      </c>
      <c r="Y388" s="76" t="n">
        <v>0.2305</v>
      </c>
      <c r="Z388" s="76" t="n">
        <v>0.2305</v>
      </c>
      <c r="AA388" s="76" t="n">
        <v>0.2305</v>
      </c>
      <c r="AB388" s="76" t="n">
        <v>0.2305</v>
      </c>
      <c r="AC388" s="76" t="n">
        <v>0.23</v>
      </c>
      <c r="AD388" s="76" t="n">
        <v>0.23</v>
      </c>
      <c r="AE388" s="76" t="n">
        <v>0.2295</v>
      </c>
      <c r="AF388" s="76" t="n">
        <v>0.2295</v>
      </c>
      <c r="AG388" s="76" t="n">
        <v>0.229</v>
      </c>
      <c r="AH388" s="76" t="n">
        <v>0.2295</v>
      </c>
      <c r="AI388" s="76" t="n">
        <v>0.2295</v>
      </c>
      <c r="AJ388" s="76" t="n">
        <v>0.2295</v>
      </c>
      <c r="AK388" s="76" t="n">
        <v>0.2295</v>
      </c>
      <c r="AL388" s="76" t="n">
        <v>0.23</v>
      </c>
      <c r="AM388" s="76" t="n">
        <v>0.23</v>
      </c>
      <c r="AN388" s="76" t="n">
        <v>0.23</v>
      </c>
      <c r="AO388" s="76" t="n">
        <v>0.2305</v>
      </c>
      <c r="AP388" s="76" t="n">
        <v>0.2305</v>
      </c>
      <c r="AQ388" s="76" t="n">
        <v>0.231</v>
      </c>
      <c r="AR388" s="76" t="n">
        <v>0.2327804878048781</v>
      </c>
    </row>
    <row r="389">
      <c r="A389" s="76" t="inlineStr">
        <is>
          <t>NC</t>
        </is>
      </c>
      <c r="B389" s="76" t="inlineStr">
        <is>
          <t>Nuclear</t>
        </is>
      </c>
      <c r="C389" s="76" t="n">
        <v>0.902</v>
      </c>
      <c r="D389" s="76" t="n">
        <v>0.902</v>
      </c>
      <c r="E389" s="76" t="n">
        <v>0.902</v>
      </c>
      <c r="F389" s="76" t="n">
        <v>0.902</v>
      </c>
      <c r="G389" s="76" t="n">
        <v>0.902</v>
      </c>
      <c r="H389" s="76" t="n">
        <v>0.902</v>
      </c>
      <c r="I389" s="76" t="n">
        <v>0.902</v>
      </c>
      <c r="J389" s="76" t="n">
        <v>0.902</v>
      </c>
      <c r="K389" s="76" t="n">
        <v>0.902</v>
      </c>
      <c r="L389" s="76" t="n">
        <v>0.902</v>
      </c>
      <c r="M389" s="76" t="n">
        <v>0.902</v>
      </c>
      <c r="N389" s="76" t="n">
        <v>0.902</v>
      </c>
      <c r="O389" s="76" t="n">
        <v>0.902</v>
      </c>
      <c r="P389" s="76" t="n">
        <v>0.902</v>
      </c>
      <c r="Q389" s="76" t="n">
        <v>0.902</v>
      </c>
      <c r="R389" s="76" t="n">
        <v>0.902</v>
      </c>
      <c r="S389" s="76" t="n">
        <v>0.902</v>
      </c>
      <c r="T389" s="76" t="n">
        <v>0.902</v>
      </c>
      <c r="U389" s="76" t="n">
        <v>0.902</v>
      </c>
      <c r="V389" s="76" t="n">
        <v>0.902</v>
      </c>
      <c r="W389" s="76" t="n">
        <v>0.902</v>
      </c>
      <c r="X389" s="76" t="n">
        <v>0.902</v>
      </c>
      <c r="Y389" s="76" t="n">
        <v>0.902</v>
      </c>
      <c r="Z389" s="76" t="n">
        <v>0.902</v>
      </c>
      <c r="AA389" s="76" t="n">
        <v>0.902</v>
      </c>
      <c r="AB389" s="76" t="n">
        <v>0.902</v>
      </c>
      <c r="AC389" s="76" t="n">
        <v>0.902</v>
      </c>
      <c r="AD389" s="76" t="n">
        <v>0.902</v>
      </c>
      <c r="AE389" s="76" t="n">
        <v>0.902</v>
      </c>
      <c r="AF389" s="76" t="n">
        <v>0.902</v>
      </c>
      <c r="AG389" s="76" t="n">
        <v>0.902</v>
      </c>
      <c r="AH389" s="76" t="n">
        <v>0.902</v>
      </c>
      <c r="AI389" s="76" t="n">
        <v>0.902</v>
      </c>
      <c r="AJ389" s="76" t="n">
        <v>0.902</v>
      </c>
      <c r="AK389" s="76" t="n">
        <v>0.902</v>
      </c>
      <c r="AL389" s="76" t="n">
        <v>0.902</v>
      </c>
      <c r="AM389" s="76" t="n">
        <v>0.902</v>
      </c>
      <c r="AN389" s="76" t="n">
        <v>0.902</v>
      </c>
      <c r="AO389" s="76" t="n">
        <v>0.902</v>
      </c>
      <c r="AP389" s="76" t="n">
        <v>0.902</v>
      </c>
      <c r="AQ389" s="76" t="n">
        <v>0.902</v>
      </c>
      <c r="AR389" s="76" t="n">
        <v>0.9020000000000007</v>
      </c>
    </row>
    <row r="390">
      <c r="A390" s="76" t="inlineStr">
        <is>
          <t>NC</t>
        </is>
      </c>
      <c r="B390" s="76" t="inlineStr">
        <is>
          <t>Other</t>
        </is>
      </c>
      <c r="C390" s="76" t="n">
        <v>0</v>
      </c>
      <c r="D390" s="76" t="n">
        <v>0</v>
      </c>
      <c r="E390" s="76" t="n">
        <v>0</v>
      </c>
      <c r="F390" s="76" t="n">
        <v>0</v>
      </c>
      <c r="G390" s="76" t="n">
        <v>0</v>
      </c>
      <c r="H390" s="76" t="n">
        <v>0</v>
      </c>
      <c r="I390" s="76" t="n">
        <v>0</v>
      </c>
      <c r="J390" s="76" t="n">
        <v>0</v>
      </c>
      <c r="K390" s="76" t="n">
        <v>0</v>
      </c>
      <c r="L390" s="76" t="n">
        <v>0</v>
      </c>
      <c r="M390" s="76" t="n">
        <v>0</v>
      </c>
      <c r="N390" s="76" t="n">
        <v>0</v>
      </c>
      <c r="O390" s="76" t="n">
        <v>0</v>
      </c>
      <c r="P390" s="76" t="n">
        <v>0</v>
      </c>
      <c r="Q390" s="76" t="n">
        <v>0</v>
      </c>
      <c r="R390" s="76" t="n">
        <v>0</v>
      </c>
      <c r="S390" s="76" t="n">
        <v>0</v>
      </c>
      <c r="T390" s="76" t="n">
        <v>0</v>
      </c>
      <c r="U390" s="76" t="n">
        <v>0</v>
      </c>
      <c r="V390" s="76" t="n">
        <v>0</v>
      </c>
      <c r="W390" s="76" t="n">
        <v>0</v>
      </c>
      <c r="X390" s="76" t="n">
        <v>0</v>
      </c>
      <c r="Y390" s="76" t="n">
        <v>0</v>
      </c>
      <c r="Z390" s="76" t="n">
        <v>0</v>
      </c>
      <c r="AA390" s="76" t="n">
        <v>0</v>
      </c>
      <c r="AB390" s="76" t="n">
        <v>0</v>
      </c>
      <c r="AC390" s="76" t="n">
        <v>0</v>
      </c>
      <c r="AD390" s="76" t="n">
        <v>0</v>
      </c>
      <c r="AE390" s="76" t="n">
        <v>0</v>
      </c>
      <c r="AF390" s="76" t="n">
        <v>0</v>
      </c>
      <c r="AG390" s="76" t="n">
        <v>0</v>
      </c>
      <c r="AH390" s="76" t="n">
        <v>0</v>
      </c>
      <c r="AI390" s="76" t="n">
        <v>0</v>
      </c>
      <c r="AJ390" s="76" t="n">
        <v>0</v>
      </c>
      <c r="AK390" s="76" t="n">
        <v>0</v>
      </c>
      <c r="AL390" s="76" t="n">
        <v>0</v>
      </c>
      <c r="AM390" s="76" t="n">
        <v>0</v>
      </c>
      <c r="AN390" s="76" t="n">
        <v>0</v>
      </c>
      <c r="AO390" s="76" t="n">
        <v>0</v>
      </c>
      <c r="AP390" s="76" t="n">
        <v>0</v>
      </c>
      <c r="AQ390" s="76" t="n">
        <v>0</v>
      </c>
      <c r="AR390" s="76" t="n">
        <v>0</v>
      </c>
    </row>
    <row r="391">
      <c r="A391" s="76" t="inlineStr">
        <is>
          <t>NC</t>
        </is>
      </c>
      <c r="B391" s="76" t="inlineStr">
        <is>
          <t>Utility PV</t>
        </is>
      </c>
      <c r="C391" s="76" t="n">
        <v>0.2365</v>
      </c>
      <c r="D391" s="76" t="n">
        <v>0.235</v>
      </c>
      <c r="E391" s="76" t="n">
        <v>0.235</v>
      </c>
      <c r="F391" s="76" t="n">
        <v>0.235</v>
      </c>
      <c r="G391" s="76" t="n">
        <v>0.235</v>
      </c>
      <c r="H391" s="76" t="n">
        <v>0.235</v>
      </c>
      <c r="I391" s="76" t="n">
        <v>0.235</v>
      </c>
      <c r="J391" s="76" t="n">
        <v>0.235</v>
      </c>
      <c r="K391" s="76" t="n">
        <v>0.234</v>
      </c>
      <c r="L391" s="76" t="n">
        <v>0.233</v>
      </c>
      <c r="M391" s="76" t="n">
        <v>0.232</v>
      </c>
      <c r="N391" s="76" t="n">
        <v>0.2335</v>
      </c>
      <c r="O391" s="76" t="n">
        <v>0.233</v>
      </c>
      <c r="P391" s="76" t="n">
        <v>0.2315</v>
      </c>
      <c r="Q391" s="76" t="n">
        <v>0.2305</v>
      </c>
      <c r="R391" s="76" t="n">
        <v>0.2265</v>
      </c>
      <c r="S391" s="76" t="n">
        <v>0.2225</v>
      </c>
      <c r="T391" s="76" t="n">
        <v>0.2185</v>
      </c>
      <c r="U391" s="76" t="n">
        <v>0.214</v>
      </c>
      <c r="V391" s="76" t="n">
        <v>0.217</v>
      </c>
      <c r="W391" s="76" t="n">
        <v>0.22</v>
      </c>
      <c r="X391" s="76" t="n">
        <v>0.2185</v>
      </c>
      <c r="Y391" s="76" t="n">
        <v>0.2175</v>
      </c>
      <c r="Z391" s="76" t="n">
        <v>0.218</v>
      </c>
      <c r="AA391" s="76" t="n">
        <v>0.218</v>
      </c>
      <c r="AB391" s="76" t="n">
        <v>0.218</v>
      </c>
      <c r="AC391" s="76" t="n">
        <v>0.217</v>
      </c>
      <c r="AD391" s="76" t="n">
        <v>0.216</v>
      </c>
      <c r="AE391" s="76" t="n">
        <v>0.215</v>
      </c>
      <c r="AF391" s="76" t="n">
        <v>0.214</v>
      </c>
      <c r="AG391" s="76" t="n">
        <v>0.213</v>
      </c>
      <c r="AH391" s="76" t="n">
        <v>0.212</v>
      </c>
      <c r="AI391" s="76" t="n">
        <v>0.2115</v>
      </c>
      <c r="AJ391" s="76" t="n">
        <v>0.211</v>
      </c>
      <c r="AK391" s="76" t="n">
        <v>0.21</v>
      </c>
      <c r="AL391" s="76" t="n">
        <v>0.2095</v>
      </c>
      <c r="AM391" s="76" t="n">
        <v>0.2125</v>
      </c>
      <c r="AN391" s="76" t="n">
        <v>0.2155</v>
      </c>
      <c r="AO391" s="76" t="n">
        <v>0.2185</v>
      </c>
      <c r="AP391" s="76" t="n">
        <v>0.222</v>
      </c>
      <c r="AQ391" s="76" t="n">
        <v>0.225</v>
      </c>
      <c r="AR391" s="76" t="n">
        <v>0.2229268292682927</v>
      </c>
    </row>
    <row r="392">
      <c r="A392" s="76" t="inlineStr">
        <is>
          <t>NC</t>
        </is>
      </c>
      <c r="B392" s="76" t="inlineStr">
        <is>
          <t>Wind offshore</t>
        </is>
      </c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  <c r="AA392" s="76" t="n"/>
      <c r="AB392" s="76" t="n"/>
      <c r="AC392" s="76" t="n">
        <v>0.292</v>
      </c>
      <c r="AD392" s="76" t="n">
        <v>0.292</v>
      </c>
      <c r="AE392" s="76" t="n">
        <v>0.292</v>
      </c>
      <c r="AF392" s="76" t="n">
        <v>0.292</v>
      </c>
      <c r="AG392" s="76" t="n">
        <v>0.292</v>
      </c>
      <c r="AH392" s="76" t="n">
        <v>0.364</v>
      </c>
      <c r="AI392" s="76" t="n">
        <v>0.375</v>
      </c>
      <c r="AJ392" s="76" t="n">
        <v>0.38</v>
      </c>
      <c r="AK392" s="76" t="n">
        <v>0.382</v>
      </c>
      <c r="AL392" s="76" t="n">
        <v>0.384</v>
      </c>
      <c r="AM392" s="76" t="n">
        <v>0.402</v>
      </c>
      <c r="AN392" s="76" t="n">
        <v>0.412</v>
      </c>
      <c r="AO392" s="76" t="n">
        <v>0.419</v>
      </c>
      <c r="AP392" s="76" t="n">
        <v>0.424</v>
      </c>
      <c r="AQ392" s="76" t="n">
        <v>0.428</v>
      </c>
      <c r="AR392" s="76" t="n">
        <v>0.362</v>
      </c>
    </row>
    <row r="393">
      <c r="A393" s="76" t="inlineStr">
        <is>
          <t>NC</t>
        </is>
      </c>
      <c r="B393" s="76" t="inlineStr">
        <is>
          <t>Wind onshore</t>
        </is>
      </c>
      <c r="C393" s="76" t="n"/>
      <c r="D393" s="76" t="n"/>
      <c r="E393" s="76" t="n"/>
      <c r="F393" s="76" t="n"/>
      <c r="G393" s="76" t="n"/>
      <c r="H393" s="76" t="n">
        <v>0.358</v>
      </c>
      <c r="I393" s="76" t="n">
        <v>0.358</v>
      </c>
      <c r="J393" s="76" t="n">
        <v>0.354</v>
      </c>
      <c r="K393" s="76" t="n">
        <v>0.35</v>
      </c>
      <c r="L393" s="76" t="n">
        <v>0.352</v>
      </c>
      <c r="M393" s="76" t="n">
        <v>0.353</v>
      </c>
      <c r="N393" s="76" t="n">
        <v>0.3805</v>
      </c>
      <c r="O393" s="76" t="n">
        <v>0.3815</v>
      </c>
      <c r="P393" s="76" t="n">
        <v>0.3425</v>
      </c>
      <c r="Q393" s="76" t="n">
        <v>0.304</v>
      </c>
      <c r="R393" s="76" t="n">
        <v>0.3125</v>
      </c>
      <c r="S393" s="76" t="n">
        <v>0.2955</v>
      </c>
      <c r="T393" s="76" t="n">
        <v>0.288</v>
      </c>
      <c r="U393" s="76" t="n">
        <v>0.2845</v>
      </c>
      <c r="V393" s="76" t="n">
        <v>0.3205</v>
      </c>
      <c r="W393" s="76" t="n">
        <v>0.3345</v>
      </c>
      <c r="X393" s="76" t="n">
        <v>0.3395</v>
      </c>
      <c r="Y393" s="76" t="n">
        <v>0.343</v>
      </c>
      <c r="Z393" s="76" t="n">
        <v>0.332</v>
      </c>
      <c r="AA393" s="76" t="n">
        <v>0.3285</v>
      </c>
      <c r="AB393" s="76" t="n">
        <v>0.3265</v>
      </c>
      <c r="AC393" s="76" t="n">
        <v>0.3255</v>
      </c>
      <c r="AD393" s="76" t="n">
        <v>0.3245</v>
      </c>
      <c r="AE393" s="76" t="n">
        <v>0.3235</v>
      </c>
      <c r="AF393" s="76" t="n">
        <v>0.3225</v>
      </c>
      <c r="AG393" s="76" t="n">
        <v>0.3215</v>
      </c>
      <c r="AH393" s="76" t="n">
        <v>0.328</v>
      </c>
      <c r="AI393" s="76" t="n">
        <v>0.334</v>
      </c>
      <c r="AJ393" s="76" t="n">
        <v>0.3395</v>
      </c>
      <c r="AK393" s="76" t="n">
        <v>0.3455</v>
      </c>
      <c r="AL393" s="76" t="n">
        <v>0.3505</v>
      </c>
      <c r="AM393" s="76" t="n">
        <v>0.352</v>
      </c>
      <c r="AN393" s="76" t="n">
        <v>0.3535</v>
      </c>
      <c r="AO393" s="76" t="n">
        <v>0.3555</v>
      </c>
      <c r="AP393" s="76" t="n">
        <v>0.357</v>
      </c>
      <c r="AQ393" s="76" t="n">
        <v>0.358</v>
      </c>
      <c r="AR393" s="76" t="n">
        <v>0.3353636363636365</v>
      </c>
    </row>
    <row r="394">
      <c r="A394" s="76" t="inlineStr">
        <is>
          <t>ND</t>
        </is>
      </c>
      <c r="B394" s="76" t="inlineStr">
        <is>
          <t>ND</t>
        </is>
      </c>
      <c r="C394" s="76" t="n">
        <v>0.4597777777777778</v>
      </c>
      <c r="D394" s="76" t="n">
        <v>0.4538888888888889</v>
      </c>
      <c r="E394" s="76" t="n">
        <v>0.4995000000000001</v>
      </c>
      <c r="F394" s="76" t="n">
        <v>0.3898181818181818</v>
      </c>
      <c r="G394" s="76" t="n">
        <v>0.3848181818181818</v>
      </c>
      <c r="H394" s="76" t="n">
        <v>0.4166363636363636</v>
      </c>
      <c r="I394" s="76" t="n">
        <v>0.4219090909090909</v>
      </c>
      <c r="J394" s="76" t="n">
        <v>0.4217272727272727</v>
      </c>
      <c r="K394" s="76" t="n">
        <v>0.4202727272727272</v>
      </c>
      <c r="L394" s="76" t="n">
        <v>0.4029090909090909</v>
      </c>
      <c r="M394" s="76" t="n">
        <v>0.3391818181818181</v>
      </c>
      <c r="N394" s="76" t="n">
        <v>0.3372727272727273</v>
      </c>
      <c r="O394" s="76" t="n">
        <v>0.3390909090909091</v>
      </c>
      <c r="P394" s="76" t="n">
        <v>0.31125</v>
      </c>
      <c r="Q394" s="76" t="n">
        <v>0.3164999999999999</v>
      </c>
      <c r="R394" s="76" t="n">
        <v>0.2874615384615385</v>
      </c>
      <c r="S394" s="76" t="n">
        <v>0.2858461538461539</v>
      </c>
      <c r="T394" s="76" t="n">
        <v>0.2869230769230769</v>
      </c>
      <c r="U394" s="76" t="n">
        <v>0.2936153846153846</v>
      </c>
      <c r="V394" s="76" t="n">
        <v>0.2845384615384615</v>
      </c>
      <c r="W394" s="76" t="n">
        <v>0.2756923076923077</v>
      </c>
      <c r="X394" s="76" t="n">
        <v>0.2657692307692307</v>
      </c>
      <c r="Y394" s="76" t="n">
        <v>0.2557692307692308</v>
      </c>
      <c r="Z394" s="76" t="n">
        <v>0.2589230769230769</v>
      </c>
      <c r="AA394" s="76" t="n">
        <v>0.2613846153846154</v>
      </c>
      <c r="AB394" s="76" t="n">
        <v>0.2113636363636364</v>
      </c>
      <c r="AC394" s="76" t="n">
        <v>0.2115454545454545</v>
      </c>
      <c r="AD394" s="76" t="n">
        <v>0.2120909090909091</v>
      </c>
      <c r="AE394" s="76" t="n">
        <v>0.2127272727272727</v>
      </c>
      <c r="AF394" s="76" t="n">
        <v>0.2132727272727273</v>
      </c>
      <c r="AG394" s="76" t="n">
        <v>0.2138181818181819</v>
      </c>
      <c r="AH394" s="76" t="n">
        <v>0.2138181818181819</v>
      </c>
      <c r="AI394" s="76" t="n">
        <v>0.2141818181818182</v>
      </c>
      <c r="AJ394" s="76" t="n">
        <v>0.2144545454545455</v>
      </c>
      <c r="AK394" s="76" t="n">
        <v>0.2147272727272727</v>
      </c>
      <c r="AL394" s="76" t="n">
        <v>0.2149090909090909</v>
      </c>
      <c r="AM394" s="76" t="n">
        <v>0.2152727272727273</v>
      </c>
      <c r="AN394" s="76" t="n">
        <v>0.2158181818181818</v>
      </c>
      <c r="AO394" s="76" t="n">
        <v>0.2170909090909091</v>
      </c>
      <c r="AP394" s="76" t="n">
        <v>0.219</v>
      </c>
      <c r="AQ394" s="76" t="n">
        <v>0.2234545454545455</v>
      </c>
      <c r="AR394" s="76" t="n">
        <v>0.2918497854077253</v>
      </c>
    </row>
    <row r="395">
      <c r="A395" s="76" t="inlineStr">
        <is>
          <t>ND</t>
        </is>
      </c>
      <c r="B395" s="76" t="inlineStr">
        <is>
          <t>Battery</t>
        </is>
      </c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>
        <v>-0.036</v>
      </c>
      <c r="Q395" s="76" t="n">
        <v>-0.036</v>
      </c>
      <c r="R395" s="76" t="n">
        <v>-0.04099999999999999</v>
      </c>
      <c r="S395" s="76" t="n">
        <v>-0.04099999999999999</v>
      </c>
      <c r="T395" s="76" t="n">
        <v>-0.05</v>
      </c>
      <c r="U395" s="76" t="n">
        <v>-0.056</v>
      </c>
      <c r="V395" s="76" t="n">
        <v>-0.06</v>
      </c>
      <c r="W395" s="76" t="n">
        <v>-0.0625</v>
      </c>
      <c r="X395" s="76" t="n">
        <v>-0.068</v>
      </c>
      <c r="Y395" s="76" t="n">
        <v>-0.0735</v>
      </c>
      <c r="Z395" s="76" t="n">
        <v>-0.066</v>
      </c>
      <c r="AA395" s="76" t="n">
        <v>-0.0615</v>
      </c>
      <c r="AB395" s="76" t="n">
        <v>-0.058</v>
      </c>
      <c r="AC395" s="76" t="n">
        <v>-0.062</v>
      </c>
      <c r="AD395" s="76" t="n">
        <v>-0.0645</v>
      </c>
      <c r="AE395" s="76" t="n">
        <v>-0.0665</v>
      </c>
      <c r="AF395" s="76" t="n">
        <v>-0.068</v>
      </c>
      <c r="AG395" s="76" t="n">
        <v>-0.06950000000000001</v>
      </c>
      <c r="AH395" s="76" t="n">
        <v>-0.06950000000000001</v>
      </c>
      <c r="AI395" s="76" t="n">
        <v>-0.06900000000000001</v>
      </c>
      <c r="AJ395" s="76" t="n">
        <v>-0.06900000000000001</v>
      </c>
      <c r="AK395" s="76" t="n">
        <v>-0.06850000000000001</v>
      </c>
      <c r="AL395" s="76" t="n">
        <v>-0.06850000000000001</v>
      </c>
      <c r="AM395" s="76" t="n">
        <v>-0.068</v>
      </c>
      <c r="AN395" s="76" t="n">
        <v>-0.067</v>
      </c>
      <c r="AO395" s="76" t="n">
        <v>-0.066</v>
      </c>
      <c r="AP395" s="76" t="n">
        <v>-0.0655</v>
      </c>
      <c r="AQ395" s="76" t="n">
        <v>-0.0635</v>
      </c>
      <c r="AR395" s="76" t="n">
        <v>-0.06216666666666665</v>
      </c>
    </row>
    <row r="396">
      <c r="A396" s="76" t="inlineStr">
        <is>
          <t>ND</t>
        </is>
      </c>
      <c r="B396" s="76" t="inlineStr">
        <is>
          <t>Biopower</t>
        </is>
      </c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  <c r="AA396" s="76" t="n"/>
      <c r="AB396" s="76" t="n"/>
      <c r="AC396" s="76" t="n"/>
      <c r="AD396" s="76" t="n"/>
      <c r="AE396" s="76" t="n"/>
      <c r="AF396" s="76" t="n"/>
      <c r="AG396" s="76" t="n"/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</row>
    <row r="397">
      <c r="A397" s="76" t="inlineStr">
        <is>
          <t>ND</t>
        </is>
      </c>
      <c r="B397" s="76" t="inlineStr">
        <is>
          <t>Coal</t>
        </is>
      </c>
      <c r="C397" s="76" t="n">
        <v>0.7995</v>
      </c>
      <c r="D397" s="76" t="n">
        <v>0.7755</v>
      </c>
      <c r="E397" s="76" t="n">
        <v>0.748</v>
      </c>
      <c r="F397" s="76" t="n">
        <v>0.778</v>
      </c>
      <c r="G397" s="76" t="n">
        <v>0.8105</v>
      </c>
      <c r="H397" s="76" t="n">
        <v>0.766</v>
      </c>
      <c r="I397" s="76" t="n">
        <v>0.7215</v>
      </c>
      <c r="J397" s="76" t="n">
        <v>0.745</v>
      </c>
      <c r="K397" s="76" t="n">
        <v>0.776</v>
      </c>
      <c r="L397" s="76" t="n">
        <v>0.7095</v>
      </c>
      <c r="M397" s="76" t="n">
        <v>0.627</v>
      </c>
      <c r="N397" s="76" t="n">
        <v>0.6355</v>
      </c>
      <c r="O397" s="76" t="n">
        <v>0.667</v>
      </c>
      <c r="P397" s="76" t="n">
        <v>0.6945</v>
      </c>
      <c r="Q397" s="76" t="n">
        <v>0.7324999999999999</v>
      </c>
      <c r="R397" s="76" t="n">
        <v>0.7315</v>
      </c>
      <c r="S397" s="76" t="n">
        <v>0.728</v>
      </c>
      <c r="T397" s="76" t="n">
        <v>0.7404999999999999</v>
      </c>
      <c r="U397" s="76" t="n">
        <v>0.788</v>
      </c>
      <c r="V397" s="76" t="n">
        <v>0.7375</v>
      </c>
      <c r="W397" s="76" t="n">
        <v>0.6875</v>
      </c>
      <c r="X397" s="76" t="n">
        <v>0.6185</v>
      </c>
      <c r="Y397" s="76" t="n">
        <v>0.5495</v>
      </c>
      <c r="Z397" s="76" t="n">
        <v>0.5495</v>
      </c>
      <c r="AA397" s="76" t="n">
        <v>0.5495</v>
      </c>
      <c r="AB397" s="76" t="n"/>
      <c r="AC397" s="76" t="n"/>
      <c r="AD397" s="76" t="n"/>
      <c r="AE397" s="76" t="n"/>
      <c r="AF397" s="76" t="n"/>
      <c r="AG397" s="76" t="n"/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>
        <v>0.7066399999999997</v>
      </c>
    </row>
    <row r="398">
      <c r="A398" s="76" t="inlineStr">
        <is>
          <t>ND</t>
        </is>
      </c>
      <c r="B398" s="76" t="inlineStr">
        <is>
          <t>CSP</t>
        </is>
      </c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  <c r="AE398" s="76" t="n"/>
      <c r="AF398" s="76" t="n"/>
      <c r="AG398" s="76" t="n"/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</row>
    <row r="399">
      <c r="A399" s="76" t="inlineStr">
        <is>
          <t>ND</t>
        </is>
      </c>
      <c r="B399" s="76" t="inlineStr">
        <is>
          <t>Dist PV</t>
        </is>
      </c>
      <c r="C399" s="76" t="n"/>
      <c r="D399" s="76" t="n"/>
      <c r="E399" s="76" t="n"/>
      <c r="F399" s="76" t="n">
        <v>0.1625</v>
      </c>
      <c r="G399" s="76" t="n">
        <v>0.1625</v>
      </c>
      <c r="H399" s="76" t="n">
        <v>0.1625</v>
      </c>
      <c r="I399" s="76" t="n">
        <v>0.1625</v>
      </c>
      <c r="J399" s="76" t="n">
        <v>0.1625</v>
      </c>
      <c r="K399" s="76" t="n">
        <v>0.1625</v>
      </c>
      <c r="L399" s="76" t="n">
        <v>0.1625</v>
      </c>
      <c r="M399" s="76" t="n">
        <v>0.1625</v>
      </c>
      <c r="N399" s="76" t="n">
        <v>0.1625</v>
      </c>
      <c r="O399" s="76" t="n">
        <v>0.1625</v>
      </c>
      <c r="P399" s="76" t="n">
        <v>0.1625</v>
      </c>
      <c r="Q399" s="76" t="n">
        <v>0.1625</v>
      </c>
      <c r="R399" s="76" t="n">
        <v>0.1625</v>
      </c>
      <c r="S399" s="76" t="n">
        <v>0.1625</v>
      </c>
      <c r="T399" s="76" t="n">
        <v>0.1625</v>
      </c>
      <c r="U399" s="76" t="n">
        <v>0.1625</v>
      </c>
      <c r="V399" s="76" t="n">
        <v>0.1625</v>
      </c>
      <c r="W399" s="76" t="n">
        <v>0.1625</v>
      </c>
      <c r="X399" s="76" t="n">
        <v>0.1625</v>
      </c>
      <c r="Y399" s="76" t="n">
        <v>0.1625</v>
      </c>
      <c r="Z399" s="76" t="n">
        <v>0.1625</v>
      </c>
      <c r="AA399" s="76" t="n">
        <v>0.1625</v>
      </c>
      <c r="AB399" s="76" t="n">
        <v>0.1625</v>
      </c>
      <c r="AC399" s="76" t="n">
        <v>0.1625</v>
      </c>
      <c r="AD399" s="76" t="n">
        <v>0.1625</v>
      </c>
      <c r="AE399" s="76" t="n">
        <v>0.1625</v>
      </c>
      <c r="AF399" s="76" t="n">
        <v>0.1625</v>
      </c>
      <c r="AG399" s="76" t="n">
        <v>0.1625</v>
      </c>
      <c r="AH399" s="76" t="n">
        <v>0.1625</v>
      </c>
      <c r="AI399" s="76" t="n">
        <v>0.1625</v>
      </c>
      <c r="AJ399" s="76" t="n">
        <v>0.1625</v>
      </c>
      <c r="AK399" s="76" t="n">
        <v>0.1625</v>
      </c>
      <c r="AL399" s="76" t="n">
        <v>0.1625</v>
      </c>
      <c r="AM399" s="76" t="n">
        <v>0.1625</v>
      </c>
      <c r="AN399" s="76" t="n">
        <v>0.1625</v>
      </c>
      <c r="AO399" s="76" t="n">
        <v>0.1625</v>
      </c>
      <c r="AP399" s="76" t="n">
        <v>0.1625</v>
      </c>
      <c r="AQ399" s="76" t="n">
        <v>0.1625</v>
      </c>
      <c r="AR399" s="76" t="n">
        <v>0.1624999999999999</v>
      </c>
    </row>
    <row r="400">
      <c r="A400" s="76" t="inlineStr">
        <is>
          <t>ND</t>
        </is>
      </c>
      <c r="B400" s="76" t="inlineStr">
        <is>
          <t>Gas CCGT</t>
        </is>
      </c>
      <c r="C400" s="76" t="n">
        <v>0.004</v>
      </c>
      <c r="D400" s="76" t="n">
        <v>0.014</v>
      </c>
      <c r="E400" s="76" t="n">
        <v>0.023</v>
      </c>
      <c r="F400" s="76" t="n">
        <v>0.02</v>
      </c>
      <c r="G400" s="76" t="n">
        <v>0.017</v>
      </c>
      <c r="H400" s="76" t="n">
        <v>0.11</v>
      </c>
      <c r="I400" s="76" t="n">
        <v>0.203</v>
      </c>
      <c r="J400" s="76" t="n">
        <v>0.165</v>
      </c>
      <c r="K400" s="76" t="n">
        <v>0.127</v>
      </c>
      <c r="L400" s="76" t="n">
        <v>0.166</v>
      </c>
      <c r="M400" s="76" t="n">
        <v>0.205</v>
      </c>
      <c r="N400" s="76" t="n">
        <v>0.147</v>
      </c>
      <c r="O400" s="76" t="n">
        <v>0.089</v>
      </c>
      <c r="P400" s="76" t="n">
        <v>0.078</v>
      </c>
      <c r="Q400" s="76" t="n">
        <v>0.068</v>
      </c>
      <c r="R400" s="76" t="n">
        <v>0.046</v>
      </c>
      <c r="S400" s="76" t="n">
        <v>0.024</v>
      </c>
      <c r="T400" s="76" t="n">
        <v>0.024</v>
      </c>
      <c r="U400" s="76" t="n">
        <v>0.024</v>
      </c>
      <c r="V400" s="76" t="n">
        <v>0.012</v>
      </c>
      <c r="W400" s="76" t="n">
        <v>0</v>
      </c>
      <c r="X400" s="76" t="n">
        <v>0.021</v>
      </c>
      <c r="Y400" s="76" t="n">
        <v>0.042</v>
      </c>
      <c r="Z400" s="76" t="n">
        <v>0.052</v>
      </c>
      <c r="AA400" s="76" t="n">
        <v>0.062</v>
      </c>
      <c r="AB400" s="76" t="n">
        <v>0.07199999999999999</v>
      </c>
      <c r="AC400" s="76" t="n">
        <v>0.064</v>
      </c>
      <c r="AD400" s="76" t="n">
        <v>0.056</v>
      </c>
      <c r="AE400" s="76" t="n">
        <v>0.049</v>
      </c>
      <c r="AF400" s="76" t="n">
        <v>0.041</v>
      </c>
      <c r="AG400" s="76" t="n">
        <v>0.033</v>
      </c>
      <c r="AH400" s="76" t="n">
        <v>0.033</v>
      </c>
      <c r="AI400" s="76" t="n">
        <v>0.033</v>
      </c>
      <c r="AJ400" s="76" t="n">
        <v>0.034</v>
      </c>
      <c r="AK400" s="76" t="n">
        <v>0.034</v>
      </c>
      <c r="AL400" s="76" t="n">
        <v>0.034</v>
      </c>
      <c r="AM400" s="76" t="n">
        <v>0.027</v>
      </c>
      <c r="AN400" s="76" t="n">
        <v>0.02</v>
      </c>
      <c r="AO400" s="76" t="n">
        <v>0.014</v>
      </c>
      <c r="AP400" s="76" t="n">
        <v>0.007</v>
      </c>
      <c r="AQ400" s="76" t="n">
        <v>0</v>
      </c>
      <c r="AR400" s="76" t="n">
        <v>0.05595121951219511</v>
      </c>
    </row>
    <row r="401">
      <c r="A401" s="76" t="inlineStr">
        <is>
          <t>ND</t>
        </is>
      </c>
      <c r="B401" s="76" t="inlineStr">
        <is>
          <t>Gas CT</t>
        </is>
      </c>
      <c r="C401" s="76" t="n">
        <v>0</v>
      </c>
      <c r="D401" s="76" t="n">
        <v>0</v>
      </c>
      <c r="E401" s="76" t="n"/>
      <c r="F401" s="76" t="n">
        <v>0.004</v>
      </c>
      <c r="G401" s="76" t="n">
        <v>0.004</v>
      </c>
      <c r="H401" s="76" t="n">
        <v>0.007</v>
      </c>
      <c r="I401" s="76" t="n">
        <v>0.008999999999999999</v>
      </c>
      <c r="J401" s="76" t="n">
        <v>0.007</v>
      </c>
      <c r="K401" s="76" t="n">
        <v>0.006</v>
      </c>
      <c r="L401" s="76" t="n">
        <v>0.006</v>
      </c>
      <c r="M401" s="76" t="n">
        <v>0.005</v>
      </c>
      <c r="N401" s="76" t="n">
        <v>0.005</v>
      </c>
      <c r="O401" s="76" t="n">
        <v>0.005</v>
      </c>
      <c r="P401" s="76" t="n">
        <v>0.005</v>
      </c>
      <c r="Q401" s="76" t="n">
        <v>0.005</v>
      </c>
      <c r="R401" s="76" t="n">
        <v>0.005</v>
      </c>
      <c r="S401" s="76" t="n">
        <v>0.004</v>
      </c>
      <c r="T401" s="76" t="n">
        <v>0.003</v>
      </c>
      <c r="U401" s="76" t="n">
        <v>0.002</v>
      </c>
      <c r="V401" s="76" t="n">
        <v>0.001</v>
      </c>
      <c r="W401" s="76" t="n">
        <v>0</v>
      </c>
      <c r="X401" s="76" t="n">
        <v>0.003</v>
      </c>
      <c r="Y401" s="76" t="n">
        <v>0.005</v>
      </c>
      <c r="Z401" s="76" t="n">
        <v>0.011</v>
      </c>
      <c r="AA401" s="76" t="n">
        <v>0.016</v>
      </c>
      <c r="AB401" s="76" t="n">
        <v>0.021</v>
      </c>
      <c r="AC401" s="76" t="n">
        <v>0.021</v>
      </c>
      <c r="AD401" s="76" t="n">
        <v>0.021</v>
      </c>
      <c r="AE401" s="76" t="n">
        <v>0.021</v>
      </c>
      <c r="AF401" s="76" t="n">
        <v>0.021</v>
      </c>
      <c r="AG401" s="76" t="n">
        <v>0.021</v>
      </c>
      <c r="AH401" s="76" t="n">
        <v>0.017</v>
      </c>
      <c r="AI401" s="76" t="n">
        <v>0.014</v>
      </c>
      <c r="AJ401" s="76" t="n">
        <v>0.01</v>
      </c>
      <c r="AK401" s="76" t="n">
        <v>0.007</v>
      </c>
      <c r="AL401" s="76" t="n">
        <v>0.004</v>
      </c>
      <c r="AM401" s="76" t="n">
        <v>0.003</v>
      </c>
      <c r="AN401" s="76" t="n">
        <v>0.002</v>
      </c>
      <c r="AO401" s="76" t="n">
        <v>0.002</v>
      </c>
      <c r="AP401" s="76" t="n">
        <v>0.001</v>
      </c>
      <c r="AQ401" s="76" t="n">
        <v>0</v>
      </c>
      <c r="AR401" s="76" t="n">
        <v>0.0076</v>
      </c>
    </row>
    <row r="402">
      <c r="A402" s="76" t="inlineStr">
        <is>
          <t>ND</t>
        </is>
      </c>
      <c r="B402" s="76" t="inlineStr">
        <is>
          <t>Geothermal</t>
        </is>
      </c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  <c r="AE402" s="76" t="n"/>
      <c r="AF402" s="76" t="n"/>
      <c r="AG402" s="76" t="n"/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</row>
    <row r="403">
      <c r="A403" s="76" t="inlineStr">
        <is>
          <t>ND</t>
        </is>
      </c>
      <c r="B403" s="76" t="inlineStr">
        <is>
          <t>Hydro</t>
        </is>
      </c>
      <c r="C403" s="76" t="n">
        <v>0.367</v>
      </c>
      <c r="D403" s="76" t="n">
        <v>0.448</v>
      </c>
      <c r="E403" s="76" t="n">
        <v>0.529</v>
      </c>
      <c r="F403" s="76" t="n">
        <v>0.494</v>
      </c>
      <c r="G403" s="76" t="n">
        <v>0.459</v>
      </c>
      <c r="H403" s="76" t="n">
        <v>0.42</v>
      </c>
      <c r="I403" s="76" t="n">
        <v>0.382</v>
      </c>
      <c r="J403" s="76" t="n">
        <v>0.38</v>
      </c>
      <c r="K403" s="76" t="n">
        <v>0.379</v>
      </c>
      <c r="L403" s="76" t="n">
        <v>0.379</v>
      </c>
      <c r="M403" s="76" t="n">
        <v>0.378</v>
      </c>
      <c r="N403" s="76" t="n">
        <v>0.38</v>
      </c>
      <c r="O403" s="76" t="n">
        <v>0.382</v>
      </c>
      <c r="P403" s="76" t="n">
        <v>0.382</v>
      </c>
      <c r="Q403" s="76" t="n">
        <v>0.382</v>
      </c>
      <c r="R403" s="76" t="n">
        <v>0.382</v>
      </c>
      <c r="S403" s="76" t="n">
        <v>0.382</v>
      </c>
      <c r="T403" s="76" t="n">
        <v>0.382</v>
      </c>
      <c r="U403" s="76" t="n">
        <v>0.382</v>
      </c>
      <c r="V403" s="76" t="n">
        <v>0.382</v>
      </c>
      <c r="W403" s="76" t="n">
        <v>0.382</v>
      </c>
      <c r="X403" s="76" t="n">
        <v>0.382</v>
      </c>
      <c r="Y403" s="76" t="n">
        <v>0.382</v>
      </c>
      <c r="Z403" s="76" t="n">
        <v>0.382</v>
      </c>
      <c r="AA403" s="76" t="n">
        <v>0.382</v>
      </c>
      <c r="AB403" s="76" t="n">
        <v>0.382</v>
      </c>
      <c r="AC403" s="76" t="n">
        <v>0.382</v>
      </c>
      <c r="AD403" s="76" t="n">
        <v>0.382</v>
      </c>
      <c r="AE403" s="76" t="n">
        <v>0.382</v>
      </c>
      <c r="AF403" s="76" t="n">
        <v>0.382</v>
      </c>
      <c r="AG403" s="76" t="n">
        <v>0.382</v>
      </c>
      <c r="AH403" s="76" t="n">
        <v>0.382</v>
      </c>
      <c r="AI403" s="76" t="n">
        <v>0.382</v>
      </c>
      <c r="AJ403" s="76" t="n">
        <v>0.382</v>
      </c>
      <c r="AK403" s="76" t="n">
        <v>0.382</v>
      </c>
      <c r="AL403" s="76" t="n">
        <v>0.382</v>
      </c>
      <c r="AM403" s="76" t="n">
        <v>0.382</v>
      </c>
      <c r="AN403" s="76" t="n">
        <v>0.382</v>
      </c>
      <c r="AO403" s="76" t="n">
        <v>0.382</v>
      </c>
      <c r="AP403" s="76" t="n">
        <v>0.382</v>
      </c>
      <c r="AQ403" s="76" t="n">
        <v>0.382</v>
      </c>
      <c r="AR403" s="76" t="n">
        <v>0.3920243902439023</v>
      </c>
    </row>
    <row r="404">
      <c r="A404" s="76" t="inlineStr">
        <is>
          <t>ND</t>
        </is>
      </c>
      <c r="B404" s="76" t="inlineStr">
        <is>
          <t>Nuclear</t>
        </is>
      </c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  <c r="AE404" s="76" t="n"/>
      <c r="AF404" s="76" t="n"/>
      <c r="AG404" s="76" t="n"/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</row>
    <row r="405">
      <c r="A405" s="76" t="inlineStr">
        <is>
          <t>ND</t>
        </is>
      </c>
      <c r="B405" s="76" t="inlineStr">
        <is>
          <t>Other</t>
        </is>
      </c>
      <c r="C405" s="76" t="n">
        <v>0.766</v>
      </c>
      <c r="D405" s="76" t="n">
        <v>0.7115</v>
      </c>
      <c r="E405" s="76" t="n">
        <v>0.646</v>
      </c>
      <c r="F405" s="76" t="n">
        <v>0.6165</v>
      </c>
      <c r="G405" s="76" t="n">
        <v>0.5755</v>
      </c>
      <c r="H405" s="76" t="n">
        <v>0.752</v>
      </c>
      <c r="I405" s="76" t="n">
        <v>0.7885</v>
      </c>
      <c r="J405" s="76" t="n">
        <v>0.7825</v>
      </c>
      <c r="K405" s="76" t="n">
        <v>0.7615</v>
      </c>
      <c r="L405" s="76" t="n">
        <v>0.706</v>
      </c>
      <c r="M405" s="76" t="n">
        <v>0.4145</v>
      </c>
      <c r="N405" s="76" t="n">
        <v>0.415</v>
      </c>
      <c r="O405" s="76" t="n">
        <v>0.415</v>
      </c>
      <c r="P405" s="76" t="n">
        <v>0.415</v>
      </c>
      <c r="Q405" s="76" t="n">
        <v>0.415</v>
      </c>
      <c r="R405" s="76" t="n">
        <v>0.419</v>
      </c>
      <c r="S405" s="76" t="n">
        <v>0.423</v>
      </c>
      <c r="T405" s="76" t="n">
        <v>0.429</v>
      </c>
      <c r="U405" s="76" t="n">
        <v>0.4335</v>
      </c>
      <c r="V405" s="76" t="n">
        <v>0.434</v>
      </c>
      <c r="W405" s="76" t="n">
        <v>0.4345</v>
      </c>
      <c r="X405" s="76" t="n">
        <v>0.4345</v>
      </c>
      <c r="Y405" s="76" t="n">
        <v>0.4345</v>
      </c>
      <c r="Z405" s="76" t="n">
        <v>0.4345</v>
      </c>
      <c r="AA405" s="76" t="n">
        <v>0.4345</v>
      </c>
      <c r="AB405" s="76" t="n">
        <v>0.4345</v>
      </c>
      <c r="AC405" s="76" t="n">
        <v>0.4345</v>
      </c>
      <c r="AD405" s="76" t="n">
        <v>0.4345</v>
      </c>
      <c r="AE405" s="76" t="n">
        <v>0.4345</v>
      </c>
      <c r="AF405" s="76" t="n">
        <v>0.4345</v>
      </c>
      <c r="AG405" s="76" t="n">
        <v>0.4345</v>
      </c>
      <c r="AH405" s="76" t="n">
        <v>0.4345</v>
      </c>
      <c r="AI405" s="76" t="n">
        <v>0.4345</v>
      </c>
      <c r="AJ405" s="76" t="n">
        <v>0.4345</v>
      </c>
      <c r="AK405" s="76" t="n">
        <v>0.4345</v>
      </c>
      <c r="AL405" s="76" t="n">
        <v>0.4345</v>
      </c>
      <c r="AM405" s="76" t="n">
        <v>0.4345</v>
      </c>
      <c r="AN405" s="76" t="n">
        <v>0.4345</v>
      </c>
      <c r="AO405" s="76" t="n">
        <v>0.4345</v>
      </c>
      <c r="AP405" s="76" t="n">
        <v>0.4345</v>
      </c>
      <c r="AQ405" s="76" t="n">
        <v>0.4345</v>
      </c>
      <c r="AR405" s="76" t="n">
        <v>0.4986219512195121</v>
      </c>
    </row>
    <row r="406">
      <c r="A406" s="76" t="inlineStr">
        <is>
          <t>ND</t>
        </is>
      </c>
      <c r="B406" s="76" t="inlineStr">
        <is>
          <t>Utility PV</t>
        </is>
      </c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  <c r="AA406" s="76" t="n"/>
      <c r="AB406" s="76" t="n"/>
      <c r="AC406" s="76" t="n"/>
      <c r="AD406" s="76" t="n"/>
      <c r="AE406" s="76" t="n"/>
      <c r="AF406" s="76" t="n"/>
      <c r="AG406" s="76" t="n"/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</row>
    <row r="407">
      <c r="A407" s="76" t="inlineStr">
        <is>
          <t>ND</t>
        </is>
      </c>
      <c r="B407" s="76" t="inlineStr">
        <is>
          <t>Wind offshore</t>
        </is>
      </c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  <c r="AA407" s="76" t="n"/>
      <c r="AB407" s="76" t="n"/>
      <c r="AC407" s="76" t="n"/>
      <c r="AD407" s="76" t="n"/>
      <c r="AE407" s="76" t="n"/>
      <c r="AF407" s="76" t="n"/>
      <c r="AG407" s="76" t="n"/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</row>
    <row r="408">
      <c r="A408" s="76" t="inlineStr">
        <is>
          <t>ND</t>
        </is>
      </c>
      <c r="B408" s="76" t="inlineStr">
        <is>
          <t>Wind onshore</t>
        </is>
      </c>
      <c r="C408" s="76" t="n">
        <v>0.318</v>
      </c>
      <c r="D408" s="76" t="n">
        <v>0.3245</v>
      </c>
      <c r="E408" s="76" t="n">
        <v>0.328</v>
      </c>
      <c r="F408" s="76" t="n">
        <v>0.328</v>
      </c>
      <c r="G408" s="76" t="n">
        <v>0.328</v>
      </c>
      <c r="H408" s="76" t="n">
        <v>0.3425</v>
      </c>
      <c r="I408" s="76" t="n">
        <v>0.351</v>
      </c>
      <c r="J408" s="76" t="n">
        <v>0.3535</v>
      </c>
      <c r="K408" s="76" t="n">
        <v>0.3555</v>
      </c>
      <c r="L408" s="76" t="n">
        <v>0.3625</v>
      </c>
      <c r="M408" s="76" t="n">
        <v>0.3675</v>
      </c>
      <c r="N408" s="76" t="n">
        <v>0.376</v>
      </c>
      <c r="O408" s="76" t="n">
        <v>0.3825</v>
      </c>
      <c r="P408" s="76" t="n">
        <v>0.381</v>
      </c>
      <c r="Q408" s="76" t="n">
        <v>0.3795</v>
      </c>
      <c r="R408" s="76" t="n">
        <v>0.38</v>
      </c>
      <c r="S408" s="76" t="n">
        <v>0.3805</v>
      </c>
      <c r="T408" s="76" t="n">
        <v>0.3785</v>
      </c>
      <c r="U408" s="76" t="n">
        <v>0.3765</v>
      </c>
      <c r="V408" s="76" t="n">
        <v>0.378</v>
      </c>
      <c r="W408" s="76" t="n">
        <v>0.379</v>
      </c>
      <c r="X408" s="76" t="n">
        <v>0.377</v>
      </c>
      <c r="Y408" s="76" t="n">
        <v>0.375</v>
      </c>
      <c r="Z408" s="76" t="n">
        <v>0.38</v>
      </c>
      <c r="AA408" s="76" t="n">
        <v>0.384</v>
      </c>
      <c r="AB408" s="76" t="n">
        <v>0.386</v>
      </c>
      <c r="AC408" s="76" t="n">
        <v>0.395</v>
      </c>
      <c r="AD408" s="76" t="n">
        <v>0.4045</v>
      </c>
      <c r="AE408" s="76" t="n">
        <v>0.4135</v>
      </c>
      <c r="AF408" s="76" t="n">
        <v>0.422</v>
      </c>
      <c r="AG408" s="76" t="n">
        <v>0.4305</v>
      </c>
      <c r="AH408" s="76" t="n">
        <v>0.4325</v>
      </c>
      <c r="AI408" s="76" t="n">
        <v>0.4355</v>
      </c>
      <c r="AJ408" s="76" t="n">
        <v>0.4385</v>
      </c>
      <c r="AK408" s="76" t="n">
        <v>0.4409999999999999</v>
      </c>
      <c r="AL408" s="76" t="n">
        <v>0.4435</v>
      </c>
      <c r="AM408" s="76" t="n">
        <v>0.449</v>
      </c>
      <c r="AN408" s="76" t="n">
        <v>0.455</v>
      </c>
      <c r="AO408" s="76" t="n">
        <v>0.464</v>
      </c>
      <c r="AP408" s="76" t="n">
        <v>0.478</v>
      </c>
      <c r="AQ408" s="76" t="n">
        <v>0.5044999999999999</v>
      </c>
      <c r="AR408" s="76" t="n">
        <v>0.3916951219512196</v>
      </c>
    </row>
    <row r="409">
      <c r="A409" s="76" t="inlineStr">
        <is>
          <t>NE</t>
        </is>
      </c>
      <c r="B409" s="76" t="inlineStr">
        <is>
          <t>NE</t>
        </is>
      </c>
      <c r="C409" s="76" t="n">
        <v>0.2545294117647059</v>
      </c>
      <c r="D409" s="76" t="n">
        <v>0.2540588235294118</v>
      </c>
      <c r="E409" s="76" t="n">
        <v>0.2521764705882353</v>
      </c>
      <c r="F409" s="76" t="n">
        <v>0.24645</v>
      </c>
      <c r="G409" s="76" t="n">
        <v>0.2639473684210527</v>
      </c>
      <c r="H409" s="76" t="n">
        <v>0.2633809523809524</v>
      </c>
      <c r="I409" s="76" t="n">
        <v>0.263095238095238</v>
      </c>
      <c r="J409" s="76" t="n">
        <v>0.2654761904761905</v>
      </c>
      <c r="K409" s="76" t="n">
        <v>0.2735238095238095</v>
      </c>
      <c r="L409" s="76" t="n">
        <v>0.2675238095238095</v>
      </c>
      <c r="M409" s="76" t="n">
        <v>0.2609047619047619</v>
      </c>
      <c r="N409" s="76" t="n">
        <v>0.255047619047619</v>
      </c>
      <c r="O409" s="76" t="n">
        <v>0.2498095238095238</v>
      </c>
      <c r="P409" s="76" t="n">
        <v>0.244047619047619</v>
      </c>
      <c r="Q409" s="76" t="n">
        <v>0.254</v>
      </c>
      <c r="R409" s="76" t="n">
        <v>0.21388</v>
      </c>
      <c r="S409" s="76" t="n">
        <v>0.21084</v>
      </c>
      <c r="T409" s="76" t="n">
        <v>0.2078</v>
      </c>
      <c r="U409" s="76" t="n">
        <v>0.2062916666666667</v>
      </c>
      <c r="V409" s="76" t="n">
        <v>0.209</v>
      </c>
      <c r="W409" s="76" t="n">
        <v>0.2091666666666666</v>
      </c>
      <c r="X409" s="76" t="n">
        <v>0.2015416666666666</v>
      </c>
      <c r="Y409" s="76" t="n">
        <v>0.2037391304347826</v>
      </c>
      <c r="Z409" s="76" t="n">
        <v>0.2056521739130435</v>
      </c>
      <c r="AA409" s="76" t="n">
        <v>0.2067391304347826</v>
      </c>
      <c r="AB409" s="76" t="n">
        <v>0.1637619047619047</v>
      </c>
      <c r="AC409" s="76" t="n">
        <v>0.1639047619047619</v>
      </c>
      <c r="AD409" s="76" t="n">
        <v>0.1640476190476191</v>
      </c>
      <c r="AE409" s="76" t="n">
        <v>0.1641904761904762</v>
      </c>
      <c r="AF409" s="76" t="n">
        <v>0.1644761904761905</v>
      </c>
      <c r="AG409" s="76" t="n">
        <v>0.1647142857142857</v>
      </c>
      <c r="AH409" s="76" t="n">
        <v>0.164952380952381</v>
      </c>
      <c r="AI409" s="76" t="n">
        <v>0.1643809523809524</v>
      </c>
      <c r="AJ409" s="76" t="n">
        <v>0.1638571428571428</v>
      </c>
      <c r="AK409" s="76" t="n">
        <v>0.1633809523809524</v>
      </c>
      <c r="AL409" s="76" t="n">
        <v>0.1627619047619048</v>
      </c>
      <c r="AM409" s="76" t="n">
        <v>0.1612857142857143</v>
      </c>
      <c r="AN409" s="76" t="n">
        <v>0.1603333333333333</v>
      </c>
      <c r="AO409" s="76" t="n">
        <v>0.1597142857142857</v>
      </c>
      <c r="AP409" s="76" t="n">
        <v>0.1593809523809524</v>
      </c>
      <c r="AQ409" s="76" t="n">
        <v>0.1703</v>
      </c>
      <c r="AR409" s="76" t="n">
        <v>0.207968</v>
      </c>
    </row>
    <row r="410">
      <c r="A410" s="76" t="inlineStr">
        <is>
          <t>NE</t>
        </is>
      </c>
      <c r="B410" s="76" t="inlineStr">
        <is>
          <t>Battery</t>
        </is>
      </c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>
        <v>-0.05566666666666666</v>
      </c>
      <c r="S410" s="76" t="n">
        <v>-0.05566666666666666</v>
      </c>
      <c r="T410" s="76" t="n">
        <v>-0.058</v>
      </c>
      <c r="U410" s="76" t="n">
        <v>-0.06033333333333333</v>
      </c>
      <c r="V410" s="76" t="n">
        <v>-0.06866666666666667</v>
      </c>
      <c r="W410" s="76" t="n">
        <v>-0.07100000000000001</v>
      </c>
      <c r="X410" s="76" t="n">
        <v>-0.07233333333333335</v>
      </c>
      <c r="Y410" s="76" t="n">
        <v>-0.07100000000000001</v>
      </c>
      <c r="Z410" s="76" t="n">
        <v>-0.06833333333333334</v>
      </c>
      <c r="AA410" s="76" t="n">
        <v>-0.066</v>
      </c>
      <c r="AB410" s="76" t="n">
        <v>-0.06366666666666666</v>
      </c>
      <c r="AC410" s="76" t="n">
        <v>-0.06533333333333334</v>
      </c>
      <c r="AD410" s="76" t="n">
        <v>-0.06666666666666667</v>
      </c>
      <c r="AE410" s="76" t="n">
        <v>-0.068</v>
      </c>
      <c r="AF410" s="76" t="n">
        <v>-0.06900000000000001</v>
      </c>
      <c r="AG410" s="76" t="n">
        <v>-0.06966666666666667</v>
      </c>
      <c r="AH410" s="76" t="n">
        <v>-0.06900000000000001</v>
      </c>
      <c r="AI410" s="76" t="n">
        <v>-0.06833333333333334</v>
      </c>
      <c r="AJ410" s="76" t="n">
        <v>-0.06733333333333334</v>
      </c>
      <c r="AK410" s="76" t="n">
        <v>-0.06666666666666667</v>
      </c>
      <c r="AL410" s="76" t="n">
        <v>-0.06566666666666666</v>
      </c>
      <c r="AM410" s="76" t="n">
        <v>-0.064</v>
      </c>
      <c r="AN410" s="76" t="n">
        <v>-0.06166666666666667</v>
      </c>
      <c r="AO410" s="76" t="n">
        <v>-0.05966666666666667</v>
      </c>
      <c r="AP410" s="76" t="n">
        <v>-0.05733333333333333</v>
      </c>
      <c r="AQ410" s="76" t="n">
        <v>-0.052</v>
      </c>
      <c r="AR410" s="76" t="n">
        <v>-0.06481818181818182</v>
      </c>
    </row>
    <row r="411">
      <c r="A411" s="76" t="inlineStr">
        <is>
          <t>NE</t>
        </is>
      </c>
      <c r="B411" s="76" t="inlineStr">
        <is>
          <t>Biopower</t>
        </is>
      </c>
      <c r="C411" s="76" t="n">
        <v>0.522</v>
      </c>
      <c r="D411" s="76" t="n">
        <v>0.522</v>
      </c>
      <c r="E411" s="76" t="n">
        <v>0.522</v>
      </c>
      <c r="F411" s="76" t="n">
        <v>0.522</v>
      </c>
      <c r="G411" s="76" t="n">
        <v>0.522</v>
      </c>
      <c r="H411" s="76" t="n">
        <v>0.522</v>
      </c>
      <c r="I411" s="76" t="n">
        <v>0.522</v>
      </c>
      <c r="J411" s="76" t="n">
        <v>0.522</v>
      </c>
      <c r="K411" s="76" t="n">
        <v>0.522</v>
      </c>
      <c r="L411" s="76" t="n">
        <v>0.522</v>
      </c>
      <c r="M411" s="76" t="n">
        <v>0.522</v>
      </c>
      <c r="N411" s="76" t="n">
        <v>0.522</v>
      </c>
      <c r="O411" s="76" t="n">
        <v>0.522</v>
      </c>
      <c r="P411" s="76" t="n">
        <v>0.522</v>
      </c>
      <c r="Q411" s="76" t="n">
        <v>0.522</v>
      </c>
      <c r="R411" s="76" t="n">
        <v>0.522</v>
      </c>
      <c r="S411" s="76" t="n">
        <v>0.522</v>
      </c>
      <c r="T411" s="76" t="n">
        <v>0.522</v>
      </c>
      <c r="U411" s="76" t="n">
        <v>0.522</v>
      </c>
      <c r="V411" s="76" t="n">
        <v>0.522</v>
      </c>
      <c r="W411" s="76" t="n">
        <v>0.522</v>
      </c>
      <c r="X411" s="76" t="n">
        <v>0.522</v>
      </c>
      <c r="Y411" s="76" t="n">
        <v>0.522</v>
      </c>
      <c r="Z411" s="76" t="n">
        <v>0.501</v>
      </c>
      <c r="AA411" s="76" t="n">
        <v>0.479</v>
      </c>
      <c r="AB411" s="76" t="n">
        <v>0.457</v>
      </c>
      <c r="AC411" s="76" t="n">
        <v>0.47</v>
      </c>
      <c r="AD411" s="76" t="n">
        <v>0.483</v>
      </c>
      <c r="AE411" s="76" t="n">
        <v>0.496</v>
      </c>
      <c r="AF411" s="76" t="n">
        <v>0.509</v>
      </c>
      <c r="AG411" s="76" t="n">
        <v>0.522</v>
      </c>
      <c r="AH411" s="76" t="n">
        <v>0.507</v>
      </c>
      <c r="AI411" s="76" t="n">
        <v>0.492</v>
      </c>
      <c r="AJ411" s="76" t="n">
        <v>0.477</v>
      </c>
      <c r="AK411" s="76" t="n">
        <v>0.462</v>
      </c>
      <c r="AL411" s="76" t="n">
        <v>0.447</v>
      </c>
      <c r="AM411" s="76" t="n">
        <v>0.436</v>
      </c>
      <c r="AN411" s="76" t="n">
        <v>0.425</v>
      </c>
      <c r="AO411" s="76" t="n">
        <v>0.415</v>
      </c>
      <c r="AP411" s="76" t="n">
        <v>0.404</v>
      </c>
      <c r="AQ411" s="76" t="n">
        <v>0.393</v>
      </c>
      <c r="AR411" s="76" t="n">
        <v>0.4970975609756099</v>
      </c>
    </row>
    <row r="412">
      <c r="A412" s="76" t="inlineStr">
        <is>
          <t>NE</t>
        </is>
      </c>
      <c r="B412" s="76" t="inlineStr">
        <is>
          <t>Coal</t>
        </is>
      </c>
      <c r="C412" s="76" t="n">
        <v>0.6345000000000001</v>
      </c>
      <c r="D412" s="76" t="n">
        <v>0.508</v>
      </c>
      <c r="E412" s="76" t="n">
        <v>0.385</v>
      </c>
      <c r="F412" s="76" t="n">
        <v>0.524</v>
      </c>
      <c r="G412" s="76" t="n">
        <v>0.6635</v>
      </c>
      <c r="H412" s="76" t="n">
        <v>0.473</v>
      </c>
      <c r="I412" s="76" t="n">
        <v>0.2825</v>
      </c>
      <c r="J412" s="76" t="n">
        <v>0.4015</v>
      </c>
      <c r="K412" s="76" t="n">
        <v>0.5995</v>
      </c>
      <c r="L412" s="76" t="n">
        <v>0.452</v>
      </c>
      <c r="M412" s="76" t="n">
        <v>0.305</v>
      </c>
      <c r="N412" s="76" t="n">
        <v>0.3095</v>
      </c>
      <c r="O412" s="76" t="n">
        <v>0.3195</v>
      </c>
      <c r="P412" s="76" t="n">
        <v>0.3355</v>
      </c>
      <c r="Q412" s="76" t="n">
        <v>0.5135</v>
      </c>
      <c r="R412" s="76" t="n">
        <v>0.487</v>
      </c>
      <c r="S412" s="76" t="n">
        <v>0.4605</v>
      </c>
      <c r="T412" s="76" t="n">
        <v>0.458</v>
      </c>
      <c r="U412" s="76" t="n">
        <v>0.733</v>
      </c>
      <c r="V412" s="76" t="n">
        <v>0.6860000000000001</v>
      </c>
      <c r="W412" s="76" t="n">
        <v>0.64</v>
      </c>
      <c r="X412" s="76" t="n">
        <v>0.536</v>
      </c>
      <c r="Y412" s="76" t="n">
        <v>0.431</v>
      </c>
      <c r="Z412" s="76" t="n">
        <v>0.431</v>
      </c>
      <c r="AA412" s="76" t="n">
        <v>0.431</v>
      </c>
      <c r="AB412" s="76" t="n"/>
      <c r="AC412" s="76" t="n"/>
      <c r="AD412" s="76" t="n"/>
      <c r="AE412" s="76" t="n"/>
      <c r="AF412" s="76" t="n"/>
      <c r="AG412" s="76" t="n"/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>
        <v>0.4677209302325582</v>
      </c>
    </row>
    <row r="413">
      <c r="A413" s="76" t="inlineStr">
        <is>
          <t>NE</t>
        </is>
      </c>
      <c r="B413" s="76" t="inlineStr">
        <is>
          <t>CSP</t>
        </is>
      </c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6" t="n"/>
      <c r="AC413" s="76" t="n"/>
      <c r="AD413" s="76" t="n"/>
      <c r="AE413" s="76" t="n"/>
      <c r="AF413" s="76" t="n"/>
      <c r="AG413" s="76" t="n"/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</row>
    <row r="414">
      <c r="A414" s="76" t="inlineStr">
        <is>
          <t>NE</t>
        </is>
      </c>
      <c r="B414" s="76" t="inlineStr">
        <is>
          <t>Dist PV</t>
        </is>
      </c>
      <c r="C414" s="76" t="n"/>
      <c r="D414" s="76" t="n"/>
      <c r="E414" s="76" t="n"/>
      <c r="F414" s="76" t="n">
        <v>0.1823333333333333</v>
      </c>
      <c r="G414" s="76" t="n">
        <v>0.1823333333333333</v>
      </c>
      <c r="H414" s="76" t="n">
        <v>0.1823333333333333</v>
      </c>
      <c r="I414" s="76" t="n">
        <v>0.1823333333333333</v>
      </c>
      <c r="J414" s="76" t="n">
        <v>0.1823333333333333</v>
      </c>
      <c r="K414" s="76" t="n">
        <v>0.1823333333333333</v>
      </c>
      <c r="L414" s="76" t="n">
        <v>0.1823333333333333</v>
      </c>
      <c r="M414" s="76" t="n">
        <v>0.1823333333333333</v>
      </c>
      <c r="N414" s="76" t="n">
        <v>0.1823333333333333</v>
      </c>
      <c r="O414" s="76" t="n">
        <v>0.1823333333333333</v>
      </c>
      <c r="P414" s="76" t="n">
        <v>0.1823333333333333</v>
      </c>
      <c r="Q414" s="76" t="n">
        <v>0.1823333333333333</v>
      </c>
      <c r="R414" s="76" t="n">
        <v>0.1823333333333333</v>
      </c>
      <c r="S414" s="76" t="n">
        <v>0.1823333333333333</v>
      </c>
      <c r="T414" s="76" t="n">
        <v>0.1716666666666667</v>
      </c>
      <c r="U414" s="76" t="n">
        <v>0.1626666666666667</v>
      </c>
      <c r="V414" s="76" t="n">
        <v>0.173</v>
      </c>
      <c r="W414" s="76" t="n">
        <v>0.1823333333333333</v>
      </c>
      <c r="X414" s="76" t="n">
        <v>0.1736666666666667</v>
      </c>
      <c r="Y414" s="76" t="n">
        <v>0.166</v>
      </c>
      <c r="Z414" s="76" t="n">
        <v>0.1723333333333333</v>
      </c>
      <c r="AA414" s="76" t="n">
        <v>0.1776666666666667</v>
      </c>
      <c r="AB414" s="76" t="n">
        <v>0.1823333333333333</v>
      </c>
      <c r="AC414" s="76" t="n">
        <v>0.1823333333333333</v>
      </c>
      <c r="AD414" s="76" t="n">
        <v>0.1823333333333333</v>
      </c>
      <c r="AE414" s="76" t="n">
        <v>0.1823333333333333</v>
      </c>
      <c r="AF414" s="76" t="n">
        <v>0.1823333333333333</v>
      </c>
      <c r="AG414" s="76" t="n">
        <v>0.1823333333333333</v>
      </c>
      <c r="AH414" s="76" t="n">
        <v>0.1823333333333333</v>
      </c>
      <c r="AI414" s="76" t="n">
        <v>0.1823333333333333</v>
      </c>
      <c r="AJ414" s="76" t="n">
        <v>0.1823333333333333</v>
      </c>
      <c r="AK414" s="76" t="n">
        <v>0.1823333333333333</v>
      </c>
      <c r="AL414" s="76" t="n">
        <v>0.1823333333333333</v>
      </c>
      <c r="AM414" s="76" t="n">
        <v>0.181</v>
      </c>
      <c r="AN414" s="76" t="n">
        <v>0.1796666666666666</v>
      </c>
      <c r="AO414" s="76" t="n">
        <v>0.1786666666666667</v>
      </c>
      <c r="AP414" s="76" t="n">
        <v>0.1776666666666666</v>
      </c>
      <c r="AQ414" s="76" t="n">
        <v>0.1763333333333333</v>
      </c>
      <c r="AR414" s="76" t="n">
        <v>0.1797631578947367</v>
      </c>
    </row>
    <row r="415">
      <c r="A415" s="76" t="inlineStr">
        <is>
          <t>NE</t>
        </is>
      </c>
      <c r="B415" s="76" t="inlineStr">
        <is>
          <t>Gas CCGT</t>
        </is>
      </c>
      <c r="C415" s="76" t="n">
        <v>0.004</v>
      </c>
      <c r="D415" s="76" t="n">
        <v>0.01</v>
      </c>
      <c r="E415" s="76" t="n">
        <v>0.0155</v>
      </c>
      <c r="F415" s="76" t="n">
        <v>0.0145</v>
      </c>
      <c r="G415" s="76" t="n">
        <v>0.014</v>
      </c>
      <c r="H415" s="76" t="n">
        <v>0.1985</v>
      </c>
      <c r="I415" s="76" t="n">
        <v>0.383</v>
      </c>
      <c r="J415" s="76" t="n">
        <v>0.2625</v>
      </c>
      <c r="K415" s="76" t="n">
        <v>0.142</v>
      </c>
      <c r="L415" s="76" t="n">
        <v>0.2135</v>
      </c>
      <c r="M415" s="76" t="n">
        <v>0.2845</v>
      </c>
      <c r="N415" s="76" t="n">
        <v>0.22</v>
      </c>
      <c r="O415" s="76" t="n">
        <v>0.156</v>
      </c>
      <c r="P415" s="76" t="n">
        <v>0.133</v>
      </c>
      <c r="Q415" s="76" t="n">
        <v>0.11</v>
      </c>
      <c r="R415" s="76" t="n">
        <v>0.0755</v>
      </c>
      <c r="S415" s="76" t="n">
        <v>0.041</v>
      </c>
      <c r="T415" s="76" t="n">
        <v>0.0325</v>
      </c>
      <c r="U415" s="76" t="n">
        <v>0.025</v>
      </c>
      <c r="V415" s="76" t="n">
        <v>0.024</v>
      </c>
      <c r="W415" s="76" t="n">
        <v>0.0225</v>
      </c>
      <c r="X415" s="76" t="n">
        <v>0.0135</v>
      </c>
      <c r="Y415" s="76" t="n">
        <v>0.004</v>
      </c>
      <c r="Z415" s="76" t="n">
        <v>0.006999999999999999</v>
      </c>
      <c r="AA415" s="76" t="n">
        <v>0.009500000000000001</v>
      </c>
      <c r="AB415" s="76" t="n">
        <v>0.0125</v>
      </c>
      <c r="AC415" s="76" t="n">
        <v>0.01</v>
      </c>
      <c r="AD415" s="76" t="n">
        <v>0.0075</v>
      </c>
      <c r="AE415" s="76" t="n">
        <v>0.005</v>
      </c>
      <c r="AF415" s="76" t="n">
        <v>0.0025</v>
      </c>
      <c r="AG415" s="76" t="n">
        <v>0</v>
      </c>
      <c r="AH415" s="76" t="n">
        <v>0</v>
      </c>
      <c r="AI415" s="76" t="n">
        <v>0</v>
      </c>
      <c r="AJ415" s="76" t="n">
        <v>0</v>
      </c>
      <c r="AK415" s="76" t="n">
        <v>0</v>
      </c>
      <c r="AL415" s="76" t="n">
        <v>0</v>
      </c>
      <c r="AM415" s="76" t="n">
        <v>0</v>
      </c>
      <c r="AN415" s="76" t="n">
        <v>0</v>
      </c>
      <c r="AO415" s="76" t="n">
        <v>0</v>
      </c>
      <c r="AP415" s="76" t="n">
        <v>0</v>
      </c>
      <c r="AQ415" s="76" t="n">
        <v>0</v>
      </c>
      <c r="AR415" s="76" t="n">
        <v>0.05982926829268292</v>
      </c>
    </row>
    <row r="416">
      <c r="A416" s="76" t="inlineStr">
        <is>
          <t>NE</t>
        </is>
      </c>
      <c r="B416" s="76" t="inlineStr">
        <is>
          <t>Gas CT</t>
        </is>
      </c>
      <c r="C416" s="76" t="n">
        <v>0.002333333333333334</v>
      </c>
      <c r="D416" s="76" t="n">
        <v>0.002666666666666667</v>
      </c>
      <c r="E416" s="76" t="n">
        <v>0.003</v>
      </c>
      <c r="F416" s="76" t="n">
        <v>0.003666666666666667</v>
      </c>
      <c r="G416" s="76" t="n">
        <v>0.004</v>
      </c>
      <c r="H416" s="76" t="n">
        <v>0.0055</v>
      </c>
      <c r="I416" s="76" t="n">
        <v>0.0065</v>
      </c>
      <c r="J416" s="76" t="n">
        <v>0.005</v>
      </c>
      <c r="K416" s="76" t="n">
        <v>0.0035</v>
      </c>
      <c r="L416" s="76" t="n">
        <v>0.0035</v>
      </c>
      <c r="M416" s="76" t="n">
        <v>0.003</v>
      </c>
      <c r="N416" s="76" t="n">
        <v>0.003</v>
      </c>
      <c r="O416" s="76" t="n">
        <v>0.003</v>
      </c>
      <c r="P416" s="76" t="n">
        <v>0.0025</v>
      </c>
      <c r="Q416" s="76" t="n">
        <v>0.0025</v>
      </c>
      <c r="R416" s="76" t="n">
        <v>0.0025</v>
      </c>
      <c r="S416" s="76" t="n">
        <v>0.0025</v>
      </c>
      <c r="T416" s="76" t="n">
        <v>0.002</v>
      </c>
      <c r="U416" s="76" t="n">
        <v>0.002</v>
      </c>
      <c r="V416" s="76" t="n">
        <v>0.001</v>
      </c>
      <c r="W416" s="76" t="n">
        <v>0</v>
      </c>
      <c r="X416" s="76" t="n">
        <v>0</v>
      </c>
      <c r="Y416" s="76" t="n">
        <v>0</v>
      </c>
      <c r="Z416" s="76" t="n">
        <v>0</v>
      </c>
      <c r="AA416" s="76" t="n">
        <v>0</v>
      </c>
      <c r="AB416" s="76" t="n">
        <v>0</v>
      </c>
      <c r="AC416" s="76" t="n">
        <v>0</v>
      </c>
      <c r="AD416" s="76" t="n">
        <v>0</v>
      </c>
      <c r="AE416" s="76" t="n">
        <v>0</v>
      </c>
      <c r="AF416" s="76" t="n">
        <v>0</v>
      </c>
      <c r="AG416" s="76" t="n">
        <v>0</v>
      </c>
      <c r="AH416" s="76" t="n">
        <v>0</v>
      </c>
      <c r="AI416" s="76" t="n">
        <v>0</v>
      </c>
      <c r="AJ416" s="76" t="n">
        <v>0</v>
      </c>
      <c r="AK416" s="76" t="n">
        <v>0</v>
      </c>
      <c r="AL416" s="76" t="n">
        <v>0</v>
      </c>
      <c r="AM416" s="76" t="n">
        <v>0</v>
      </c>
      <c r="AN416" s="76" t="n">
        <v>0</v>
      </c>
      <c r="AO416" s="76" t="n">
        <v>0</v>
      </c>
      <c r="AP416" s="76" t="n">
        <v>0</v>
      </c>
      <c r="AQ416" s="76" t="n">
        <v>0</v>
      </c>
      <c r="AR416" s="76" t="n">
        <v>0.001616279069767443</v>
      </c>
    </row>
    <row r="417">
      <c r="A417" s="76" t="inlineStr">
        <is>
          <t>NE</t>
        </is>
      </c>
      <c r="B417" s="76" t="inlineStr">
        <is>
          <t>Geothermal</t>
        </is>
      </c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76" t="n"/>
      <c r="AC417" s="76" t="n"/>
      <c r="AD417" s="76" t="n"/>
      <c r="AE417" s="76" t="n"/>
      <c r="AF417" s="76" t="n"/>
      <c r="AG417" s="76" t="n"/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</row>
    <row r="418">
      <c r="A418" s="76" t="inlineStr">
        <is>
          <t>NE</t>
        </is>
      </c>
      <c r="B418" s="76" t="inlineStr">
        <is>
          <t>Hydro</t>
        </is>
      </c>
      <c r="C418" s="76" t="n">
        <v>0.3115</v>
      </c>
      <c r="D418" s="76" t="n">
        <v>0.404</v>
      </c>
      <c r="E418" s="76" t="n">
        <v>0.496</v>
      </c>
      <c r="F418" s="76" t="n">
        <v>0.399</v>
      </c>
      <c r="G418" s="76" t="n">
        <v>0.3015</v>
      </c>
      <c r="H418" s="76" t="n">
        <v>0.302</v>
      </c>
      <c r="I418" s="76" t="n">
        <v>0.303</v>
      </c>
      <c r="J418" s="76" t="n">
        <v>0.303</v>
      </c>
      <c r="K418" s="76" t="n">
        <v>0.303</v>
      </c>
      <c r="L418" s="76" t="n">
        <v>0.303</v>
      </c>
      <c r="M418" s="76" t="n">
        <v>0.303</v>
      </c>
      <c r="N418" s="76" t="n">
        <v>0.303</v>
      </c>
      <c r="O418" s="76" t="n">
        <v>0.303</v>
      </c>
      <c r="P418" s="76" t="n">
        <v>0.303</v>
      </c>
      <c r="Q418" s="76" t="n">
        <v>0.303</v>
      </c>
      <c r="R418" s="76" t="n">
        <v>0.303</v>
      </c>
      <c r="S418" s="76" t="n">
        <v>0.303</v>
      </c>
      <c r="T418" s="76" t="n">
        <v>0.303</v>
      </c>
      <c r="U418" s="76" t="n">
        <v>0.303</v>
      </c>
      <c r="V418" s="76" t="n">
        <v>0.303</v>
      </c>
      <c r="W418" s="76" t="n">
        <v>0.303</v>
      </c>
      <c r="X418" s="76" t="n">
        <v>0.303</v>
      </c>
      <c r="Y418" s="76" t="n">
        <v>0.303</v>
      </c>
      <c r="Z418" s="76" t="n">
        <v>0.303</v>
      </c>
      <c r="AA418" s="76" t="n">
        <v>0.303</v>
      </c>
      <c r="AB418" s="76" t="n">
        <v>0.303</v>
      </c>
      <c r="AC418" s="76" t="n">
        <v>0.303</v>
      </c>
      <c r="AD418" s="76" t="n">
        <v>0.303</v>
      </c>
      <c r="AE418" s="76" t="n">
        <v>0.303</v>
      </c>
      <c r="AF418" s="76" t="n">
        <v>0.303</v>
      </c>
      <c r="AG418" s="76" t="n">
        <v>0.303</v>
      </c>
      <c r="AH418" s="76" t="n">
        <v>0.303</v>
      </c>
      <c r="AI418" s="76" t="n">
        <v>0.303</v>
      </c>
      <c r="AJ418" s="76" t="n">
        <v>0.303</v>
      </c>
      <c r="AK418" s="76" t="n">
        <v>0.303</v>
      </c>
      <c r="AL418" s="76" t="n">
        <v>0.303</v>
      </c>
      <c r="AM418" s="76" t="n">
        <v>0.303</v>
      </c>
      <c r="AN418" s="76" t="n">
        <v>0.303</v>
      </c>
      <c r="AO418" s="76" t="n">
        <v>0.3025</v>
      </c>
      <c r="AP418" s="76" t="n">
        <v>0.3025</v>
      </c>
      <c r="AQ418" s="76" t="n">
        <v>0.3025</v>
      </c>
      <c r="AR418" s="76" t="n">
        <v>0.3126219512195124</v>
      </c>
    </row>
    <row r="419">
      <c r="A419" s="76" t="inlineStr">
        <is>
          <t>NE</t>
        </is>
      </c>
      <c r="B419" s="76" t="inlineStr">
        <is>
          <t>Nuclear</t>
        </is>
      </c>
      <c r="C419" s="76" t="n">
        <v>0.902</v>
      </c>
      <c r="D419" s="76" t="n">
        <v>0.902</v>
      </c>
      <c r="E419" s="76" t="n">
        <v>0.902</v>
      </c>
      <c r="F419" s="76" t="n">
        <v>0.902</v>
      </c>
      <c r="G419" s="76" t="n">
        <v>0.902</v>
      </c>
      <c r="H419" s="76" t="n">
        <v>0.902</v>
      </c>
      <c r="I419" s="76" t="n">
        <v>0.902</v>
      </c>
      <c r="J419" s="76" t="n">
        <v>0.902</v>
      </c>
      <c r="K419" s="76" t="n">
        <v>0.902</v>
      </c>
      <c r="L419" s="76" t="n">
        <v>0.902</v>
      </c>
      <c r="M419" s="76" t="n">
        <v>0.902</v>
      </c>
      <c r="N419" s="76" t="n">
        <v>0.902</v>
      </c>
      <c r="O419" s="76" t="n">
        <v>0.902</v>
      </c>
      <c r="P419" s="76" t="n">
        <v>0.902</v>
      </c>
      <c r="Q419" s="76" t="n">
        <v>0.902</v>
      </c>
      <c r="R419" s="76" t="n">
        <v>0.902</v>
      </c>
      <c r="S419" s="76" t="n">
        <v>0.902</v>
      </c>
      <c r="T419" s="76" t="n">
        <v>0.902</v>
      </c>
      <c r="U419" s="76" t="n">
        <v>0.902</v>
      </c>
      <c r="V419" s="76" t="n">
        <v>0.902</v>
      </c>
      <c r="W419" s="76" t="n">
        <v>0.902</v>
      </c>
      <c r="X419" s="76" t="n">
        <v>0.902</v>
      </c>
      <c r="Y419" s="76" t="n">
        <v>0.902</v>
      </c>
      <c r="Z419" s="76" t="n">
        <v>0.902</v>
      </c>
      <c r="AA419" s="76" t="n">
        <v>0.902</v>
      </c>
      <c r="AB419" s="76" t="n"/>
      <c r="AC419" s="76" t="n"/>
      <c r="AD419" s="76" t="n"/>
      <c r="AE419" s="76" t="n"/>
      <c r="AF419" s="76" t="n"/>
      <c r="AG419" s="76" t="n"/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>
        <v>0.902</v>
      </c>
    </row>
    <row r="420">
      <c r="A420" s="76" t="inlineStr">
        <is>
          <t>NE</t>
        </is>
      </c>
      <c r="B420" s="76" t="inlineStr">
        <is>
          <t>Other</t>
        </is>
      </c>
      <c r="C420" s="76" t="n">
        <v>0</v>
      </c>
      <c r="D420" s="76" t="n">
        <v>0</v>
      </c>
      <c r="E420" s="76" t="n">
        <v>0</v>
      </c>
      <c r="F420" s="76" t="n">
        <v>0</v>
      </c>
      <c r="G420" s="76" t="n">
        <v>0</v>
      </c>
      <c r="H420" s="76" t="n">
        <v>0</v>
      </c>
      <c r="I420" s="76" t="n">
        <v>0</v>
      </c>
      <c r="J420" s="76" t="n">
        <v>0</v>
      </c>
      <c r="K420" s="76" t="n">
        <v>0</v>
      </c>
      <c r="L420" s="76" t="n">
        <v>0</v>
      </c>
      <c r="M420" s="76" t="n">
        <v>0</v>
      </c>
      <c r="N420" s="76" t="n">
        <v>0</v>
      </c>
      <c r="O420" s="76" t="n">
        <v>0</v>
      </c>
      <c r="P420" s="76" t="n">
        <v>0</v>
      </c>
      <c r="Q420" s="76" t="n">
        <v>0</v>
      </c>
      <c r="R420" s="76" t="n">
        <v>0</v>
      </c>
      <c r="S420" s="76" t="n">
        <v>0</v>
      </c>
      <c r="T420" s="76" t="n">
        <v>0</v>
      </c>
      <c r="U420" s="76" t="n">
        <v>0</v>
      </c>
      <c r="V420" s="76" t="n">
        <v>0</v>
      </c>
      <c r="W420" s="76" t="n">
        <v>0</v>
      </c>
      <c r="X420" s="76" t="n">
        <v>0</v>
      </c>
      <c r="Y420" s="76" t="n">
        <v>0</v>
      </c>
      <c r="Z420" s="76" t="n">
        <v>0</v>
      </c>
      <c r="AA420" s="76" t="n">
        <v>0</v>
      </c>
      <c r="AB420" s="76" t="n">
        <v>0</v>
      </c>
      <c r="AC420" s="76" t="n">
        <v>0</v>
      </c>
      <c r="AD420" s="76" t="n">
        <v>0</v>
      </c>
      <c r="AE420" s="76" t="n">
        <v>0</v>
      </c>
      <c r="AF420" s="76" t="n">
        <v>0</v>
      </c>
      <c r="AG420" s="76" t="n">
        <v>0</v>
      </c>
      <c r="AH420" s="76" t="n">
        <v>0</v>
      </c>
      <c r="AI420" s="76" t="n">
        <v>0</v>
      </c>
      <c r="AJ420" s="76" t="n">
        <v>0</v>
      </c>
      <c r="AK420" s="76" t="n">
        <v>0</v>
      </c>
      <c r="AL420" s="76" t="n">
        <v>0</v>
      </c>
      <c r="AM420" s="76" t="n">
        <v>0</v>
      </c>
      <c r="AN420" s="76" t="n">
        <v>0</v>
      </c>
      <c r="AO420" s="76" t="n">
        <v>0</v>
      </c>
      <c r="AP420" s="76" t="n">
        <v>0</v>
      </c>
      <c r="AQ420" s="76" t="n">
        <v>0</v>
      </c>
      <c r="AR420" s="76" t="n">
        <v>0</v>
      </c>
    </row>
    <row r="421">
      <c r="A421" s="76" t="inlineStr">
        <is>
          <t>NE</t>
        </is>
      </c>
      <c r="B421" s="76" t="inlineStr">
        <is>
          <t>Utility PV</t>
        </is>
      </c>
      <c r="C421" s="76" t="n"/>
      <c r="D421" s="76" t="n"/>
      <c r="E421" s="76" t="n"/>
      <c r="F421" s="76" t="n"/>
      <c r="G421" s="76" t="n"/>
      <c r="H421" s="76" t="n">
        <v>0.261</v>
      </c>
      <c r="I421" s="76" t="n">
        <v>0.261</v>
      </c>
      <c r="J421" s="76" t="n">
        <v>0.2585</v>
      </c>
      <c r="K421" s="76" t="n">
        <v>0.2575</v>
      </c>
      <c r="L421" s="76" t="n">
        <v>0.256</v>
      </c>
      <c r="M421" s="76" t="n">
        <v>0.2545</v>
      </c>
      <c r="N421" s="76" t="n">
        <v>0.2535</v>
      </c>
      <c r="O421" s="76" t="n">
        <v>0.2525</v>
      </c>
      <c r="P421" s="76" t="n">
        <v>0.2485</v>
      </c>
      <c r="Q421" s="76" t="n">
        <v>0.2475</v>
      </c>
      <c r="R421" s="76" t="n">
        <v>0.2513333333333334</v>
      </c>
      <c r="S421" s="76" t="n">
        <v>0.2523333333333334</v>
      </c>
      <c r="T421" s="76" t="n">
        <v>0.2503333333333334</v>
      </c>
      <c r="U421" s="76" t="n">
        <v>0.249</v>
      </c>
      <c r="V421" s="76" t="n">
        <v>0.2483333333333333</v>
      </c>
      <c r="W421" s="76" t="n">
        <v>0.2483333333333333</v>
      </c>
      <c r="X421" s="76" t="n">
        <v>0.247</v>
      </c>
      <c r="Y421" s="76" t="n">
        <v>0.2456666666666667</v>
      </c>
      <c r="Z421" s="76" t="n">
        <v>0.2443333333333333</v>
      </c>
      <c r="AA421" s="76" t="n">
        <v>0.2436666666666667</v>
      </c>
      <c r="AB421" s="76" t="n">
        <v>0.2426666666666667</v>
      </c>
      <c r="AC421" s="76" t="n">
        <v>0.2413333333333333</v>
      </c>
      <c r="AD421" s="76" t="n">
        <v>0.24</v>
      </c>
      <c r="AE421" s="76" t="n">
        <v>0.239</v>
      </c>
      <c r="AF421" s="76" t="n">
        <v>0.238</v>
      </c>
      <c r="AG421" s="76" t="n">
        <v>0.2366666666666667</v>
      </c>
      <c r="AH421" s="76" t="n">
        <v>0.2423333333333333</v>
      </c>
      <c r="AI421" s="76" t="n">
        <v>0.2423333333333333</v>
      </c>
      <c r="AJ421" s="76" t="n">
        <v>0.2423333333333333</v>
      </c>
      <c r="AK421" s="76" t="n">
        <v>0.2426666666666667</v>
      </c>
      <c r="AL421" s="76" t="n">
        <v>0.2423333333333333</v>
      </c>
      <c r="AM421" s="76" t="n">
        <v>0.2396666666666667</v>
      </c>
      <c r="AN421" s="76" t="n">
        <v>0.2366666666666667</v>
      </c>
      <c r="AO421" s="76" t="n">
        <v>0.234</v>
      </c>
      <c r="AP421" s="76" t="n">
        <v>0.2313333333333333</v>
      </c>
      <c r="AQ421" s="76" t="n">
        <v>0.2286666666666667</v>
      </c>
      <c r="AR421" s="76" t="n">
        <v>0.2449183673469387</v>
      </c>
    </row>
    <row r="422">
      <c r="A422" s="76" t="inlineStr">
        <is>
          <t>NE</t>
        </is>
      </c>
      <c r="B422" s="76" t="inlineStr">
        <is>
          <t>Wind offshore</t>
        </is>
      </c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  <c r="AA422" s="76" t="n"/>
      <c r="AB422" s="76" t="n"/>
      <c r="AC422" s="76" t="n"/>
      <c r="AD422" s="76" t="n"/>
      <c r="AE422" s="76" t="n"/>
      <c r="AF422" s="76" t="n"/>
      <c r="AG422" s="76" t="n"/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</row>
    <row r="423">
      <c r="A423" s="76" t="inlineStr">
        <is>
          <t>NE</t>
        </is>
      </c>
      <c r="B423" s="76" t="inlineStr">
        <is>
          <t>Wind onshore</t>
        </is>
      </c>
      <c r="C423" s="76" t="n">
        <v>0.332</v>
      </c>
      <c r="D423" s="76" t="n">
        <v>0.3476666666666667</v>
      </c>
      <c r="E423" s="76" t="n">
        <v>0.3536666666666666</v>
      </c>
      <c r="F423" s="76" t="n">
        <v>0.3573333333333333</v>
      </c>
      <c r="G423" s="76" t="n">
        <v>0.3593333333333333</v>
      </c>
      <c r="H423" s="76" t="n">
        <v>0.36</v>
      </c>
      <c r="I423" s="76" t="n">
        <v>0.3606666666666667</v>
      </c>
      <c r="J423" s="76" t="n">
        <v>0.381</v>
      </c>
      <c r="K423" s="76" t="n">
        <v>0.3873333333333333</v>
      </c>
      <c r="L423" s="76" t="n">
        <v>0.397</v>
      </c>
      <c r="M423" s="76" t="n">
        <v>0.4026666666666667</v>
      </c>
      <c r="N423" s="76" t="n">
        <v>0.4023333333333334</v>
      </c>
      <c r="O423" s="76" t="n">
        <v>0.4023333333333334</v>
      </c>
      <c r="P423" s="76" t="n">
        <v>0.3696666666666666</v>
      </c>
      <c r="Q423" s="76" t="n">
        <v>0.3366666666666667</v>
      </c>
      <c r="R423" s="76" t="n">
        <v>0.351</v>
      </c>
      <c r="S423" s="76" t="n">
        <v>0.3653333333333333</v>
      </c>
      <c r="T423" s="76" t="n">
        <v>0.3626666666666667</v>
      </c>
      <c r="U423" s="76" t="n">
        <v>0.36</v>
      </c>
      <c r="V423" s="76" t="n">
        <v>0.3973333333333333</v>
      </c>
      <c r="W423" s="76" t="n">
        <v>0.4086666666666667</v>
      </c>
      <c r="X423" s="76" t="n">
        <v>0.3996666666666667</v>
      </c>
      <c r="Y423" s="76" t="n">
        <v>0.3983333333333334</v>
      </c>
      <c r="Z423" s="76" t="n">
        <v>0.4103333333333333</v>
      </c>
      <c r="AA423" s="76" t="n">
        <v>0.4173333333333333</v>
      </c>
      <c r="AB423" s="76" t="n">
        <v>0.4223333333333334</v>
      </c>
      <c r="AC423" s="76" t="n">
        <v>0.4236666666666667</v>
      </c>
      <c r="AD423" s="76" t="n">
        <v>0.4246666666666667</v>
      </c>
      <c r="AE423" s="76" t="n">
        <v>0.4253333333333333</v>
      </c>
      <c r="AF423" s="76" t="n">
        <v>0.4266666666666667</v>
      </c>
      <c r="AG423" s="76" t="n">
        <v>0.4276666666666666</v>
      </c>
      <c r="AH423" s="76" t="n">
        <v>0.428</v>
      </c>
      <c r="AI423" s="76" t="n">
        <v>0.4283333333333334</v>
      </c>
      <c r="AJ423" s="76" t="n">
        <v>0.4286666666666667</v>
      </c>
      <c r="AK423" s="76" t="n">
        <v>0.4293333333333333</v>
      </c>
      <c r="AL423" s="76" t="n">
        <v>0.4293333333333333</v>
      </c>
      <c r="AM423" s="76" t="n">
        <v>0.425</v>
      </c>
      <c r="AN423" s="76" t="n">
        <v>0.424</v>
      </c>
      <c r="AO423" s="76" t="n">
        <v>0.425</v>
      </c>
      <c r="AP423" s="76" t="n">
        <v>0.4276666666666666</v>
      </c>
      <c r="AQ423" s="76" t="n">
        <v>0.4323333333333333</v>
      </c>
      <c r="AR423" s="76" t="n">
        <v>0.3963008130081297</v>
      </c>
    </row>
    <row r="424">
      <c r="A424" s="76" t="inlineStr">
        <is>
          <t>NH</t>
        </is>
      </c>
      <c r="B424" s="76" t="inlineStr">
        <is>
          <t>NH</t>
        </is>
      </c>
      <c r="C424" s="76" t="n">
        <v>0.4451428571428572</v>
      </c>
      <c r="D424" s="76" t="n">
        <v>0.4528571428571428</v>
      </c>
      <c r="E424" s="76" t="n">
        <v>0.3938333333333333</v>
      </c>
      <c r="F424" s="76" t="n">
        <v>0.33075</v>
      </c>
      <c r="G424" s="76" t="n">
        <v>0.315875</v>
      </c>
      <c r="H424" s="76" t="n">
        <v>0.303625</v>
      </c>
      <c r="I424" s="76" t="n">
        <v>0.291625</v>
      </c>
      <c r="J424" s="76" t="n">
        <v>0.279375</v>
      </c>
      <c r="K424" s="76" t="n">
        <v>0.267</v>
      </c>
      <c r="L424" s="76" t="n">
        <v>0.26325</v>
      </c>
      <c r="M424" s="76" t="n">
        <v>0.259125</v>
      </c>
      <c r="N424" s="76" t="n">
        <v>0.263</v>
      </c>
      <c r="O424" s="76" t="n">
        <v>0.2656250000000001</v>
      </c>
      <c r="P424" s="76" t="n">
        <v>0.267875</v>
      </c>
      <c r="Q424" s="76" t="n">
        <v>0.270125</v>
      </c>
      <c r="R424" s="76" t="n">
        <v>0.26875</v>
      </c>
      <c r="S424" s="76" t="n">
        <v>0.267375</v>
      </c>
      <c r="T424" s="76" t="n">
        <v>0.26475</v>
      </c>
      <c r="U424" s="76" t="n">
        <v>0.262</v>
      </c>
      <c r="V424" s="76" t="n">
        <v>0.26175</v>
      </c>
      <c r="W424" s="76" t="n">
        <v>0.261375</v>
      </c>
      <c r="X424" s="76" t="n">
        <v>0.26125</v>
      </c>
      <c r="Y424" s="76" t="n">
        <v>0.259</v>
      </c>
      <c r="Z424" s="76" t="n">
        <v>0.2251111111111112</v>
      </c>
      <c r="AA424" s="76" t="n">
        <v>0.2266666666666667</v>
      </c>
      <c r="AB424" s="76" t="n">
        <v>0.2283333333333334</v>
      </c>
      <c r="AC424" s="76" t="n">
        <v>0.2379</v>
      </c>
      <c r="AD424" s="76" t="n">
        <v>0.2385</v>
      </c>
      <c r="AE424" s="76" t="n">
        <v>0.2394</v>
      </c>
      <c r="AF424" s="76" t="n">
        <v>0.2407</v>
      </c>
      <c r="AG424" s="76" t="n">
        <v>0.2424</v>
      </c>
      <c r="AH424" s="76" t="n">
        <v>0.2464</v>
      </c>
      <c r="AI424" s="76" t="n">
        <v>0.2505000000000001</v>
      </c>
      <c r="AJ424" s="76" t="n">
        <v>0.2544</v>
      </c>
      <c r="AK424" s="76" t="n">
        <v>0.2586</v>
      </c>
      <c r="AL424" s="76" t="n">
        <v>0.2627</v>
      </c>
      <c r="AM424" s="76" t="n">
        <v>0.2592</v>
      </c>
      <c r="AN424" s="76" t="n">
        <v>0.2557</v>
      </c>
      <c r="AO424" s="76" t="n">
        <v>0.252</v>
      </c>
      <c r="AP424" s="76" t="n">
        <v>0.2484</v>
      </c>
      <c r="AQ424" s="76" t="n">
        <v>0.2715555555555556</v>
      </c>
      <c r="AR424" s="76" t="n">
        <v>0.2695224719101124</v>
      </c>
    </row>
    <row r="425">
      <c r="A425" s="76" t="inlineStr">
        <is>
          <t>NH</t>
        </is>
      </c>
      <c r="B425" s="76" t="inlineStr">
        <is>
          <t>Battery</t>
        </is>
      </c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>
        <v>-0.057</v>
      </c>
      <c r="AA425" s="76" t="n">
        <v>-0.057</v>
      </c>
      <c r="AB425" s="76" t="n">
        <v>-0.057</v>
      </c>
      <c r="AC425" s="76" t="n">
        <v>-0.066</v>
      </c>
      <c r="AD425" s="76" t="n">
        <v>-0.068</v>
      </c>
      <c r="AE425" s="76" t="n">
        <v>-0.06900000000000001</v>
      </c>
      <c r="AF425" s="76" t="n">
        <v>-0.06900000000000001</v>
      </c>
      <c r="AG425" s="76" t="n">
        <v>-0.07000000000000001</v>
      </c>
      <c r="AH425" s="76" t="n">
        <v>-0.06900000000000001</v>
      </c>
      <c r="AI425" s="76" t="n">
        <v>-0.068</v>
      </c>
      <c r="AJ425" s="76" t="n">
        <v>-0.068</v>
      </c>
      <c r="AK425" s="76" t="n">
        <v>-0.067</v>
      </c>
      <c r="AL425" s="76" t="n">
        <v>-0.066</v>
      </c>
      <c r="AM425" s="76" t="n">
        <v>-0.063</v>
      </c>
      <c r="AN425" s="76" t="n">
        <v>-0.059</v>
      </c>
      <c r="AO425" s="76" t="n">
        <v>-0.055</v>
      </c>
      <c r="AP425" s="76" t="n">
        <v>-0.05</v>
      </c>
      <c r="AQ425" s="76" t="n">
        <v>-0.046</v>
      </c>
      <c r="AR425" s="76" t="n">
        <v>-0.06244444444444445</v>
      </c>
    </row>
    <row r="426">
      <c r="A426" s="76" t="inlineStr">
        <is>
          <t>NH</t>
        </is>
      </c>
      <c r="B426" s="76" t="inlineStr">
        <is>
          <t>Biopower</t>
        </is>
      </c>
      <c r="C426" s="76" t="n">
        <v>0.206</v>
      </c>
      <c r="D426" s="76" t="n">
        <v>0.168</v>
      </c>
      <c r="E426" s="76" t="n">
        <v>0.129</v>
      </c>
      <c r="F426" s="76" t="n">
        <v>0.24</v>
      </c>
      <c r="G426" s="76" t="n">
        <v>0.318</v>
      </c>
      <c r="H426" s="76" t="n">
        <v>0.206</v>
      </c>
      <c r="I426" s="76" t="n">
        <v>0.095</v>
      </c>
      <c r="J426" s="76" t="n">
        <v>0.102</v>
      </c>
      <c r="K426" s="76" t="n">
        <v>0.108</v>
      </c>
      <c r="L426" s="76" t="n">
        <v>0.083</v>
      </c>
      <c r="M426" s="76" t="n">
        <v>0.058</v>
      </c>
      <c r="N426" s="76" t="n">
        <v>0.058</v>
      </c>
      <c r="O426" s="76" t="n">
        <v>0.058</v>
      </c>
      <c r="P426" s="76" t="n">
        <v>0.058</v>
      </c>
      <c r="Q426" s="76" t="n">
        <v>0.058</v>
      </c>
      <c r="R426" s="76" t="n">
        <v>0.058</v>
      </c>
      <c r="S426" s="76" t="n">
        <v>0.058</v>
      </c>
      <c r="T426" s="76" t="n">
        <v>0.058</v>
      </c>
      <c r="U426" s="76" t="n">
        <v>0.058</v>
      </c>
      <c r="V426" s="76" t="n">
        <v>0.058</v>
      </c>
      <c r="W426" s="76" t="n">
        <v>0.058</v>
      </c>
      <c r="X426" s="76" t="n">
        <v>0.067</v>
      </c>
      <c r="Y426" s="76" t="n">
        <v>0.075</v>
      </c>
      <c r="Z426" s="76" t="n">
        <v>0.095</v>
      </c>
      <c r="AA426" s="76" t="n">
        <v>0.116</v>
      </c>
      <c r="AB426" s="76" t="n">
        <v>0.136</v>
      </c>
      <c r="AC426" s="76" t="n">
        <v>0.143</v>
      </c>
      <c r="AD426" s="76" t="n">
        <v>0.152</v>
      </c>
      <c r="AE426" s="76" t="n">
        <v>0.163</v>
      </c>
      <c r="AF426" s="76" t="n">
        <v>0.177</v>
      </c>
      <c r="AG426" s="76" t="n">
        <v>0.196</v>
      </c>
      <c r="AH426" s="76" t="n">
        <v>0.201</v>
      </c>
      <c r="AI426" s="76" t="n">
        <v>0.207</v>
      </c>
      <c r="AJ426" s="76" t="n">
        <v>0.213</v>
      </c>
      <c r="AK426" s="76" t="n">
        <v>0.22</v>
      </c>
      <c r="AL426" s="76" t="n">
        <v>0.227</v>
      </c>
      <c r="AM426" s="76" t="n">
        <v>0.186</v>
      </c>
      <c r="AN426" s="76" t="n">
        <v>0.144</v>
      </c>
      <c r="AO426" s="76" t="n">
        <v>0.1</v>
      </c>
      <c r="AP426" s="76" t="n">
        <v>0.056</v>
      </c>
      <c r="AQ426" s="76" t="n">
        <v>0.008999999999999999</v>
      </c>
      <c r="AR426" s="76" t="n">
        <v>0.1262439024390244</v>
      </c>
    </row>
    <row r="427">
      <c r="A427" s="76" t="inlineStr">
        <is>
          <t>NH</t>
        </is>
      </c>
      <c r="B427" s="76" t="inlineStr">
        <is>
          <t>Coal</t>
        </is>
      </c>
      <c r="C427" s="76" t="n">
        <v>0.795</v>
      </c>
      <c r="D427" s="76" t="n">
        <v>0.795</v>
      </c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  <c r="AA427" s="76" t="n"/>
      <c r="AB427" s="76" t="n"/>
      <c r="AC427" s="76" t="n"/>
      <c r="AD427" s="76" t="n"/>
      <c r="AE427" s="76" t="n"/>
      <c r="AF427" s="76" t="n"/>
      <c r="AG427" s="76" t="n"/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>
        <v>0.795</v>
      </c>
    </row>
    <row r="428">
      <c r="A428" s="76" t="inlineStr">
        <is>
          <t>NH</t>
        </is>
      </c>
      <c r="B428" s="76" t="inlineStr">
        <is>
          <t>CSP</t>
        </is>
      </c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  <c r="AA428" s="76" t="n"/>
      <c r="AB428" s="76" t="n"/>
      <c r="AC428" s="76" t="n"/>
      <c r="AD428" s="76" t="n"/>
      <c r="AE428" s="76" t="n"/>
      <c r="AF428" s="76" t="n"/>
      <c r="AG428" s="76" t="n"/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</row>
    <row r="429">
      <c r="A429" s="76" t="inlineStr">
        <is>
          <t>NH</t>
        </is>
      </c>
      <c r="B429" s="76" t="inlineStr">
        <is>
          <t>Dist PV</t>
        </is>
      </c>
      <c r="C429" s="76" t="n"/>
      <c r="D429" s="76" t="n"/>
      <c r="E429" s="76" t="n"/>
      <c r="F429" s="76" t="n">
        <v>0.157</v>
      </c>
      <c r="G429" s="76" t="n">
        <v>0.157</v>
      </c>
      <c r="H429" s="76" t="n">
        <v>0.157</v>
      </c>
      <c r="I429" s="76" t="n">
        <v>0.157</v>
      </c>
      <c r="J429" s="76" t="n">
        <v>0.157</v>
      </c>
      <c r="K429" s="76" t="n">
        <v>0.157</v>
      </c>
      <c r="L429" s="76" t="n">
        <v>0.157</v>
      </c>
      <c r="M429" s="76" t="n">
        <v>0.157</v>
      </c>
      <c r="N429" s="76" t="n">
        <v>0.157</v>
      </c>
      <c r="O429" s="76" t="n">
        <v>0.157</v>
      </c>
      <c r="P429" s="76" t="n">
        <v>0.157</v>
      </c>
      <c r="Q429" s="76" t="n">
        <v>0.157</v>
      </c>
      <c r="R429" s="76" t="n">
        <v>0.157</v>
      </c>
      <c r="S429" s="76" t="n">
        <v>0.157</v>
      </c>
      <c r="T429" s="76" t="n">
        <v>0.157</v>
      </c>
      <c r="U429" s="76" t="n">
        <v>0.157</v>
      </c>
      <c r="V429" s="76" t="n">
        <v>0.157</v>
      </c>
      <c r="W429" s="76" t="n">
        <v>0.157</v>
      </c>
      <c r="X429" s="76" t="n">
        <v>0.157</v>
      </c>
      <c r="Y429" s="76" t="n">
        <v>0.157</v>
      </c>
      <c r="Z429" s="76" t="n">
        <v>0.157</v>
      </c>
      <c r="AA429" s="76" t="n">
        <v>0.157</v>
      </c>
      <c r="AB429" s="76" t="n">
        <v>0.157</v>
      </c>
      <c r="AC429" s="76" t="n">
        <v>0.157</v>
      </c>
      <c r="AD429" s="76" t="n">
        <v>0.157</v>
      </c>
      <c r="AE429" s="76" t="n">
        <v>0.157</v>
      </c>
      <c r="AF429" s="76" t="n">
        <v>0.157</v>
      </c>
      <c r="AG429" s="76" t="n">
        <v>0.157</v>
      </c>
      <c r="AH429" s="76" t="n">
        <v>0.157</v>
      </c>
      <c r="AI429" s="76" t="n">
        <v>0.157</v>
      </c>
      <c r="AJ429" s="76" t="n">
        <v>0.157</v>
      </c>
      <c r="AK429" s="76" t="n">
        <v>0.157</v>
      </c>
      <c r="AL429" s="76" t="n">
        <v>0.157</v>
      </c>
      <c r="AM429" s="76" t="n">
        <v>0.157</v>
      </c>
      <c r="AN429" s="76" t="n">
        <v>0.157</v>
      </c>
      <c r="AO429" s="76" t="n">
        <v>0.157</v>
      </c>
      <c r="AP429" s="76" t="n">
        <v>0.157</v>
      </c>
      <c r="AQ429" s="76" t="n">
        <v>0.157</v>
      </c>
      <c r="AR429" s="76" t="n">
        <v>0.157</v>
      </c>
    </row>
    <row r="430">
      <c r="A430" s="76" t="inlineStr">
        <is>
          <t>NH</t>
        </is>
      </c>
      <c r="B430" s="76" t="inlineStr">
        <is>
          <t>Gas CCGT</t>
        </is>
      </c>
      <c r="C430" s="76" t="n">
        <v>0.59</v>
      </c>
      <c r="D430" s="76" t="n">
        <v>0.619</v>
      </c>
      <c r="E430" s="76" t="n">
        <v>0.648</v>
      </c>
      <c r="F430" s="76" t="n">
        <v>0.454</v>
      </c>
      <c r="G430" s="76" t="n">
        <v>0.261</v>
      </c>
      <c r="H430" s="76" t="n">
        <v>0.267</v>
      </c>
      <c r="I430" s="76" t="n">
        <v>0.273</v>
      </c>
      <c r="J430" s="76" t="n">
        <v>0.168</v>
      </c>
      <c r="K430" s="76" t="n">
        <v>0.063</v>
      </c>
      <c r="L430" s="76" t="n">
        <v>0.047</v>
      </c>
      <c r="M430" s="76" t="n">
        <v>0.03</v>
      </c>
      <c r="N430" s="76" t="n">
        <v>0.042</v>
      </c>
      <c r="O430" s="76" t="n">
        <v>0.053</v>
      </c>
      <c r="P430" s="76" t="n">
        <v>0.07199999999999999</v>
      </c>
      <c r="Q430" s="76" t="n">
        <v>0.091</v>
      </c>
      <c r="R430" s="76" t="n">
        <v>0.081</v>
      </c>
      <c r="S430" s="76" t="n">
        <v>0.07099999999999999</v>
      </c>
      <c r="T430" s="76" t="n">
        <v>0.049</v>
      </c>
      <c r="U430" s="76" t="n">
        <v>0.027</v>
      </c>
      <c r="V430" s="76" t="n">
        <v>0.027</v>
      </c>
      <c r="W430" s="76" t="n">
        <v>0.027</v>
      </c>
      <c r="X430" s="76" t="n">
        <v>0.016</v>
      </c>
      <c r="Y430" s="76" t="n">
        <v>0.004</v>
      </c>
      <c r="Z430" s="76" t="n">
        <v>0.005</v>
      </c>
      <c r="AA430" s="76" t="n">
        <v>0.005</v>
      </c>
      <c r="AB430" s="76" t="n">
        <v>0.005</v>
      </c>
      <c r="AC430" s="76" t="n">
        <v>0.004</v>
      </c>
      <c r="AD430" s="76" t="n">
        <v>0.003</v>
      </c>
      <c r="AE430" s="76" t="n">
        <v>0.002</v>
      </c>
      <c r="AF430" s="76" t="n">
        <v>0.001</v>
      </c>
      <c r="AG430" s="76" t="n">
        <v>0</v>
      </c>
      <c r="AH430" s="76" t="n">
        <v>0</v>
      </c>
      <c r="AI430" s="76" t="n">
        <v>0</v>
      </c>
      <c r="AJ430" s="76" t="n">
        <v>0</v>
      </c>
      <c r="AK430" s="76" t="n">
        <v>0</v>
      </c>
      <c r="AL430" s="76" t="n">
        <v>0</v>
      </c>
      <c r="AM430" s="76" t="n">
        <v>0</v>
      </c>
      <c r="AN430" s="76" t="n">
        <v>0</v>
      </c>
      <c r="AO430" s="76" t="n">
        <v>0</v>
      </c>
      <c r="AP430" s="76" t="n">
        <v>0</v>
      </c>
      <c r="AQ430" s="76" t="n">
        <v>0</v>
      </c>
      <c r="AR430" s="76" t="n">
        <v>0.09768292682926831</v>
      </c>
    </row>
    <row r="431">
      <c r="A431" s="76" t="inlineStr">
        <is>
          <t>NH</t>
        </is>
      </c>
      <c r="B431" s="76" t="inlineStr">
        <is>
          <t>Gas CT</t>
        </is>
      </c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  <c r="AA431" s="76" t="n"/>
      <c r="AB431" s="76" t="n"/>
      <c r="AC431" s="76" t="n"/>
      <c r="AD431" s="76" t="n"/>
      <c r="AE431" s="76" t="n"/>
      <c r="AF431" s="76" t="n"/>
      <c r="AG431" s="76" t="n"/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</row>
    <row r="432">
      <c r="A432" s="76" t="inlineStr">
        <is>
          <t>NH</t>
        </is>
      </c>
      <c r="B432" s="76" t="inlineStr">
        <is>
          <t>Geothermal</t>
        </is>
      </c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  <c r="AA432" s="76" t="n"/>
      <c r="AB432" s="76" t="n"/>
      <c r="AC432" s="76" t="n"/>
      <c r="AD432" s="76" t="n"/>
      <c r="AE432" s="76" t="n"/>
      <c r="AF432" s="76" t="n"/>
      <c r="AG432" s="76" t="n"/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</row>
    <row r="433">
      <c r="A433" s="76" t="inlineStr">
        <is>
          <t>NH</t>
        </is>
      </c>
      <c r="B433" s="76" t="inlineStr">
        <is>
          <t>Hydro</t>
        </is>
      </c>
      <c r="C433" s="76" t="n">
        <v>0.322</v>
      </c>
      <c r="D433" s="76" t="n">
        <v>0.309</v>
      </c>
      <c r="E433" s="76" t="n">
        <v>0.296</v>
      </c>
      <c r="F433" s="76" t="n">
        <v>0.292</v>
      </c>
      <c r="G433" s="76" t="n">
        <v>0.288</v>
      </c>
      <c r="H433" s="76" t="n">
        <v>0.297</v>
      </c>
      <c r="I433" s="76" t="n">
        <v>0.307</v>
      </c>
      <c r="J433" s="76" t="n">
        <v>0.307</v>
      </c>
      <c r="K433" s="76" t="n">
        <v>0.307</v>
      </c>
      <c r="L433" s="76" t="n">
        <v>0.307</v>
      </c>
      <c r="M433" s="76" t="n">
        <v>0.308</v>
      </c>
      <c r="N433" s="76" t="n">
        <v>0.308</v>
      </c>
      <c r="O433" s="76" t="n">
        <v>0.308</v>
      </c>
      <c r="P433" s="76" t="n">
        <v>0.308</v>
      </c>
      <c r="Q433" s="76" t="n">
        <v>0.308</v>
      </c>
      <c r="R433" s="76" t="n">
        <v>0.308</v>
      </c>
      <c r="S433" s="76" t="n">
        <v>0.308</v>
      </c>
      <c r="T433" s="76" t="n">
        <v>0.308</v>
      </c>
      <c r="U433" s="76" t="n">
        <v>0.308</v>
      </c>
      <c r="V433" s="76" t="n">
        <v>0.308</v>
      </c>
      <c r="W433" s="76" t="n">
        <v>0.308</v>
      </c>
      <c r="X433" s="76" t="n">
        <v>0.308</v>
      </c>
      <c r="Y433" s="76" t="n">
        <v>0.308</v>
      </c>
      <c r="Z433" s="76" t="n">
        <v>0.308</v>
      </c>
      <c r="AA433" s="76" t="n">
        <v>0.308</v>
      </c>
      <c r="AB433" s="76" t="n">
        <v>0.308</v>
      </c>
      <c r="AC433" s="76" t="n">
        <v>0.308</v>
      </c>
      <c r="AD433" s="76" t="n">
        <v>0.308</v>
      </c>
      <c r="AE433" s="76" t="n">
        <v>0.308</v>
      </c>
      <c r="AF433" s="76" t="n">
        <v>0.308</v>
      </c>
      <c r="AG433" s="76" t="n">
        <v>0.308</v>
      </c>
      <c r="AH433" s="76" t="n">
        <v>0.308</v>
      </c>
      <c r="AI433" s="76" t="n">
        <v>0.308</v>
      </c>
      <c r="AJ433" s="76" t="n">
        <v>0.308</v>
      </c>
      <c r="AK433" s="76" t="n">
        <v>0.308</v>
      </c>
      <c r="AL433" s="76" t="n">
        <v>0.308</v>
      </c>
      <c r="AM433" s="76" t="n">
        <v>0.308</v>
      </c>
      <c r="AN433" s="76" t="n">
        <v>0.308</v>
      </c>
      <c r="AO433" s="76" t="n">
        <v>0.308</v>
      </c>
      <c r="AP433" s="76" t="n">
        <v>0.308</v>
      </c>
      <c r="AQ433" s="76" t="n">
        <v>0.308</v>
      </c>
      <c r="AR433" s="76" t="n">
        <v>0.3068292682926828</v>
      </c>
    </row>
    <row r="434">
      <c r="A434" s="76" t="inlineStr">
        <is>
          <t>NH</t>
        </is>
      </c>
      <c r="B434" s="76" t="inlineStr">
        <is>
          <t>Nuclear</t>
        </is>
      </c>
      <c r="C434" s="76" t="n">
        <v>0.902</v>
      </c>
      <c r="D434" s="76" t="n">
        <v>0.902</v>
      </c>
      <c r="E434" s="76" t="n">
        <v>0.902</v>
      </c>
      <c r="F434" s="76" t="n">
        <v>0.902</v>
      </c>
      <c r="G434" s="76" t="n">
        <v>0.902</v>
      </c>
      <c r="H434" s="76" t="n">
        <v>0.902</v>
      </c>
      <c r="I434" s="76" t="n">
        <v>0.902</v>
      </c>
      <c r="J434" s="76" t="n">
        <v>0.902</v>
      </c>
      <c r="K434" s="76" t="n">
        <v>0.902</v>
      </c>
      <c r="L434" s="76" t="n">
        <v>0.902</v>
      </c>
      <c r="M434" s="76" t="n">
        <v>0.902</v>
      </c>
      <c r="N434" s="76" t="n">
        <v>0.902</v>
      </c>
      <c r="O434" s="76" t="n">
        <v>0.902</v>
      </c>
      <c r="P434" s="76" t="n">
        <v>0.902</v>
      </c>
      <c r="Q434" s="76" t="n">
        <v>0.902</v>
      </c>
      <c r="R434" s="76" t="n">
        <v>0.902</v>
      </c>
      <c r="S434" s="76" t="n">
        <v>0.902</v>
      </c>
      <c r="T434" s="76" t="n">
        <v>0.902</v>
      </c>
      <c r="U434" s="76" t="n">
        <v>0.902</v>
      </c>
      <c r="V434" s="76" t="n">
        <v>0.902</v>
      </c>
      <c r="W434" s="76" t="n">
        <v>0.902</v>
      </c>
      <c r="X434" s="76" t="n">
        <v>0.902</v>
      </c>
      <c r="Y434" s="76" t="n">
        <v>0.902</v>
      </c>
      <c r="Z434" s="76" t="n">
        <v>0.902</v>
      </c>
      <c r="AA434" s="76" t="n">
        <v>0.902</v>
      </c>
      <c r="AB434" s="76" t="n">
        <v>0.902</v>
      </c>
      <c r="AC434" s="76" t="n">
        <v>0.902</v>
      </c>
      <c r="AD434" s="76" t="n">
        <v>0.902</v>
      </c>
      <c r="AE434" s="76" t="n">
        <v>0.902</v>
      </c>
      <c r="AF434" s="76" t="n">
        <v>0.902</v>
      </c>
      <c r="AG434" s="76" t="n">
        <v>0.902</v>
      </c>
      <c r="AH434" s="76" t="n">
        <v>0.902</v>
      </c>
      <c r="AI434" s="76" t="n">
        <v>0.902</v>
      </c>
      <c r="AJ434" s="76" t="n">
        <v>0.902</v>
      </c>
      <c r="AK434" s="76" t="n">
        <v>0.902</v>
      </c>
      <c r="AL434" s="76" t="n">
        <v>0.902</v>
      </c>
      <c r="AM434" s="76" t="n">
        <v>0.902</v>
      </c>
      <c r="AN434" s="76" t="n">
        <v>0.902</v>
      </c>
      <c r="AO434" s="76" t="n">
        <v>0.902</v>
      </c>
      <c r="AP434" s="76" t="n">
        <v>0.902</v>
      </c>
      <c r="AQ434" s="76" t="n">
        <v>0.902</v>
      </c>
      <c r="AR434" s="76" t="n">
        <v>0.9020000000000004</v>
      </c>
    </row>
    <row r="435">
      <c r="A435" s="76" t="inlineStr">
        <is>
          <t>NH</t>
        </is>
      </c>
      <c r="B435" s="76" t="inlineStr">
        <is>
          <t>Other</t>
        </is>
      </c>
      <c r="C435" s="76" t="n">
        <v>0</v>
      </c>
      <c r="D435" s="76" t="n">
        <v>0</v>
      </c>
      <c r="E435" s="76" t="n">
        <v>0</v>
      </c>
      <c r="F435" s="76" t="n">
        <v>0</v>
      </c>
      <c r="G435" s="76" t="n">
        <v>0</v>
      </c>
      <c r="H435" s="76" t="n">
        <v>0</v>
      </c>
      <c r="I435" s="76" t="n">
        <v>0</v>
      </c>
      <c r="J435" s="76" t="n">
        <v>0</v>
      </c>
      <c r="K435" s="76" t="n">
        <v>0</v>
      </c>
      <c r="L435" s="76" t="n">
        <v>0</v>
      </c>
      <c r="M435" s="76" t="n">
        <v>0</v>
      </c>
      <c r="N435" s="76" t="n">
        <v>0</v>
      </c>
      <c r="O435" s="76" t="n">
        <v>0</v>
      </c>
      <c r="P435" s="76" t="n">
        <v>0</v>
      </c>
      <c r="Q435" s="76" t="n">
        <v>0</v>
      </c>
      <c r="R435" s="76" t="n">
        <v>0</v>
      </c>
      <c r="S435" s="76" t="n">
        <v>0</v>
      </c>
      <c r="T435" s="76" t="n">
        <v>0</v>
      </c>
      <c r="U435" s="76" t="n">
        <v>0</v>
      </c>
      <c r="V435" s="76" t="n">
        <v>0</v>
      </c>
      <c r="W435" s="76" t="n">
        <v>0</v>
      </c>
      <c r="X435" s="76" t="n">
        <v>0</v>
      </c>
      <c r="Y435" s="76" t="n">
        <v>0</v>
      </c>
      <c r="Z435" s="76" t="n">
        <v>0</v>
      </c>
      <c r="AA435" s="76" t="n">
        <v>0</v>
      </c>
      <c r="AB435" s="76" t="n">
        <v>0</v>
      </c>
      <c r="AC435" s="76" t="n">
        <v>0</v>
      </c>
      <c r="AD435" s="76" t="n">
        <v>0</v>
      </c>
      <c r="AE435" s="76" t="n">
        <v>0</v>
      </c>
      <c r="AF435" s="76" t="n">
        <v>0</v>
      </c>
      <c r="AG435" s="76" t="n">
        <v>0</v>
      </c>
      <c r="AH435" s="76" t="n">
        <v>0</v>
      </c>
      <c r="AI435" s="76" t="n">
        <v>0</v>
      </c>
      <c r="AJ435" s="76" t="n">
        <v>0</v>
      </c>
      <c r="AK435" s="76" t="n">
        <v>0</v>
      </c>
      <c r="AL435" s="76" t="n">
        <v>0</v>
      </c>
      <c r="AM435" s="76" t="n">
        <v>0</v>
      </c>
      <c r="AN435" s="76" t="n">
        <v>0</v>
      </c>
      <c r="AO435" s="76" t="n">
        <v>0</v>
      </c>
      <c r="AP435" s="76" t="n">
        <v>0</v>
      </c>
      <c r="AQ435" s="76" t="n"/>
      <c r="AR435" s="76" t="n">
        <v>0</v>
      </c>
    </row>
    <row r="436">
      <c r="A436" s="76" t="inlineStr">
        <is>
          <t>NH</t>
        </is>
      </c>
      <c r="B436" s="76" t="inlineStr">
        <is>
          <t>Utility PV</t>
        </is>
      </c>
      <c r="C436" s="76" t="n"/>
      <c r="D436" s="76" t="n"/>
      <c r="E436" s="76" t="n"/>
      <c r="F436" s="76" t="n">
        <v>0.213</v>
      </c>
      <c r="G436" s="76" t="n">
        <v>0.213</v>
      </c>
      <c r="H436" s="76" t="n">
        <v>0.212</v>
      </c>
      <c r="I436" s="76" t="n">
        <v>0.211</v>
      </c>
      <c r="J436" s="76" t="n">
        <v>0.211</v>
      </c>
      <c r="K436" s="76" t="n">
        <v>0.211</v>
      </c>
      <c r="L436" s="76" t="n">
        <v>0.21</v>
      </c>
      <c r="M436" s="76" t="n">
        <v>0.209</v>
      </c>
      <c r="N436" s="76" t="n">
        <v>0.208</v>
      </c>
      <c r="O436" s="76" t="n">
        <v>0.207</v>
      </c>
      <c r="P436" s="76" t="n">
        <v>0.206</v>
      </c>
      <c r="Q436" s="76" t="n">
        <v>0.205</v>
      </c>
      <c r="R436" s="76" t="n">
        <v>0.204</v>
      </c>
      <c r="S436" s="76" t="n">
        <v>0.203</v>
      </c>
      <c r="T436" s="76" t="n">
        <v>0.202</v>
      </c>
      <c r="U436" s="76" t="n">
        <v>0.201</v>
      </c>
      <c r="V436" s="76" t="n">
        <v>0.2</v>
      </c>
      <c r="W436" s="76" t="n">
        <v>0.199</v>
      </c>
      <c r="X436" s="76" t="n">
        <v>0.213</v>
      </c>
      <c r="Y436" s="76" t="n">
        <v>0.213</v>
      </c>
      <c r="Z436" s="76" t="n">
        <v>0.212</v>
      </c>
      <c r="AA436" s="76" t="n">
        <v>0.211</v>
      </c>
      <c r="AB436" s="76" t="n">
        <v>0.21</v>
      </c>
      <c r="AC436" s="76" t="n">
        <v>0.209</v>
      </c>
      <c r="AD436" s="76" t="n">
        <v>0.209</v>
      </c>
      <c r="AE436" s="76" t="n">
        <v>0.209</v>
      </c>
      <c r="AF436" s="76" t="n">
        <v>0.209</v>
      </c>
      <c r="AG436" s="76" t="n">
        <v>0.209</v>
      </c>
      <c r="AH436" s="76" t="n">
        <v>0.208</v>
      </c>
      <c r="AI436" s="76" t="n">
        <v>0.207</v>
      </c>
      <c r="AJ436" s="76" t="n">
        <v>0.206</v>
      </c>
      <c r="AK436" s="76" t="n">
        <v>0.205</v>
      </c>
      <c r="AL436" s="76" t="n">
        <v>0.204</v>
      </c>
      <c r="AM436" s="76" t="n">
        <v>0.203</v>
      </c>
      <c r="AN436" s="76" t="n">
        <v>0.202</v>
      </c>
      <c r="AO436" s="76" t="n">
        <v>0.201</v>
      </c>
      <c r="AP436" s="76" t="n">
        <v>0.2</v>
      </c>
      <c r="AQ436" s="76" t="n">
        <v>0.199</v>
      </c>
      <c r="AR436" s="76" t="n">
        <v>0.2069473684210526</v>
      </c>
    </row>
    <row r="437">
      <c r="A437" s="76" t="inlineStr">
        <is>
          <t>NH</t>
        </is>
      </c>
      <c r="B437" s="76" t="inlineStr">
        <is>
          <t>Wind offshore</t>
        </is>
      </c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76" t="n"/>
      <c r="AC437" s="76" t="n">
        <v>0.327</v>
      </c>
      <c r="AD437" s="76" t="n">
        <v>0.327</v>
      </c>
      <c r="AE437" s="76" t="n">
        <v>0.327</v>
      </c>
      <c r="AF437" s="76" t="n">
        <v>0.327</v>
      </c>
      <c r="AG437" s="76" t="n">
        <v>0.327</v>
      </c>
      <c r="AH437" s="76" t="n">
        <v>0.352</v>
      </c>
      <c r="AI437" s="76" t="n">
        <v>0.378</v>
      </c>
      <c r="AJ437" s="76" t="n">
        <v>0.403</v>
      </c>
      <c r="AK437" s="76" t="n">
        <v>0.429</v>
      </c>
      <c r="AL437" s="76" t="n">
        <v>0.454</v>
      </c>
      <c r="AM437" s="76" t="n">
        <v>0.454</v>
      </c>
      <c r="AN437" s="76" t="n">
        <v>0.454</v>
      </c>
      <c r="AO437" s="76" t="n">
        <v>0.454</v>
      </c>
      <c r="AP437" s="76" t="n">
        <v>0.454</v>
      </c>
      <c r="AQ437" s="76" t="n">
        <v>0.454</v>
      </c>
      <c r="AR437" s="76" t="n">
        <v>0.3947333333333333</v>
      </c>
    </row>
    <row r="438">
      <c r="A438" s="76" t="inlineStr">
        <is>
          <t>NH</t>
        </is>
      </c>
      <c r="B438" s="76" t="inlineStr">
        <is>
          <t>Wind onshore</t>
        </is>
      </c>
      <c r="C438" s="76" t="n">
        <v>0.301</v>
      </c>
      <c r="D438" s="76" t="n">
        <v>0.377</v>
      </c>
      <c r="E438" s="76" t="n">
        <v>0.388</v>
      </c>
      <c r="F438" s="76" t="n">
        <v>0.388</v>
      </c>
      <c r="G438" s="76" t="n">
        <v>0.388</v>
      </c>
      <c r="H438" s="76" t="n">
        <v>0.388</v>
      </c>
      <c r="I438" s="76" t="n">
        <v>0.388</v>
      </c>
      <c r="J438" s="76" t="n">
        <v>0.388</v>
      </c>
      <c r="K438" s="76" t="n">
        <v>0.388</v>
      </c>
      <c r="L438" s="76" t="n">
        <v>0.4</v>
      </c>
      <c r="M438" s="76" t="n">
        <v>0.409</v>
      </c>
      <c r="N438" s="76" t="n">
        <v>0.429</v>
      </c>
      <c r="O438" s="76" t="n">
        <v>0.44</v>
      </c>
      <c r="P438" s="76" t="n">
        <v>0.44</v>
      </c>
      <c r="Q438" s="76" t="n">
        <v>0.44</v>
      </c>
      <c r="R438" s="76" t="n">
        <v>0.44</v>
      </c>
      <c r="S438" s="76" t="n">
        <v>0.44</v>
      </c>
      <c r="T438" s="76" t="n">
        <v>0.442</v>
      </c>
      <c r="U438" s="76" t="n">
        <v>0.443</v>
      </c>
      <c r="V438" s="76" t="n">
        <v>0.442</v>
      </c>
      <c r="W438" s="76" t="n">
        <v>0.44</v>
      </c>
      <c r="X438" s="76" t="n">
        <v>0.427</v>
      </c>
      <c r="Y438" s="76" t="n">
        <v>0.413</v>
      </c>
      <c r="Z438" s="76" t="n">
        <v>0.404</v>
      </c>
      <c r="AA438" s="76" t="n">
        <v>0.398</v>
      </c>
      <c r="AB438" s="76" t="n">
        <v>0.394</v>
      </c>
      <c r="AC438" s="76" t="n">
        <v>0.395</v>
      </c>
      <c r="AD438" s="76" t="n">
        <v>0.395</v>
      </c>
      <c r="AE438" s="76" t="n">
        <v>0.395</v>
      </c>
      <c r="AF438" s="76" t="n">
        <v>0.395</v>
      </c>
      <c r="AG438" s="76" t="n">
        <v>0.395</v>
      </c>
      <c r="AH438" s="76" t="n">
        <v>0.405</v>
      </c>
      <c r="AI438" s="76" t="n">
        <v>0.414</v>
      </c>
      <c r="AJ438" s="76" t="n">
        <v>0.423</v>
      </c>
      <c r="AK438" s="76" t="n">
        <v>0.432</v>
      </c>
      <c r="AL438" s="76" t="n">
        <v>0.441</v>
      </c>
      <c r="AM438" s="76" t="n">
        <v>0.445</v>
      </c>
      <c r="AN438" s="76" t="n">
        <v>0.449</v>
      </c>
      <c r="AO438" s="76" t="n">
        <v>0.453</v>
      </c>
      <c r="AP438" s="76" t="n">
        <v>0.457</v>
      </c>
      <c r="AQ438" s="76" t="n">
        <v>0.461</v>
      </c>
      <c r="AR438" s="76" t="n">
        <v>0.414390243902439</v>
      </c>
    </row>
    <row r="439">
      <c r="A439" s="76" t="inlineStr">
        <is>
          <t>NJ</t>
        </is>
      </c>
      <c r="B439" s="76" t="inlineStr">
        <is>
          <t>NJ</t>
        </is>
      </c>
      <c r="C439" s="76" t="n">
        <v>0.3301</v>
      </c>
      <c r="D439" s="76" t="n">
        <v>0.331</v>
      </c>
      <c r="E439" s="76" t="n">
        <v>0.3322</v>
      </c>
      <c r="F439" s="76" t="n">
        <v>0.2974</v>
      </c>
      <c r="G439" s="76" t="n">
        <v>0.2573</v>
      </c>
      <c r="H439" s="76" t="n">
        <v>0.2514545454545454</v>
      </c>
      <c r="I439" s="76" t="n">
        <v>0.2659090909090909</v>
      </c>
      <c r="J439" s="76" t="n">
        <v>0.2552727272727273</v>
      </c>
      <c r="K439" s="76" t="n">
        <v>0.2450909090909091</v>
      </c>
      <c r="L439" s="76" t="n">
        <v>0.2510909090909091</v>
      </c>
      <c r="M439" s="76" t="n">
        <v>0.284</v>
      </c>
      <c r="N439" s="76" t="n">
        <v>0.2803</v>
      </c>
      <c r="O439" s="76" t="n">
        <v>0.2768</v>
      </c>
      <c r="P439" s="76" t="n">
        <v>0.2908181818181819</v>
      </c>
      <c r="Q439" s="76" t="n">
        <v>0.29</v>
      </c>
      <c r="R439" s="76" t="n">
        <v>0.2921818181818182</v>
      </c>
      <c r="S439" s="76" t="n">
        <v>0.2917272727272727</v>
      </c>
      <c r="T439" s="76" t="n">
        <v>0.2903636363636364</v>
      </c>
      <c r="U439" s="76" t="n">
        <v>0.2889090909090909</v>
      </c>
      <c r="V439" s="76" t="n">
        <v>0.2894545454545454</v>
      </c>
      <c r="W439" s="76" t="n">
        <v>0.288</v>
      </c>
      <c r="X439" s="76" t="n">
        <v>0.2787272727272727</v>
      </c>
      <c r="Y439" s="76" t="n">
        <v>0.272</v>
      </c>
      <c r="Z439" s="76" t="n">
        <v>0.2653636363636364</v>
      </c>
      <c r="AA439" s="76" t="n">
        <v>0.2583636363636364</v>
      </c>
      <c r="AB439" s="76" t="n">
        <v>0.2512727272727273</v>
      </c>
      <c r="AC439" s="76" t="n">
        <v>0.251</v>
      </c>
      <c r="AD439" s="76" t="n">
        <v>0.2506363636363637</v>
      </c>
      <c r="AE439" s="76" t="n">
        <v>0.2502727272727273</v>
      </c>
      <c r="AF439" s="76" t="n">
        <v>0.2500909090909091</v>
      </c>
      <c r="AG439" s="76" t="n">
        <v>0.2497272727272727</v>
      </c>
      <c r="AH439" s="76" t="n">
        <v>0.2496363636363637</v>
      </c>
      <c r="AI439" s="76" t="n">
        <v>0.2495454545454545</v>
      </c>
      <c r="AJ439" s="76" t="n">
        <v>0.2495454545454545</v>
      </c>
      <c r="AK439" s="76" t="n">
        <v>0.2495454545454545</v>
      </c>
      <c r="AL439" s="76" t="n">
        <v>0.2493636363636364</v>
      </c>
      <c r="AM439" s="76" t="n">
        <v>0.2502727272727273</v>
      </c>
      <c r="AN439" s="76" t="n">
        <v>0.2510909090909091</v>
      </c>
      <c r="AO439" s="76" t="n">
        <v>0.2516363636363636</v>
      </c>
      <c r="AP439" s="76" t="n">
        <v>0.2518181818181819</v>
      </c>
      <c r="AQ439" s="76" t="n">
        <v>0.2335454545454545</v>
      </c>
      <c r="AR439" s="76" t="n">
        <v>0.2688081264108352</v>
      </c>
    </row>
    <row r="440">
      <c r="A440" s="76" t="inlineStr">
        <is>
          <t>NJ</t>
        </is>
      </c>
      <c r="B440" s="76" t="inlineStr">
        <is>
          <t>Battery</t>
        </is>
      </c>
      <c r="C440" s="76" t="n"/>
      <c r="D440" s="76" t="n"/>
      <c r="E440" s="76" t="n"/>
      <c r="F440" s="76" t="n"/>
      <c r="G440" s="76" t="n"/>
      <c r="H440" s="76" t="n">
        <v>0</v>
      </c>
      <c r="I440" s="76" t="n">
        <v>0</v>
      </c>
      <c r="J440" s="76" t="n">
        <v>0</v>
      </c>
      <c r="K440" s="76" t="n">
        <v>0</v>
      </c>
      <c r="L440" s="76" t="n">
        <v>-0.013</v>
      </c>
      <c r="M440" s="76" t="n">
        <v>-0.014</v>
      </c>
      <c r="N440" s="76" t="n">
        <v>-0.018</v>
      </c>
      <c r="O440" s="76" t="n">
        <v>-0.022</v>
      </c>
      <c r="P440" s="76" t="n">
        <v>-0.022</v>
      </c>
      <c r="Q440" s="76" t="n">
        <v>-0.023</v>
      </c>
      <c r="R440" s="76" t="n">
        <v>-0.015</v>
      </c>
      <c r="S440" s="76" t="n">
        <v>-0.008999999999999999</v>
      </c>
      <c r="T440" s="76" t="n">
        <v>-0.007</v>
      </c>
      <c r="U440" s="76" t="n">
        <v>-0.005</v>
      </c>
      <c r="V440" s="76" t="n">
        <v>-0.004</v>
      </c>
      <c r="W440" s="76" t="n">
        <v>-0.003</v>
      </c>
      <c r="X440" s="76" t="n">
        <v>-0.006</v>
      </c>
      <c r="Y440" s="76" t="n">
        <v>-0.008999999999999999</v>
      </c>
      <c r="Z440" s="76" t="n">
        <v>-0.02</v>
      </c>
      <c r="AA440" s="76" t="n">
        <v>-0.03</v>
      </c>
      <c r="AB440" s="76" t="n">
        <v>-0.041</v>
      </c>
      <c r="AC440" s="76" t="n">
        <v>-0.043</v>
      </c>
      <c r="AD440" s="76" t="n">
        <v>-0.045</v>
      </c>
      <c r="AE440" s="76" t="n">
        <v>-0.047</v>
      </c>
      <c r="AF440" s="76" t="n">
        <v>-0.049</v>
      </c>
      <c r="AG440" s="76" t="n">
        <v>-0.051</v>
      </c>
      <c r="AH440" s="76" t="n">
        <v>-0.051</v>
      </c>
      <c r="AI440" s="76" t="n">
        <v>-0.051</v>
      </c>
      <c r="AJ440" s="76" t="n">
        <v>-0.051</v>
      </c>
      <c r="AK440" s="76" t="n">
        <v>-0.051</v>
      </c>
      <c r="AL440" s="76" t="n">
        <v>-0.051</v>
      </c>
      <c r="AM440" s="76" t="n">
        <v>-0.047</v>
      </c>
      <c r="AN440" s="76" t="n">
        <v>-0.042</v>
      </c>
      <c r="AO440" s="76" t="n">
        <v>-0.038</v>
      </c>
      <c r="AP440" s="76" t="n">
        <v>-0.034</v>
      </c>
      <c r="AQ440" s="76" t="n">
        <v>-0.03</v>
      </c>
      <c r="AR440" s="76" t="n">
        <v>-0.02616666666666667</v>
      </c>
    </row>
    <row r="441">
      <c r="A441" s="76" t="inlineStr">
        <is>
          <t>NJ</t>
        </is>
      </c>
      <c r="B441" s="76" t="inlineStr">
        <is>
          <t>Biopower</t>
        </is>
      </c>
      <c r="C441" s="76" t="n">
        <v>0.522</v>
      </c>
      <c r="D441" s="76" t="n">
        <v>0.522</v>
      </c>
      <c r="E441" s="76" t="n">
        <v>0.522</v>
      </c>
      <c r="F441" s="76" t="n">
        <v>0.522</v>
      </c>
      <c r="G441" s="76" t="n">
        <v>0.522</v>
      </c>
      <c r="H441" s="76" t="n">
        <v>0.522</v>
      </c>
      <c r="I441" s="76" t="n">
        <v>0.522</v>
      </c>
      <c r="J441" s="76" t="n">
        <v>0.522</v>
      </c>
      <c r="K441" s="76" t="n">
        <v>0.522</v>
      </c>
      <c r="L441" s="76" t="n">
        <v>0.522</v>
      </c>
      <c r="M441" s="76" t="n">
        <v>0.522</v>
      </c>
      <c r="N441" s="76" t="n">
        <v>0.522</v>
      </c>
      <c r="O441" s="76" t="n">
        <v>0.522</v>
      </c>
      <c r="P441" s="76" t="n">
        <v>0.522</v>
      </c>
      <c r="Q441" s="76" t="n">
        <v>0.522</v>
      </c>
      <c r="R441" s="76" t="n">
        <v>0.522</v>
      </c>
      <c r="S441" s="76" t="n">
        <v>0.522</v>
      </c>
      <c r="T441" s="76" t="n">
        <v>0.522</v>
      </c>
      <c r="U441" s="76" t="n">
        <v>0.522</v>
      </c>
      <c r="V441" s="76" t="n">
        <v>0.522</v>
      </c>
      <c r="W441" s="76" t="n">
        <v>0.522</v>
      </c>
      <c r="X441" s="76" t="n">
        <v>0.522</v>
      </c>
      <c r="Y441" s="76" t="n">
        <v>0.522</v>
      </c>
      <c r="Z441" s="76" t="n">
        <v>0.522</v>
      </c>
      <c r="AA441" s="76" t="n">
        <v>0.522</v>
      </c>
      <c r="AB441" s="76" t="n">
        <v>0.522</v>
      </c>
      <c r="AC441" s="76" t="n">
        <v>0.522</v>
      </c>
      <c r="AD441" s="76" t="n">
        <v>0.522</v>
      </c>
      <c r="AE441" s="76" t="n">
        <v>0.522</v>
      </c>
      <c r="AF441" s="76" t="n">
        <v>0.522</v>
      </c>
      <c r="AG441" s="76" t="n">
        <v>0.522</v>
      </c>
      <c r="AH441" s="76" t="n">
        <v>0.522</v>
      </c>
      <c r="AI441" s="76" t="n">
        <v>0.522</v>
      </c>
      <c r="AJ441" s="76" t="n">
        <v>0.522</v>
      </c>
      <c r="AK441" s="76" t="n">
        <v>0.522</v>
      </c>
      <c r="AL441" s="76" t="n">
        <v>0.522</v>
      </c>
      <c r="AM441" s="76" t="n">
        <v>0.51</v>
      </c>
      <c r="AN441" s="76" t="n">
        <v>0.497</v>
      </c>
      <c r="AO441" s="76" t="n">
        <v>0.484</v>
      </c>
      <c r="AP441" s="76" t="n">
        <v>0.47</v>
      </c>
      <c r="AQ441" s="76" t="n">
        <v>0.456</v>
      </c>
      <c r="AR441" s="76" t="n">
        <v>0.5172926829268293</v>
      </c>
    </row>
    <row r="442">
      <c r="A442" s="76" t="inlineStr">
        <is>
          <t>NJ</t>
        </is>
      </c>
      <c r="B442" s="76" t="inlineStr">
        <is>
          <t>Coal</t>
        </is>
      </c>
      <c r="C442" s="76" t="n">
        <v>0.712</v>
      </c>
      <c r="D442" s="76" t="n">
        <v>0.575</v>
      </c>
      <c r="E442" s="76" t="n">
        <v>0.439</v>
      </c>
      <c r="F442" s="76" t="n">
        <v>0.265</v>
      </c>
      <c r="G442" s="76" t="n">
        <v>0.021</v>
      </c>
      <c r="H442" s="76" t="n">
        <v>0.01</v>
      </c>
      <c r="I442" s="76" t="n">
        <v>0</v>
      </c>
      <c r="J442" s="76" t="n">
        <v>0</v>
      </c>
      <c r="K442" s="76" t="n">
        <v>0</v>
      </c>
      <c r="L442" s="76" t="n">
        <v>0</v>
      </c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76" t="n"/>
      <c r="AC442" s="76" t="n"/>
      <c r="AD442" s="76" t="n"/>
      <c r="AE442" s="76" t="n"/>
      <c r="AF442" s="76" t="n"/>
      <c r="AG442" s="76" t="n"/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>
        <v>0.2022</v>
      </c>
    </row>
    <row r="443">
      <c r="A443" s="76" t="inlineStr">
        <is>
          <t>NJ</t>
        </is>
      </c>
      <c r="B443" s="76" t="inlineStr">
        <is>
          <t>CSP</t>
        </is>
      </c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6" t="n"/>
      <c r="AC443" s="76" t="n"/>
      <c r="AD443" s="76" t="n"/>
      <c r="AE443" s="76" t="n"/>
      <c r="AF443" s="76" t="n"/>
      <c r="AG443" s="76" t="n"/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</row>
    <row r="444">
      <c r="A444" s="76" t="inlineStr">
        <is>
          <t>NJ</t>
        </is>
      </c>
      <c r="B444" s="76" t="inlineStr">
        <is>
          <t>Dist PV</t>
        </is>
      </c>
      <c r="C444" s="76" t="n">
        <v>0.162</v>
      </c>
      <c r="D444" s="76" t="n">
        <v>0.162</v>
      </c>
      <c r="E444" s="76" t="n">
        <v>0.162</v>
      </c>
      <c r="F444" s="76" t="n">
        <v>0.162</v>
      </c>
      <c r="G444" s="76" t="n">
        <v>0.162</v>
      </c>
      <c r="H444" s="76" t="n">
        <v>0.162</v>
      </c>
      <c r="I444" s="76" t="n">
        <v>0.162</v>
      </c>
      <c r="J444" s="76" t="n">
        <v>0.162</v>
      </c>
      <c r="K444" s="76" t="n">
        <v>0.162</v>
      </c>
      <c r="L444" s="76" t="n">
        <v>0.162</v>
      </c>
      <c r="M444" s="76" t="n">
        <v>0.162</v>
      </c>
      <c r="N444" s="76" t="n">
        <v>0.162</v>
      </c>
      <c r="O444" s="76" t="n">
        <v>0.162</v>
      </c>
      <c r="P444" s="76" t="n">
        <v>0.162</v>
      </c>
      <c r="Q444" s="76" t="n">
        <v>0.162</v>
      </c>
      <c r="R444" s="76" t="n">
        <v>0.162</v>
      </c>
      <c r="S444" s="76" t="n">
        <v>0.162</v>
      </c>
      <c r="T444" s="76" t="n">
        <v>0.162</v>
      </c>
      <c r="U444" s="76" t="n">
        <v>0.162</v>
      </c>
      <c r="V444" s="76" t="n">
        <v>0.162</v>
      </c>
      <c r="W444" s="76" t="n">
        <v>0.162</v>
      </c>
      <c r="X444" s="76" t="n">
        <v>0.162</v>
      </c>
      <c r="Y444" s="76" t="n">
        <v>0.162</v>
      </c>
      <c r="Z444" s="76" t="n">
        <v>0.162</v>
      </c>
      <c r="AA444" s="76" t="n">
        <v>0.162</v>
      </c>
      <c r="AB444" s="76" t="n">
        <v>0.162</v>
      </c>
      <c r="AC444" s="76" t="n">
        <v>0.162</v>
      </c>
      <c r="AD444" s="76" t="n">
        <v>0.162</v>
      </c>
      <c r="AE444" s="76" t="n">
        <v>0.162</v>
      </c>
      <c r="AF444" s="76" t="n">
        <v>0.162</v>
      </c>
      <c r="AG444" s="76" t="n">
        <v>0.162</v>
      </c>
      <c r="AH444" s="76" t="n">
        <v>0.162</v>
      </c>
      <c r="AI444" s="76" t="n">
        <v>0.162</v>
      </c>
      <c r="AJ444" s="76" t="n">
        <v>0.162</v>
      </c>
      <c r="AK444" s="76" t="n">
        <v>0.162</v>
      </c>
      <c r="AL444" s="76" t="n">
        <v>0.162</v>
      </c>
      <c r="AM444" s="76" t="n">
        <v>0.162</v>
      </c>
      <c r="AN444" s="76" t="n">
        <v>0.162</v>
      </c>
      <c r="AO444" s="76" t="n">
        <v>0.162</v>
      </c>
      <c r="AP444" s="76" t="n">
        <v>0.162</v>
      </c>
      <c r="AQ444" s="76" t="n">
        <v>0.162</v>
      </c>
      <c r="AR444" s="76" t="n">
        <v>0.1619999999999999</v>
      </c>
    </row>
    <row r="445">
      <c r="A445" s="76" t="inlineStr">
        <is>
          <t>NJ</t>
        </is>
      </c>
      <c r="B445" s="76" t="inlineStr">
        <is>
          <t>Gas CCGT</t>
        </is>
      </c>
      <c r="C445" s="76" t="n">
        <v>0.48</v>
      </c>
      <c r="D445" s="76" t="n">
        <v>0.626</v>
      </c>
      <c r="E445" s="76" t="n">
        <v>0.773</v>
      </c>
      <c r="F445" s="76" t="n">
        <v>0.617</v>
      </c>
      <c r="G445" s="76" t="n">
        <v>0.479</v>
      </c>
      <c r="H445" s="76" t="n">
        <v>0.66</v>
      </c>
      <c r="I445" s="76" t="n">
        <v>0.8070000000000001</v>
      </c>
      <c r="J445" s="76" t="n">
        <v>0.708</v>
      </c>
      <c r="K445" s="76" t="n">
        <v>0.616</v>
      </c>
      <c r="L445" s="76" t="n">
        <v>0.677</v>
      </c>
      <c r="M445" s="76" t="n">
        <v>0.737</v>
      </c>
      <c r="N445" s="76" t="n">
        <v>0.712</v>
      </c>
      <c r="O445" s="76" t="n">
        <v>0.6879999999999999</v>
      </c>
      <c r="P445" s="76" t="n">
        <v>0.676</v>
      </c>
      <c r="Q445" s="76" t="n">
        <v>0.664</v>
      </c>
      <c r="R445" s="76" t="n">
        <v>0.626</v>
      </c>
      <c r="S445" s="76" t="n">
        <v>0.589</v>
      </c>
      <c r="T445" s="76" t="n">
        <v>0.573</v>
      </c>
      <c r="U445" s="76" t="n">
        <v>0.5570000000000001</v>
      </c>
      <c r="V445" s="76" t="n">
        <v>0.534</v>
      </c>
      <c r="W445" s="76" t="n">
        <v>0.51</v>
      </c>
      <c r="X445" s="76" t="n">
        <v>0.441</v>
      </c>
      <c r="Y445" s="76" t="n">
        <v>0.373</v>
      </c>
      <c r="Z445" s="76" t="n">
        <v>0.319</v>
      </c>
      <c r="AA445" s="76" t="n">
        <v>0.266</v>
      </c>
      <c r="AB445" s="76" t="n">
        <v>0.213</v>
      </c>
      <c r="AC445" s="76" t="n">
        <v>0.22</v>
      </c>
      <c r="AD445" s="76" t="n">
        <v>0.227</v>
      </c>
      <c r="AE445" s="76" t="n">
        <v>0.234</v>
      </c>
      <c r="AF445" s="76" t="n">
        <v>0.242</v>
      </c>
      <c r="AG445" s="76" t="n">
        <v>0.249</v>
      </c>
      <c r="AH445" s="76" t="n">
        <v>0.248</v>
      </c>
      <c r="AI445" s="76" t="n">
        <v>0.247</v>
      </c>
      <c r="AJ445" s="76" t="n">
        <v>0.246</v>
      </c>
      <c r="AK445" s="76" t="n">
        <v>0.245</v>
      </c>
      <c r="AL445" s="76" t="n">
        <v>0.244</v>
      </c>
      <c r="AM445" s="76" t="n">
        <v>0.25</v>
      </c>
      <c r="AN445" s="76" t="n">
        <v>0.257</v>
      </c>
      <c r="AO445" s="76" t="n">
        <v>0.264</v>
      </c>
      <c r="AP445" s="76" t="n">
        <v>0.271</v>
      </c>
      <c r="AQ445" s="76" t="n">
        <v>0.279</v>
      </c>
      <c r="AR445" s="76" t="n">
        <v>0.4547317073170732</v>
      </c>
    </row>
    <row r="446">
      <c r="A446" s="76" t="inlineStr">
        <is>
          <t>NJ</t>
        </is>
      </c>
      <c r="B446" s="76" t="inlineStr">
        <is>
          <t>Gas CT</t>
        </is>
      </c>
      <c r="C446" s="76" t="n">
        <v>0.004</v>
      </c>
      <c r="D446" s="76" t="n">
        <v>0.005</v>
      </c>
      <c r="E446" s="76" t="n">
        <v>0.006</v>
      </c>
      <c r="F446" s="76" t="n">
        <v>0.005</v>
      </c>
      <c r="G446" s="76" t="n">
        <v>0.004</v>
      </c>
      <c r="H446" s="76" t="n">
        <v>0.004</v>
      </c>
      <c r="I446" s="76" t="n">
        <v>0.004</v>
      </c>
      <c r="J446" s="76" t="n">
        <v>0.004</v>
      </c>
      <c r="K446" s="76" t="n">
        <v>0.004</v>
      </c>
      <c r="L446" s="76" t="n">
        <v>0.004</v>
      </c>
      <c r="M446" s="76" t="n">
        <v>0.004</v>
      </c>
      <c r="N446" s="76" t="n">
        <v>0.004</v>
      </c>
      <c r="O446" s="76" t="n">
        <v>0.004</v>
      </c>
      <c r="P446" s="76" t="n">
        <v>0.004</v>
      </c>
      <c r="Q446" s="76" t="n">
        <v>0.004</v>
      </c>
      <c r="R446" s="76" t="n">
        <v>0.004</v>
      </c>
      <c r="S446" s="76" t="n">
        <v>0.004</v>
      </c>
      <c r="T446" s="76" t="n">
        <v>0.002</v>
      </c>
      <c r="U446" s="76" t="n">
        <v>0.001</v>
      </c>
      <c r="V446" s="76" t="n">
        <v>0.001</v>
      </c>
      <c r="W446" s="76" t="n">
        <v>0.001</v>
      </c>
      <c r="X446" s="76" t="n">
        <v>0.001</v>
      </c>
      <c r="Y446" s="76" t="n">
        <v>0</v>
      </c>
      <c r="Z446" s="76" t="n">
        <v>0</v>
      </c>
      <c r="AA446" s="76" t="n">
        <v>0</v>
      </c>
      <c r="AB446" s="76" t="n">
        <v>0</v>
      </c>
      <c r="AC446" s="76" t="n">
        <v>0</v>
      </c>
      <c r="AD446" s="76" t="n">
        <v>0</v>
      </c>
      <c r="AE446" s="76" t="n">
        <v>0</v>
      </c>
      <c r="AF446" s="76" t="n">
        <v>0</v>
      </c>
      <c r="AG446" s="76" t="n">
        <v>0</v>
      </c>
      <c r="AH446" s="76" t="n">
        <v>0</v>
      </c>
      <c r="AI446" s="76" t="n">
        <v>0</v>
      </c>
      <c r="AJ446" s="76" t="n">
        <v>0</v>
      </c>
      <c r="AK446" s="76" t="n">
        <v>0</v>
      </c>
      <c r="AL446" s="76" t="n">
        <v>0</v>
      </c>
      <c r="AM446" s="76" t="n">
        <v>0</v>
      </c>
      <c r="AN446" s="76" t="n">
        <v>0</v>
      </c>
      <c r="AO446" s="76" t="n">
        <v>0</v>
      </c>
      <c r="AP446" s="76" t="n">
        <v>0</v>
      </c>
      <c r="AQ446" s="76" t="n">
        <v>0</v>
      </c>
      <c r="AR446" s="76" t="n">
        <v>0.001902439024390245</v>
      </c>
    </row>
    <row r="447">
      <c r="A447" s="76" t="inlineStr">
        <is>
          <t>NJ</t>
        </is>
      </c>
      <c r="B447" s="76" t="inlineStr">
        <is>
          <t>Geothermal</t>
        </is>
      </c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76" t="n"/>
      <c r="AB447" s="76" t="n"/>
      <c r="AC447" s="76" t="n"/>
      <c r="AD447" s="76" t="n"/>
      <c r="AE447" s="76" t="n"/>
      <c r="AF447" s="76" t="n"/>
      <c r="AG447" s="76" t="n"/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</row>
    <row r="448">
      <c r="A448" s="76" t="inlineStr">
        <is>
          <t>NJ</t>
        </is>
      </c>
      <c r="B448" s="76" t="inlineStr">
        <is>
          <t>Hydro</t>
        </is>
      </c>
      <c r="C448" s="76" t="n">
        <v>-0.006</v>
      </c>
      <c r="D448" s="76" t="n">
        <v>-0.007</v>
      </c>
      <c r="E448" s="76" t="n">
        <v>-0.008</v>
      </c>
      <c r="F448" s="76" t="n">
        <v>-0.024</v>
      </c>
      <c r="G448" s="76" t="n">
        <v>-0.041</v>
      </c>
      <c r="H448" s="76" t="n">
        <v>-0.018</v>
      </c>
      <c r="I448" s="76" t="n">
        <v>0.005</v>
      </c>
      <c r="J448" s="76" t="n">
        <v>-0.013</v>
      </c>
      <c r="K448" s="76" t="n">
        <v>-0.032</v>
      </c>
      <c r="L448" s="76" t="n">
        <v>-0.014</v>
      </c>
      <c r="M448" s="76" t="n">
        <v>0.005</v>
      </c>
      <c r="N448" s="76" t="n">
        <v>-0.002</v>
      </c>
      <c r="O448" s="76" t="n">
        <v>-0.008</v>
      </c>
      <c r="P448" s="76" t="n">
        <v>-0.003</v>
      </c>
      <c r="Q448" s="76" t="n">
        <v>0.002</v>
      </c>
      <c r="R448" s="76" t="n">
        <v>0.004</v>
      </c>
      <c r="S448" s="76" t="n">
        <v>0.006</v>
      </c>
      <c r="T448" s="76" t="n">
        <v>0.006</v>
      </c>
      <c r="U448" s="76" t="n">
        <v>0.006</v>
      </c>
      <c r="V448" s="76" t="n">
        <v>0.006</v>
      </c>
      <c r="W448" s="76" t="n">
        <v>0.006</v>
      </c>
      <c r="X448" s="76" t="n">
        <v>0.006</v>
      </c>
      <c r="Y448" s="76" t="n">
        <v>0.006</v>
      </c>
      <c r="Z448" s="76" t="n">
        <v>0.004</v>
      </c>
      <c r="AA448" s="76" t="n">
        <v>0.002</v>
      </c>
      <c r="AB448" s="76" t="n">
        <v>0</v>
      </c>
      <c r="AC448" s="76" t="n">
        <v>-0.013</v>
      </c>
      <c r="AD448" s="76" t="n">
        <v>-0.027</v>
      </c>
      <c r="AE448" s="76" t="n">
        <v>-0.04</v>
      </c>
      <c r="AF448" s="76" t="n">
        <v>-0.053</v>
      </c>
      <c r="AG448" s="76" t="n">
        <v>-0.066</v>
      </c>
      <c r="AH448" s="76" t="n">
        <v>-0.059</v>
      </c>
      <c r="AI448" s="76" t="n">
        <v>-0.053</v>
      </c>
      <c r="AJ448" s="76" t="n">
        <v>-0.047</v>
      </c>
      <c r="AK448" s="76" t="n">
        <v>-0.04</v>
      </c>
      <c r="AL448" s="76" t="n">
        <v>-0.034</v>
      </c>
      <c r="AM448" s="76" t="n">
        <v>-0.026</v>
      </c>
      <c r="AN448" s="76" t="n">
        <v>-0.018</v>
      </c>
      <c r="AO448" s="76" t="n">
        <v>-0.01</v>
      </c>
      <c r="AP448" s="76" t="n">
        <v>-0.002</v>
      </c>
      <c r="AQ448" s="76" t="n">
        <v>0.006</v>
      </c>
      <c r="AR448" s="76" t="n">
        <v>-0.01448780487804878</v>
      </c>
    </row>
    <row r="449">
      <c r="A449" s="76" t="inlineStr">
        <is>
          <t>NJ</t>
        </is>
      </c>
      <c r="B449" s="76" t="inlineStr">
        <is>
          <t>Nuclear</t>
        </is>
      </c>
      <c r="C449" s="76" t="n">
        <v>0.902</v>
      </c>
      <c r="D449" s="76" t="n">
        <v>0.902</v>
      </c>
      <c r="E449" s="76" t="n">
        <v>0.902</v>
      </c>
      <c r="F449" s="76" t="n">
        <v>0.902</v>
      </c>
      <c r="G449" s="76" t="n">
        <v>0.902</v>
      </c>
      <c r="H449" s="76" t="n">
        <v>0.902</v>
      </c>
      <c r="I449" s="76" t="n">
        <v>0.902</v>
      </c>
      <c r="J449" s="76" t="n">
        <v>0.902</v>
      </c>
      <c r="K449" s="76" t="n">
        <v>0.902</v>
      </c>
      <c r="L449" s="76" t="n">
        <v>0.902</v>
      </c>
      <c r="M449" s="76" t="n">
        <v>0.902</v>
      </c>
      <c r="N449" s="76" t="n">
        <v>0.902</v>
      </c>
      <c r="O449" s="76" t="n">
        <v>0.902</v>
      </c>
      <c r="P449" s="76" t="n">
        <v>0.902</v>
      </c>
      <c r="Q449" s="76" t="n">
        <v>0.902</v>
      </c>
      <c r="R449" s="76" t="n">
        <v>0.902</v>
      </c>
      <c r="S449" s="76" t="n">
        <v>0.902</v>
      </c>
      <c r="T449" s="76" t="n">
        <v>0.902</v>
      </c>
      <c r="U449" s="76" t="n">
        <v>0.902</v>
      </c>
      <c r="V449" s="76" t="n">
        <v>0.902</v>
      </c>
      <c r="W449" s="76" t="n">
        <v>0.902</v>
      </c>
      <c r="X449" s="76" t="n">
        <v>0.902</v>
      </c>
      <c r="Y449" s="76" t="n">
        <v>0.902</v>
      </c>
      <c r="Z449" s="76" t="n">
        <v>0.902</v>
      </c>
      <c r="AA449" s="76" t="n">
        <v>0.902</v>
      </c>
      <c r="AB449" s="76" t="n">
        <v>0.902</v>
      </c>
      <c r="AC449" s="76" t="n">
        <v>0.902</v>
      </c>
      <c r="AD449" s="76" t="n">
        <v>0.902</v>
      </c>
      <c r="AE449" s="76" t="n">
        <v>0.902</v>
      </c>
      <c r="AF449" s="76" t="n">
        <v>0.902</v>
      </c>
      <c r="AG449" s="76" t="n">
        <v>0.902</v>
      </c>
      <c r="AH449" s="76" t="n">
        <v>0.902</v>
      </c>
      <c r="AI449" s="76" t="n">
        <v>0.902</v>
      </c>
      <c r="AJ449" s="76" t="n">
        <v>0.902</v>
      </c>
      <c r="AK449" s="76" t="n">
        <v>0.902</v>
      </c>
      <c r="AL449" s="76" t="n">
        <v>0.902</v>
      </c>
      <c r="AM449" s="76" t="n">
        <v>0.902</v>
      </c>
      <c r="AN449" s="76" t="n">
        <v>0.9</v>
      </c>
      <c r="AO449" s="76" t="n">
        <v>0.897</v>
      </c>
      <c r="AP449" s="76" t="n">
        <v>0.89</v>
      </c>
      <c r="AQ449" s="76" t="n">
        <v>0.68</v>
      </c>
      <c r="AR449" s="76" t="n">
        <v>0.8961219512195123</v>
      </c>
    </row>
    <row r="450">
      <c r="A450" s="76" t="inlineStr">
        <is>
          <t>NJ</t>
        </is>
      </c>
      <c r="B450" s="76" t="inlineStr">
        <is>
          <t>Other</t>
        </is>
      </c>
      <c r="C450" s="76" t="n">
        <v>0</v>
      </c>
      <c r="D450" s="76" t="n">
        <v>0</v>
      </c>
      <c r="E450" s="76" t="n">
        <v>0</v>
      </c>
      <c r="F450" s="76" t="n">
        <v>0</v>
      </c>
      <c r="G450" s="76" t="n">
        <v>0</v>
      </c>
      <c r="H450" s="76" t="n">
        <v>0</v>
      </c>
      <c r="I450" s="76" t="n">
        <v>0</v>
      </c>
      <c r="J450" s="76" t="n">
        <v>0</v>
      </c>
      <c r="K450" s="76" t="n">
        <v>0</v>
      </c>
      <c r="L450" s="76" t="n">
        <v>0</v>
      </c>
      <c r="M450" s="76" t="n">
        <v>0</v>
      </c>
      <c r="N450" s="76" t="n">
        <v>0</v>
      </c>
      <c r="O450" s="76" t="n">
        <v>0</v>
      </c>
      <c r="P450" s="76" t="n">
        <v>0</v>
      </c>
      <c r="Q450" s="76" t="n">
        <v>0</v>
      </c>
      <c r="R450" s="76" t="n">
        <v>0</v>
      </c>
      <c r="S450" s="76" t="n">
        <v>0</v>
      </c>
      <c r="T450" s="76" t="n">
        <v>0</v>
      </c>
      <c r="U450" s="76" t="n">
        <v>0</v>
      </c>
      <c r="V450" s="76" t="n">
        <v>0</v>
      </c>
      <c r="W450" s="76" t="n">
        <v>0</v>
      </c>
      <c r="X450" s="76" t="n">
        <v>0</v>
      </c>
      <c r="Y450" s="76" t="n">
        <v>0</v>
      </c>
      <c r="Z450" s="76" t="n">
        <v>0</v>
      </c>
      <c r="AA450" s="76" t="n">
        <v>0</v>
      </c>
      <c r="AB450" s="76" t="n">
        <v>0</v>
      </c>
      <c r="AC450" s="76" t="n">
        <v>0</v>
      </c>
      <c r="AD450" s="76" t="n">
        <v>0</v>
      </c>
      <c r="AE450" s="76" t="n">
        <v>0</v>
      </c>
      <c r="AF450" s="76" t="n">
        <v>0</v>
      </c>
      <c r="AG450" s="76" t="n">
        <v>0</v>
      </c>
      <c r="AH450" s="76" t="n">
        <v>0</v>
      </c>
      <c r="AI450" s="76" t="n">
        <v>0</v>
      </c>
      <c r="AJ450" s="76" t="n">
        <v>0</v>
      </c>
      <c r="AK450" s="76" t="n">
        <v>0</v>
      </c>
      <c r="AL450" s="76" t="n">
        <v>0</v>
      </c>
      <c r="AM450" s="76" t="n">
        <v>0</v>
      </c>
      <c r="AN450" s="76" t="n">
        <v>0</v>
      </c>
      <c r="AO450" s="76" t="n">
        <v>0</v>
      </c>
      <c r="AP450" s="76" t="n">
        <v>0</v>
      </c>
      <c r="AQ450" s="76" t="n">
        <v>0</v>
      </c>
      <c r="AR450" s="76" t="n">
        <v>0</v>
      </c>
    </row>
    <row r="451">
      <c r="A451" s="76" t="inlineStr">
        <is>
          <t>NJ</t>
        </is>
      </c>
      <c r="B451" s="76" t="inlineStr">
        <is>
          <t>Utility PV</t>
        </is>
      </c>
      <c r="C451" s="76" t="n">
        <v>0.224</v>
      </c>
      <c r="D451" s="76" t="n">
        <v>0.224</v>
      </c>
      <c r="E451" s="76" t="n">
        <v>0.224</v>
      </c>
      <c r="F451" s="76" t="n">
        <v>0.223</v>
      </c>
      <c r="G451" s="76" t="n">
        <v>0.222</v>
      </c>
      <c r="H451" s="76" t="n">
        <v>0.222</v>
      </c>
      <c r="I451" s="76" t="n">
        <v>0.221</v>
      </c>
      <c r="J451" s="76" t="n">
        <v>0.221</v>
      </c>
      <c r="K451" s="76" t="n">
        <v>0.22</v>
      </c>
      <c r="L451" s="76" t="n">
        <v>0.22</v>
      </c>
      <c r="M451" s="76" t="n">
        <v>0.22</v>
      </c>
      <c r="N451" s="76" t="n">
        <v>0.219</v>
      </c>
      <c r="O451" s="76" t="n">
        <v>0.218</v>
      </c>
      <c r="P451" s="76" t="n">
        <v>0.217</v>
      </c>
      <c r="Q451" s="76" t="n">
        <v>0.216</v>
      </c>
      <c r="R451" s="76" t="n">
        <v>0.215</v>
      </c>
      <c r="S451" s="76" t="n">
        <v>0.214</v>
      </c>
      <c r="T451" s="76" t="n">
        <v>0.213</v>
      </c>
      <c r="U451" s="76" t="n">
        <v>0.211</v>
      </c>
      <c r="V451" s="76" t="n">
        <v>0.21</v>
      </c>
      <c r="W451" s="76" t="n">
        <v>0.209</v>
      </c>
      <c r="X451" s="76" t="n">
        <v>0.208</v>
      </c>
      <c r="Y451" s="76" t="n">
        <v>0.207</v>
      </c>
      <c r="Z451" s="76" t="n">
        <v>0.218</v>
      </c>
      <c r="AA451" s="76" t="n">
        <v>0.22</v>
      </c>
      <c r="AB451" s="76" t="n">
        <v>0.221</v>
      </c>
      <c r="AC451" s="76" t="n">
        <v>0.22</v>
      </c>
      <c r="AD451" s="76" t="n">
        <v>0.219</v>
      </c>
      <c r="AE451" s="76" t="n">
        <v>0.218</v>
      </c>
      <c r="AF451" s="76" t="n">
        <v>0.217</v>
      </c>
      <c r="AG451" s="76" t="n">
        <v>0.216</v>
      </c>
      <c r="AH451" s="76" t="n">
        <v>0.215</v>
      </c>
      <c r="AI451" s="76" t="n">
        <v>0.214</v>
      </c>
      <c r="AJ451" s="76" t="n">
        <v>0.214</v>
      </c>
      <c r="AK451" s="76" t="n">
        <v>0.213</v>
      </c>
      <c r="AL451" s="76" t="n">
        <v>0.212</v>
      </c>
      <c r="AM451" s="76" t="n">
        <v>0.211</v>
      </c>
      <c r="AN451" s="76" t="n">
        <v>0.211</v>
      </c>
      <c r="AO451" s="76" t="n">
        <v>0.21</v>
      </c>
      <c r="AP451" s="76" t="n">
        <v>0.209</v>
      </c>
      <c r="AQ451" s="76" t="n">
        <v>0.208</v>
      </c>
      <c r="AR451" s="76" t="n">
        <v>0.2161951219512195</v>
      </c>
    </row>
    <row r="452">
      <c r="A452" s="76" t="inlineStr">
        <is>
          <t>NJ</t>
        </is>
      </c>
      <c r="B452" s="76" t="inlineStr">
        <is>
          <t>Wind offshore</t>
        </is>
      </c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>
        <v>0.439</v>
      </c>
      <c r="Q452" s="76" t="n">
        <v>0.439</v>
      </c>
      <c r="R452" s="76" t="n">
        <v>0.439</v>
      </c>
      <c r="S452" s="76" t="n">
        <v>0.439</v>
      </c>
      <c r="T452" s="76" t="n">
        <v>0.441</v>
      </c>
      <c r="U452" s="76" t="n">
        <v>0.442</v>
      </c>
      <c r="V452" s="76" t="n">
        <v>0.441</v>
      </c>
      <c r="W452" s="76" t="n">
        <v>0.441</v>
      </c>
      <c r="X452" s="76" t="n">
        <v>0.441</v>
      </c>
      <c r="Y452" s="76" t="n">
        <v>0.441</v>
      </c>
      <c r="Z452" s="76" t="n">
        <v>0.433</v>
      </c>
      <c r="AA452" s="76" t="n">
        <v>0.424</v>
      </c>
      <c r="AB452" s="76" t="n">
        <v>0.415</v>
      </c>
      <c r="AC452" s="76" t="n">
        <v>0.416</v>
      </c>
      <c r="AD452" s="76" t="n">
        <v>0.417</v>
      </c>
      <c r="AE452" s="76" t="n">
        <v>0.418</v>
      </c>
      <c r="AF452" s="76" t="n">
        <v>0.419</v>
      </c>
      <c r="AG452" s="76" t="n">
        <v>0.419</v>
      </c>
      <c r="AH452" s="76" t="n">
        <v>0.421</v>
      </c>
      <c r="AI452" s="76" t="n">
        <v>0.423</v>
      </c>
      <c r="AJ452" s="76" t="n">
        <v>0.425</v>
      </c>
      <c r="AK452" s="76" t="n">
        <v>0.427</v>
      </c>
      <c r="AL452" s="76" t="n">
        <v>0.428</v>
      </c>
      <c r="AM452" s="76" t="n">
        <v>0.43</v>
      </c>
      <c r="AN452" s="76" t="n">
        <v>0.431</v>
      </c>
      <c r="AO452" s="76" t="n">
        <v>0.432</v>
      </c>
      <c r="AP452" s="76" t="n">
        <v>0.434</v>
      </c>
      <c r="AQ452" s="76" t="n">
        <v>0.435</v>
      </c>
      <c r="AR452" s="76" t="n">
        <v>0.4303571428571428</v>
      </c>
    </row>
    <row r="453">
      <c r="A453" s="76" t="inlineStr">
        <is>
          <t>NJ</t>
        </is>
      </c>
      <c r="B453" s="76" t="inlineStr">
        <is>
          <t>Wind onshore</t>
        </is>
      </c>
      <c r="C453" s="76" t="n">
        <v>0.301</v>
      </c>
      <c r="D453" s="76" t="n">
        <v>0.301</v>
      </c>
      <c r="E453" s="76" t="n">
        <v>0.302</v>
      </c>
      <c r="F453" s="76" t="n">
        <v>0.302</v>
      </c>
      <c r="G453" s="76" t="n">
        <v>0.302</v>
      </c>
      <c r="H453" s="76" t="n">
        <v>0.302</v>
      </c>
      <c r="I453" s="76" t="n">
        <v>0.302</v>
      </c>
      <c r="J453" s="76" t="n">
        <v>0.302</v>
      </c>
      <c r="K453" s="76" t="n">
        <v>0.302</v>
      </c>
      <c r="L453" s="76" t="n">
        <v>0.302</v>
      </c>
      <c r="M453" s="76" t="n">
        <v>0.302</v>
      </c>
      <c r="N453" s="76" t="n">
        <v>0.302</v>
      </c>
      <c r="O453" s="76" t="n">
        <v>0.302</v>
      </c>
      <c r="P453" s="76" t="n">
        <v>0.302</v>
      </c>
      <c r="Q453" s="76" t="n">
        <v>0.302</v>
      </c>
      <c r="R453" s="76" t="n">
        <v>0.355</v>
      </c>
      <c r="S453" s="76" t="n">
        <v>0.38</v>
      </c>
      <c r="T453" s="76" t="n">
        <v>0.38</v>
      </c>
      <c r="U453" s="76" t="n">
        <v>0.38</v>
      </c>
      <c r="V453" s="76" t="n">
        <v>0.41</v>
      </c>
      <c r="W453" s="76" t="n">
        <v>0.418</v>
      </c>
      <c r="X453" s="76" t="n">
        <v>0.389</v>
      </c>
      <c r="Y453" s="76" t="n">
        <v>0.388</v>
      </c>
      <c r="Z453" s="76" t="n">
        <v>0.379</v>
      </c>
      <c r="AA453" s="76" t="n">
        <v>0.374</v>
      </c>
      <c r="AB453" s="76" t="n">
        <v>0.37</v>
      </c>
      <c r="AC453" s="76" t="n">
        <v>0.375</v>
      </c>
      <c r="AD453" s="76" t="n">
        <v>0.38</v>
      </c>
      <c r="AE453" s="76" t="n">
        <v>0.384</v>
      </c>
      <c r="AF453" s="76" t="n">
        <v>0.389</v>
      </c>
      <c r="AG453" s="76" t="n">
        <v>0.394</v>
      </c>
      <c r="AH453" s="76" t="n">
        <v>0.386</v>
      </c>
      <c r="AI453" s="76" t="n">
        <v>0.379</v>
      </c>
      <c r="AJ453" s="76" t="n">
        <v>0.372</v>
      </c>
      <c r="AK453" s="76" t="n">
        <v>0.365</v>
      </c>
      <c r="AL453" s="76" t="n">
        <v>0.358</v>
      </c>
      <c r="AM453" s="76" t="n">
        <v>0.361</v>
      </c>
      <c r="AN453" s="76" t="n">
        <v>0.364</v>
      </c>
      <c r="AO453" s="76" t="n">
        <v>0.367</v>
      </c>
      <c r="AP453" s="76" t="n">
        <v>0.37</v>
      </c>
      <c r="AQ453" s="76" t="n">
        <v>0.373</v>
      </c>
      <c r="AR453" s="76" t="n">
        <v>0.3504390243902439</v>
      </c>
    </row>
    <row r="454">
      <c r="A454" s="76" t="inlineStr">
        <is>
          <t>NM</t>
        </is>
      </c>
      <c r="B454" s="76" t="inlineStr">
        <is>
          <t>NM</t>
        </is>
      </c>
      <c r="C454" s="76" t="n">
        <v>0.2604285714285714</v>
      </c>
      <c r="D454" s="76" t="n">
        <v>0.2393529411764706</v>
      </c>
      <c r="E454" s="76" t="n">
        <v>0.2464705882352941</v>
      </c>
      <c r="F454" s="76" t="n">
        <v>0.2356470588235294</v>
      </c>
      <c r="G454" s="76" t="n">
        <v>0.2251764705882353</v>
      </c>
      <c r="H454" s="76" t="n">
        <v>0.2408235294117647</v>
      </c>
      <c r="I454" s="76" t="n">
        <v>0.2560588235294117</v>
      </c>
      <c r="J454" s="76" t="n">
        <v>0.2611764705882353</v>
      </c>
      <c r="K454" s="76" t="n">
        <v>0.2682352941176471</v>
      </c>
      <c r="L454" s="76" t="n">
        <v>0.2662352941176471</v>
      </c>
      <c r="M454" s="76" t="n">
        <v>0.2637647058823529</v>
      </c>
      <c r="N454" s="76" t="n">
        <v>0.2569411764705882</v>
      </c>
      <c r="O454" s="76" t="n">
        <v>0.2493529411764706</v>
      </c>
      <c r="P454" s="76" t="n">
        <v>0.2459411764705882</v>
      </c>
      <c r="Q454" s="76" t="n">
        <v>0.2425294117647059</v>
      </c>
      <c r="R454" s="76" t="n">
        <v>0.2173888888888889</v>
      </c>
      <c r="S454" s="76" t="n">
        <v>0.2100555555555556</v>
      </c>
      <c r="T454" s="76" t="n">
        <v>0.1981666666666666</v>
      </c>
      <c r="U454" s="76" t="n">
        <v>0.1862777777777778</v>
      </c>
      <c r="V454" s="76" t="n">
        <v>0.1843333333333333</v>
      </c>
      <c r="W454" s="76" t="n">
        <v>0.1811666666666667</v>
      </c>
      <c r="X454" s="76" t="n">
        <v>0.1771666666666667</v>
      </c>
      <c r="Y454" s="76" t="n">
        <v>0.1728888888888889</v>
      </c>
      <c r="Z454" s="76" t="n">
        <v>0.1713888888888889</v>
      </c>
      <c r="AA454" s="76" t="n">
        <v>0.1700555555555556</v>
      </c>
      <c r="AB454" s="76" t="n">
        <v>0.1408823529411765</v>
      </c>
      <c r="AC454" s="76" t="n">
        <v>0.1420588235294118</v>
      </c>
      <c r="AD454" s="76" t="n">
        <v>0.1432352941176471</v>
      </c>
      <c r="AE454" s="76" t="n">
        <v>0.1447058823529412</v>
      </c>
      <c r="AF454" s="76" t="n">
        <v>0.1465294117647059</v>
      </c>
      <c r="AG454" s="76" t="n">
        <v>0.1485882352941177</v>
      </c>
      <c r="AH454" s="76" t="n">
        <v>0.1492941176470588</v>
      </c>
      <c r="AI454" s="76" t="n">
        <v>0.15</v>
      </c>
      <c r="AJ454" s="76" t="n">
        <v>0.1508823529411765</v>
      </c>
      <c r="AK454" s="76" t="n">
        <v>0.1517647058823529</v>
      </c>
      <c r="AL454" s="76" t="n">
        <v>0.1620625</v>
      </c>
      <c r="AM454" s="76" t="n">
        <v>0.1614375</v>
      </c>
      <c r="AN454" s="76" t="n">
        <v>0.160875</v>
      </c>
      <c r="AO454" s="76" t="n">
        <v>0.1604375</v>
      </c>
      <c r="AP454" s="76" t="n">
        <v>0.1600625</v>
      </c>
      <c r="AQ454" s="76" t="n">
        <v>0.1596875</v>
      </c>
      <c r="AR454" s="76" t="n">
        <v>0.1964684813753582</v>
      </c>
    </row>
    <row r="455">
      <c r="A455" s="76" t="inlineStr">
        <is>
          <t>NM</t>
        </is>
      </c>
      <c r="B455" s="76" t="inlineStr">
        <is>
          <t>Battery</t>
        </is>
      </c>
      <c r="C455" s="76" t="n"/>
      <c r="D455" s="76" t="n">
        <v>0</v>
      </c>
      <c r="E455" s="76" t="n">
        <v>0</v>
      </c>
      <c r="F455" s="76" t="n">
        <v>-0.001</v>
      </c>
      <c r="G455" s="76" t="n">
        <v>-0.002</v>
      </c>
      <c r="H455" s="76" t="n">
        <v>-0.004</v>
      </c>
      <c r="I455" s="76" t="n">
        <v>-0.006</v>
      </c>
      <c r="J455" s="76" t="n">
        <v>-0.015</v>
      </c>
      <c r="K455" s="76" t="n">
        <v>-0.022</v>
      </c>
      <c r="L455" s="76" t="n">
        <v>-0.028</v>
      </c>
      <c r="M455" s="76" t="n">
        <v>-0.034</v>
      </c>
      <c r="N455" s="76" t="n">
        <v>-0.045</v>
      </c>
      <c r="O455" s="76" t="n">
        <v>-0.046</v>
      </c>
      <c r="P455" s="76" t="n">
        <v>-0.047</v>
      </c>
      <c r="Q455" s="76" t="n">
        <v>-0.047</v>
      </c>
      <c r="R455" s="76" t="n">
        <v>-0.0575</v>
      </c>
      <c r="S455" s="76" t="n">
        <v>-0.05649999999999999</v>
      </c>
      <c r="T455" s="76" t="n">
        <v>-0.061</v>
      </c>
      <c r="U455" s="76" t="n">
        <v>-0.0635</v>
      </c>
      <c r="V455" s="76" t="n">
        <v>-0.064</v>
      </c>
      <c r="W455" s="76" t="n">
        <v>-0.0645</v>
      </c>
      <c r="X455" s="76" t="n">
        <v>-0.0665</v>
      </c>
      <c r="Y455" s="76" t="n">
        <v>-0.0675</v>
      </c>
      <c r="Z455" s="76" t="n">
        <v>-0.06900000000000001</v>
      </c>
      <c r="AA455" s="76" t="n">
        <v>-0.06950000000000001</v>
      </c>
      <c r="AB455" s="76" t="n">
        <v>-0.07000000000000001</v>
      </c>
      <c r="AC455" s="76" t="n">
        <v>-0.07149999999999999</v>
      </c>
      <c r="AD455" s="76" t="n">
        <v>-0.07199999999999999</v>
      </c>
      <c r="AE455" s="76" t="n">
        <v>-0.073</v>
      </c>
      <c r="AF455" s="76" t="n">
        <v>-0.0735</v>
      </c>
      <c r="AG455" s="76" t="n">
        <v>-0.0745</v>
      </c>
      <c r="AH455" s="76" t="n">
        <v>-0.0735</v>
      </c>
      <c r="AI455" s="76" t="n">
        <v>-0.07200000000000001</v>
      </c>
      <c r="AJ455" s="76" t="n">
        <v>-0.07050000000000001</v>
      </c>
      <c r="AK455" s="76" t="n">
        <v>-0.06900000000000001</v>
      </c>
      <c r="AL455" s="76" t="n">
        <v>-0.0675</v>
      </c>
      <c r="AM455" s="76" t="n">
        <v>-0.068</v>
      </c>
      <c r="AN455" s="76" t="n">
        <v>-0.06850000000000001</v>
      </c>
      <c r="AO455" s="76" t="n">
        <v>-0.06850000000000001</v>
      </c>
      <c r="AP455" s="76" t="n">
        <v>-0.06900000000000001</v>
      </c>
      <c r="AQ455" s="76" t="n">
        <v>-0.06950000000000001</v>
      </c>
      <c r="AR455" s="76" t="n">
        <v>-0.05813636363636365</v>
      </c>
    </row>
    <row r="456">
      <c r="A456" s="76" t="inlineStr">
        <is>
          <t>NM</t>
        </is>
      </c>
      <c r="B456" s="76" t="inlineStr">
        <is>
          <t>Biopower</t>
        </is>
      </c>
      <c r="C456" s="76" t="n">
        <v>0.31</v>
      </c>
      <c r="D456" s="76" t="n">
        <v>0.31</v>
      </c>
      <c r="E456" s="76" t="n">
        <v>0.31</v>
      </c>
      <c r="F456" s="76" t="n">
        <v>0.31</v>
      </c>
      <c r="G456" s="76" t="n">
        <v>0.31</v>
      </c>
      <c r="H456" s="76" t="n">
        <v>0.31</v>
      </c>
      <c r="I456" s="76" t="n">
        <v>0.31</v>
      </c>
      <c r="J456" s="76" t="n">
        <v>0.31</v>
      </c>
      <c r="K456" s="76" t="n">
        <v>0.31</v>
      </c>
      <c r="L456" s="76" t="n">
        <v>0.31</v>
      </c>
      <c r="M456" s="76" t="n">
        <v>0.31</v>
      </c>
      <c r="N456" s="76" t="n">
        <v>0.31</v>
      </c>
      <c r="O456" s="76" t="n">
        <v>0.31</v>
      </c>
      <c r="P456" s="76" t="n">
        <v>0.31</v>
      </c>
      <c r="Q456" s="76" t="n">
        <v>0.31</v>
      </c>
      <c r="R456" s="76" t="n">
        <v>0.31</v>
      </c>
      <c r="S456" s="76" t="n">
        <v>0.31</v>
      </c>
      <c r="T456" s="76" t="n">
        <v>0.31</v>
      </c>
      <c r="U456" s="76" t="n">
        <v>0.31</v>
      </c>
      <c r="V456" s="76" t="n">
        <v>0.31</v>
      </c>
      <c r="W456" s="76" t="n">
        <v>0.31</v>
      </c>
      <c r="X456" s="76" t="n">
        <v>0.31</v>
      </c>
      <c r="Y456" s="76" t="n">
        <v>0.31</v>
      </c>
      <c r="Z456" s="76" t="n">
        <v>0.303</v>
      </c>
      <c r="AA456" s="76" t="n">
        <v>0.297</v>
      </c>
      <c r="AB456" s="76" t="n">
        <v>0.29</v>
      </c>
      <c r="AC456" s="76" t="n">
        <v>0.304</v>
      </c>
      <c r="AD456" s="76" t="n">
        <v>0.319</v>
      </c>
      <c r="AE456" s="76" t="n">
        <v>0.339</v>
      </c>
      <c r="AF456" s="76" t="n">
        <v>0.363</v>
      </c>
      <c r="AG456" s="76" t="n">
        <v>0.393</v>
      </c>
      <c r="AH456" s="76" t="n">
        <v>0.393</v>
      </c>
      <c r="AI456" s="76" t="n">
        <v>0.393</v>
      </c>
      <c r="AJ456" s="76" t="n">
        <v>0.393</v>
      </c>
      <c r="AK456" s="76" t="n">
        <v>0.393</v>
      </c>
      <c r="AL456" s="76" t="n">
        <v>0.393</v>
      </c>
      <c r="AM456" s="76" t="n">
        <v>0.393</v>
      </c>
      <c r="AN456" s="76" t="n">
        <v>0.393</v>
      </c>
      <c r="AO456" s="76" t="n">
        <v>0.393</v>
      </c>
      <c r="AP456" s="76" t="n">
        <v>0.393</v>
      </c>
      <c r="AQ456" s="76" t="n">
        <v>0.393</v>
      </c>
      <c r="AR456" s="76" t="n">
        <v>0.3333658536585367</v>
      </c>
    </row>
    <row r="457">
      <c r="A457" s="76" t="inlineStr">
        <is>
          <t>NM</t>
        </is>
      </c>
      <c r="B457" s="76" t="inlineStr">
        <is>
          <t>Coal</t>
        </is>
      </c>
      <c r="C457" s="76" t="n">
        <v>0.846</v>
      </c>
      <c r="D457" s="76" t="n">
        <v>0.825</v>
      </c>
      <c r="E457" s="76" t="n">
        <v>0.804</v>
      </c>
      <c r="F457" s="76" t="n">
        <v>0.823</v>
      </c>
      <c r="G457" s="76" t="n">
        <v>0.846</v>
      </c>
      <c r="H457" s="76" t="n">
        <v>0.643</v>
      </c>
      <c r="I457" s="76" t="n">
        <v>0.441</v>
      </c>
      <c r="J457" s="76" t="n">
        <v>0.616</v>
      </c>
      <c r="K457" s="76" t="n">
        <v>0.846</v>
      </c>
      <c r="L457" s="76" t="n">
        <v>0.6820000000000001</v>
      </c>
      <c r="M457" s="76" t="n">
        <v>0.519</v>
      </c>
      <c r="N457" s="76" t="n">
        <v>0.583</v>
      </c>
      <c r="O457" s="76" t="n">
        <v>0.647</v>
      </c>
      <c r="P457" s="76" t="n">
        <v>0.647</v>
      </c>
      <c r="Q457" s="76" t="n">
        <v>0.646</v>
      </c>
      <c r="R457" s="76" t="n">
        <v>0.726</v>
      </c>
      <c r="S457" s="76" t="n">
        <v>0.8139999999999999</v>
      </c>
      <c r="T457" s="76" t="n">
        <v>0.794</v>
      </c>
      <c r="U457" s="76" t="n">
        <v>0.774</v>
      </c>
      <c r="V457" s="76" t="n">
        <v>0.721</v>
      </c>
      <c r="W457" s="76" t="n">
        <v>0.667</v>
      </c>
      <c r="X457" s="76" t="n">
        <v>0.66</v>
      </c>
      <c r="Y457" s="76" t="n">
        <v>0.641</v>
      </c>
      <c r="Z457" s="76" t="n">
        <v>0.641</v>
      </c>
      <c r="AA457" s="76" t="n">
        <v>0.641</v>
      </c>
      <c r="AB457" s="76" t="n"/>
      <c r="AC457" s="76" t="n"/>
      <c r="AD457" s="76" t="n"/>
      <c r="AE457" s="76" t="n"/>
      <c r="AF457" s="76" t="n"/>
      <c r="AG457" s="76" t="n"/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>
        <v>0.6997200000000001</v>
      </c>
    </row>
    <row r="458">
      <c r="A458" s="76" t="inlineStr">
        <is>
          <t>NM</t>
        </is>
      </c>
      <c r="B458" s="76" t="inlineStr">
        <is>
          <t>CSP</t>
        </is>
      </c>
      <c r="C458" s="76" t="n"/>
      <c r="D458" s="76" t="n">
        <v>0</v>
      </c>
      <c r="E458" s="76" t="n">
        <v>0</v>
      </c>
      <c r="F458" s="76" t="n">
        <v>0</v>
      </c>
      <c r="G458" s="76" t="n">
        <v>0</v>
      </c>
      <c r="H458" s="76" t="n">
        <v>0</v>
      </c>
      <c r="I458" s="76" t="n">
        <v>0</v>
      </c>
      <c r="J458" s="76" t="n">
        <v>0</v>
      </c>
      <c r="K458" s="76" t="n">
        <v>0</v>
      </c>
      <c r="L458" s="76" t="n">
        <v>0</v>
      </c>
      <c r="M458" s="76" t="n">
        <v>0</v>
      </c>
      <c r="N458" s="76" t="n">
        <v>0</v>
      </c>
      <c r="O458" s="76" t="n">
        <v>0</v>
      </c>
      <c r="P458" s="76" t="n">
        <v>0</v>
      </c>
      <c r="Q458" s="76" t="n">
        <v>0</v>
      </c>
      <c r="R458" s="76" t="n">
        <v>0</v>
      </c>
      <c r="S458" s="76" t="n">
        <v>0</v>
      </c>
      <c r="T458" s="76" t="n">
        <v>0</v>
      </c>
      <c r="U458" s="76" t="n">
        <v>0</v>
      </c>
      <c r="V458" s="76" t="n">
        <v>0</v>
      </c>
      <c r="W458" s="76" t="n">
        <v>0</v>
      </c>
      <c r="X458" s="76" t="n">
        <v>0</v>
      </c>
      <c r="Y458" s="76" t="n">
        <v>0</v>
      </c>
      <c r="Z458" s="76" t="n">
        <v>0</v>
      </c>
      <c r="AA458" s="76" t="n">
        <v>0</v>
      </c>
      <c r="AB458" s="76" t="n">
        <v>0</v>
      </c>
      <c r="AC458" s="76" t="n">
        <v>0</v>
      </c>
      <c r="AD458" s="76" t="n">
        <v>0</v>
      </c>
      <c r="AE458" s="76" t="n">
        <v>0</v>
      </c>
      <c r="AF458" s="76" t="n">
        <v>0</v>
      </c>
      <c r="AG458" s="76" t="n">
        <v>0</v>
      </c>
      <c r="AH458" s="76" t="n">
        <v>0</v>
      </c>
      <c r="AI458" s="76" t="n">
        <v>0</v>
      </c>
      <c r="AJ458" s="76" t="n">
        <v>0</v>
      </c>
      <c r="AK458" s="76" t="n">
        <v>0</v>
      </c>
      <c r="AL458" s="76" t="n"/>
      <c r="AM458" s="76" t="n"/>
      <c r="AN458" s="76" t="n"/>
      <c r="AO458" s="76" t="n"/>
      <c r="AP458" s="76" t="n"/>
      <c r="AQ458" s="76" t="n"/>
      <c r="AR458" s="76" t="n">
        <v>0</v>
      </c>
    </row>
    <row r="459">
      <c r="A459" s="76" t="inlineStr">
        <is>
          <t>NM</t>
        </is>
      </c>
      <c r="B459" s="76" t="inlineStr">
        <is>
          <t>Dist PV</t>
        </is>
      </c>
      <c r="C459" s="76" t="n">
        <v>0.2215</v>
      </c>
      <c r="D459" s="76" t="n">
        <v>0.2215</v>
      </c>
      <c r="E459" s="76" t="n">
        <v>0.2215</v>
      </c>
      <c r="F459" s="76" t="n">
        <v>0.2215</v>
      </c>
      <c r="G459" s="76" t="n">
        <v>0.2215</v>
      </c>
      <c r="H459" s="76" t="n">
        <v>0.2215</v>
      </c>
      <c r="I459" s="76" t="n">
        <v>0.2215</v>
      </c>
      <c r="J459" s="76" t="n">
        <v>0.2215</v>
      </c>
      <c r="K459" s="76" t="n">
        <v>0.2215</v>
      </c>
      <c r="L459" s="76" t="n">
        <v>0.2215</v>
      </c>
      <c r="M459" s="76" t="n">
        <v>0.2215</v>
      </c>
      <c r="N459" s="76" t="n">
        <v>0.2215</v>
      </c>
      <c r="O459" s="76" t="n">
        <v>0.2215</v>
      </c>
      <c r="P459" s="76" t="n">
        <v>0.2215</v>
      </c>
      <c r="Q459" s="76" t="n">
        <v>0.2215</v>
      </c>
      <c r="R459" s="76" t="n">
        <v>0.2215</v>
      </c>
      <c r="S459" s="76" t="n">
        <v>0.2215</v>
      </c>
      <c r="T459" s="76" t="n">
        <v>0.2215</v>
      </c>
      <c r="U459" s="76" t="n">
        <v>0.2215</v>
      </c>
      <c r="V459" s="76" t="n">
        <v>0.2215</v>
      </c>
      <c r="W459" s="76" t="n">
        <v>0.2215</v>
      </c>
      <c r="X459" s="76" t="n">
        <v>0.221</v>
      </c>
      <c r="Y459" s="76" t="n">
        <v>0.2205</v>
      </c>
      <c r="Z459" s="76" t="n">
        <v>0.2185</v>
      </c>
      <c r="AA459" s="76" t="n">
        <v>0.2165</v>
      </c>
      <c r="AB459" s="76" t="n">
        <v>0.215</v>
      </c>
      <c r="AC459" s="76" t="n">
        <v>0.2165</v>
      </c>
      <c r="AD459" s="76" t="n">
        <v>0.218</v>
      </c>
      <c r="AE459" s="76" t="n">
        <v>0.219</v>
      </c>
      <c r="AF459" s="76" t="n">
        <v>0.22</v>
      </c>
      <c r="AG459" s="76" t="n">
        <v>0.2215</v>
      </c>
      <c r="AH459" s="76" t="n">
        <v>0.2215</v>
      </c>
      <c r="AI459" s="76" t="n">
        <v>0.2215</v>
      </c>
      <c r="AJ459" s="76" t="n">
        <v>0.2215</v>
      </c>
      <c r="AK459" s="76" t="n">
        <v>0.2215</v>
      </c>
      <c r="AL459" s="76" t="n">
        <v>0.2215</v>
      </c>
      <c r="AM459" s="76" t="n">
        <v>0.2215</v>
      </c>
      <c r="AN459" s="76" t="n">
        <v>0.221</v>
      </c>
      <c r="AO459" s="76" t="n">
        <v>0.221</v>
      </c>
      <c r="AP459" s="76" t="n">
        <v>0.221</v>
      </c>
      <c r="AQ459" s="76" t="n">
        <v>0.221</v>
      </c>
      <c r="AR459" s="76" t="n">
        <v>0.2207560975609755</v>
      </c>
    </row>
    <row r="460">
      <c r="A460" s="76" t="inlineStr">
        <is>
          <t>NM</t>
        </is>
      </c>
      <c r="B460" s="76" t="inlineStr">
        <is>
          <t>Gas CCGT</t>
        </is>
      </c>
      <c r="C460" s="76" t="n">
        <v>0.3885</v>
      </c>
      <c r="D460" s="76" t="n">
        <v>0.4685</v>
      </c>
      <c r="E460" s="76" t="n">
        <v>0.5485</v>
      </c>
      <c r="F460" s="76" t="n">
        <v>0.4855</v>
      </c>
      <c r="G460" s="76" t="n">
        <v>0.4225</v>
      </c>
      <c r="H460" s="76" t="n">
        <v>0.587</v>
      </c>
      <c r="I460" s="76" t="n">
        <v>0.752</v>
      </c>
      <c r="J460" s="76" t="n">
        <v>0.7185</v>
      </c>
      <c r="K460" s="76" t="n">
        <v>0.6850000000000001</v>
      </c>
      <c r="L460" s="76" t="n">
        <v>0.7170000000000001</v>
      </c>
      <c r="M460" s="76" t="n">
        <v>0.749</v>
      </c>
      <c r="N460" s="76" t="n">
        <v>0.678</v>
      </c>
      <c r="O460" s="76" t="n">
        <v>0.6065</v>
      </c>
      <c r="P460" s="76" t="n">
        <v>0.578</v>
      </c>
      <c r="Q460" s="76" t="n">
        <v>0.5489999999999999</v>
      </c>
      <c r="R460" s="76" t="n">
        <v>0.44</v>
      </c>
      <c r="S460" s="76" t="n">
        <v>0.331</v>
      </c>
      <c r="T460" s="76" t="n">
        <v>0.244</v>
      </c>
      <c r="U460" s="76" t="n">
        <v>0.156</v>
      </c>
      <c r="V460" s="76" t="n">
        <v>0.1515</v>
      </c>
      <c r="W460" s="76" t="n">
        <v>0.1465</v>
      </c>
      <c r="X460" s="76" t="n">
        <v>0.1105</v>
      </c>
      <c r="Y460" s="76" t="n">
        <v>0.075</v>
      </c>
      <c r="Z460" s="76" t="n">
        <v>0.068</v>
      </c>
      <c r="AA460" s="76" t="n">
        <v>0.061</v>
      </c>
      <c r="AB460" s="76" t="n">
        <v>0.0535</v>
      </c>
      <c r="AC460" s="76" t="n">
        <v>0.0555</v>
      </c>
      <c r="AD460" s="76" t="n">
        <v>0.057</v>
      </c>
      <c r="AE460" s="76" t="n">
        <v>0.0585</v>
      </c>
      <c r="AF460" s="76" t="n">
        <v>0.061</v>
      </c>
      <c r="AG460" s="76" t="n">
        <v>0.0625</v>
      </c>
      <c r="AH460" s="76" t="n">
        <v>0.0635</v>
      </c>
      <c r="AI460" s="76" t="n">
        <v>0.064</v>
      </c>
      <c r="AJ460" s="76" t="n">
        <v>0.065</v>
      </c>
      <c r="AK460" s="76" t="n">
        <v>0.066</v>
      </c>
      <c r="AL460" s="76" t="n">
        <v>0.067</v>
      </c>
      <c r="AM460" s="76" t="n">
        <v>0.07000000000000001</v>
      </c>
      <c r="AN460" s="76" t="n">
        <v>0.073</v>
      </c>
      <c r="AO460" s="76" t="n">
        <v>0.076</v>
      </c>
      <c r="AP460" s="76" t="n">
        <v>0.079</v>
      </c>
      <c r="AQ460" s="76" t="n">
        <v>0.082</v>
      </c>
      <c r="AR460" s="76" t="n">
        <v>0.2870853658536587</v>
      </c>
    </row>
    <row r="461">
      <c r="A461" s="76" t="inlineStr">
        <is>
          <t>NM</t>
        </is>
      </c>
      <c r="B461" s="76" t="inlineStr">
        <is>
          <t>Gas CT</t>
        </is>
      </c>
      <c r="C461" s="76" t="n">
        <v>0.002</v>
      </c>
      <c r="D461" s="76" t="n">
        <v>0.0025</v>
      </c>
      <c r="E461" s="76" t="n">
        <v>0.0035</v>
      </c>
      <c r="F461" s="76" t="n">
        <v>0.003</v>
      </c>
      <c r="G461" s="76" t="n">
        <v>0.003</v>
      </c>
      <c r="H461" s="76" t="n">
        <v>0.0025</v>
      </c>
      <c r="I461" s="76" t="n">
        <v>0.002</v>
      </c>
      <c r="J461" s="76" t="n">
        <v>0.0025</v>
      </c>
      <c r="K461" s="76" t="n">
        <v>0.003</v>
      </c>
      <c r="L461" s="76" t="n">
        <v>0.0025</v>
      </c>
      <c r="M461" s="76" t="n">
        <v>0.002</v>
      </c>
      <c r="N461" s="76" t="n">
        <v>0.003</v>
      </c>
      <c r="O461" s="76" t="n">
        <v>0.004</v>
      </c>
      <c r="P461" s="76" t="n">
        <v>0.003</v>
      </c>
      <c r="Q461" s="76" t="n">
        <v>0.0025</v>
      </c>
      <c r="R461" s="76" t="n">
        <v>0.0015</v>
      </c>
      <c r="S461" s="76" t="n">
        <v>0</v>
      </c>
      <c r="T461" s="76" t="n">
        <v>0</v>
      </c>
      <c r="U461" s="76" t="n">
        <v>0</v>
      </c>
      <c r="V461" s="76" t="n">
        <v>0</v>
      </c>
      <c r="W461" s="76" t="n">
        <v>0</v>
      </c>
      <c r="X461" s="76" t="n">
        <v>0</v>
      </c>
      <c r="Y461" s="76" t="n">
        <v>0</v>
      </c>
      <c r="Z461" s="76" t="n">
        <v>0</v>
      </c>
      <c r="AA461" s="76" t="n">
        <v>0</v>
      </c>
      <c r="AB461" s="76" t="n">
        <v>0</v>
      </c>
      <c r="AC461" s="76" t="n">
        <v>0</v>
      </c>
      <c r="AD461" s="76" t="n">
        <v>0</v>
      </c>
      <c r="AE461" s="76" t="n">
        <v>0</v>
      </c>
      <c r="AF461" s="76" t="n">
        <v>0</v>
      </c>
      <c r="AG461" s="76" t="n">
        <v>0</v>
      </c>
      <c r="AH461" s="76" t="n">
        <v>0</v>
      </c>
      <c r="AI461" s="76" t="n">
        <v>0</v>
      </c>
      <c r="AJ461" s="76" t="n">
        <v>0</v>
      </c>
      <c r="AK461" s="76" t="n">
        <v>0</v>
      </c>
      <c r="AL461" s="76" t="n">
        <v>0</v>
      </c>
      <c r="AM461" s="76" t="n">
        <v>0</v>
      </c>
      <c r="AN461" s="76" t="n">
        <v>0</v>
      </c>
      <c r="AO461" s="76" t="n">
        <v>0</v>
      </c>
      <c r="AP461" s="76" t="n">
        <v>0</v>
      </c>
      <c r="AQ461" s="76" t="n">
        <v>0</v>
      </c>
      <c r="AR461" s="76" t="n">
        <v>0.001036585365853658</v>
      </c>
    </row>
    <row r="462">
      <c r="A462" s="76" t="inlineStr">
        <is>
          <t>NM</t>
        </is>
      </c>
      <c r="B462" s="76" t="inlineStr">
        <is>
          <t>Geothermal</t>
        </is>
      </c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  <c r="AA462" s="76" t="n"/>
      <c r="AB462" s="76" t="n"/>
      <c r="AC462" s="76" t="n"/>
      <c r="AD462" s="76" t="n"/>
      <c r="AE462" s="76" t="n"/>
      <c r="AF462" s="76" t="n"/>
      <c r="AG462" s="76" t="n"/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</row>
    <row r="463">
      <c r="A463" s="76" t="inlineStr">
        <is>
          <t>NM</t>
        </is>
      </c>
      <c r="B463" s="76" t="inlineStr">
        <is>
          <t>Hydro</t>
        </is>
      </c>
      <c r="C463" s="76" t="n">
        <v>0.325</v>
      </c>
      <c r="D463" s="76" t="n">
        <v>0.302</v>
      </c>
      <c r="E463" s="76" t="n">
        <v>0.278</v>
      </c>
      <c r="F463" s="76" t="n">
        <v>0.202</v>
      </c>
      <c r="G463" s="76" t="n">
        <v>0.127</v>
      </c>
      <c r="H463" s="76" t="n">
        <v>0.198</v>
      </c>
      <c r="I463" s="76" t="n">
        <v>0.27</v>
      </c>
      <c r="J463" s="76" t="n">
        <v>0.27</v>
      </c>
      <c r="K463" s="76" t="n">
        <v>0.27</v>
      </c>
      <c r="L463" s="76" t="n">
        <v>0.27</v>
      </c>
      <c r="M463" s="76" t="n">
        <v>0.27</v>
      </c>
      <c r="N463" s="76" t="n">
        <v>0.27</v>
      </c>
      <c r="O463" s="76" t="n">
        <v>0.27</v>
      </c>
      <c r="P463" s="76" t="n">
        <v>0.27</v>
      </c>
      <c r="Q463" s="76" t="n">
        <v>0.27</v>
      </c>
      <c r="R463" s="76" t="n">
        <v>0.27</v>
      </c>
      <c r="S463" s="76" t="n">
        <v>0.27</v>
      </c>
      <c r="T463" s="76" t="n">
        <v>0.27</v>
      </c>
      <c r="U463" s="76" t="n">
        <v>0.27</v>
      </c>
      <c r="V463" s="76" t="n">
        <v>0.331</v>
      </c>
      <c r="W463" s="76" t="n">
        <v>0.375</v>
      </c>
      <c r="X463" s="76" t="n">
        <v>0.375</v>
      </c>
      <c r="Y463" s="76" t="n">
        <v>0.375</v>
      </c>
      <c r="Z463" s="76" t="n">
        <v>0.375</v>
      </c>
      <c r="AA463" s="76" t="n">
        <v>0.375</v>
      </c>
      <c r="AB463" s="76" t="n">
        <v>0.375</v>
      </c>
      <c r="AC463" s="76" t="n">
        <v>0.375</v>
      </c>
      <c r="AD463" s="76" t="n">
        <v>0.375</v>
      </c>
      <c r="AE463" s="76" t="n">
        <v>0.375</v>
      </c>
      <c r="AF463" s="76" t="n">
        <v>0.375</v>
      </c>
      <c r="AG463" s="76" t="n">
        <v>0.375</v>
      </c>
      <c r="AH463" s="76" t="n">
        <v>0.375</v>
      </c>
      <c r="AI463" s="76" t="n">
        <v>0.375</v>
      </c>
      <c r="AJ463" s="76" t="n">
        <v>0.375</v>
      </c>
      <c r="AK463" s="76" t="n">
        <v>0.375</v>
      </c>
      <c r="AL463" s="76" t="n">
        <v>0.375</v>
      </c>
      <c r="AM463" s="76" t="n">
        <v>0.362</v>
      </c>
      <c r="AN463" s="76" t="n">
        <v>0.35</v>
      </c>
      <c r="AO463" s="76" t="n">
        <v>0.338</v>
      </c>
      <c r="AP463" s="76" t="n">
        <v>0.326</v>
      </c>
      <c r="AQ463" s="76" t="n">
        <v>0.314</v>
      </c>
      <c r="AR463" s="76" t="n">
        <v>0.3161707317073171</v>
      </c>
    </row>
    <row r="464">
      <c r="A464" s="76" t="inlineStr">
        <is>
          <t>NM</t>
        </is>
      </c>
      <c r="B464" s="76" t="inlineStr">
        <is>
          <t>Nuclear</t>
        </is>
      </c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  <c r="AA464" s="76" t="n"/>
      <c r="AB464" s="76" t="n"/>
      <c r="AC464" s="76" t="n"/>
      <c r="AD464" s="76" t="n"/>
      <c r="AE464" s="76" t="n"/>
      <c r="AF464" s="76" t="n"/>
      <c r="AG464" s="76" t="n"/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</row>
    <row r="465">
      <c r="A465" s="76" t="inlineStr">
        <is>
          <t>NM</t>
        </is>
      </c>
      <c r="B465" s="76" t="inlineStr">
        <is>
          <t>Other</t>
        </is>
      </c>
      <c r="C465" s="76" t="n">
        <v>0</v>
      </c>
      <c r="D465" s="76" t="n">
        <v>0</v>
      </c>
      <c r="E465" s="76" t="n">
        <v>0</v>
      </c>
      <c r="F465" s="76" t="n">
        <v>0</v>
      </c>
      <c r="G465" s="76" t="n">
        <v>0</v>
      </c>
      <c r="H465" s="76" t="n">
        <v>0.0245</v>
      </c>
      <c r="I465" s="76" t="n">
        <v>0.0495</v>
      </c>
      <c r="J465" s="76" t="n">
        <v>0.0245</v>
      </c>
      <c r="K465" s="76" t="n">
        <v>0</v>
      </c>
      <c r="L465" s="76" t="n">
        <v>0.017</v>
      </c>
      <c r="M465" s="76" t="n">
        <v>0.038</v>
      </c>
      <c r="N465" s="76" t="n">
        <v>0.019</v>
      </c>
      <c r="O465" s="76" t="n">
        <v>0</v>
      </c>
      <c r="P465" s="76" t="n">
        <v>0</v>
      </c>
      <c r="Q465" s="76" t="n">
        <v>0</v>
      </c>
      <c r="R465" s="76" t="n">
        <v>0</v>
      </c>
      <c r="S465" s="76" t="n">
        <v>0</v>
      </c>
      <c r="T465" s="76" t="n">
        <v>0</v>
      </c>
      <c r="U465" s="76" t="n">
        <v>0</v>
      </c>
      <c r="V465" s="76" t="n">
        <v>0</v>
      </c>
      <c r="W465" s="76" t="n">
        <v>0</v>
      </c>
      <c r="X465" s="76" t="n">
        <v>0</v>
      </c>
      <c r="Y465" s="76" t="n">
        <v>0</v>
      </c>
      <c r="Z465" s="76" t="n">
        <v>0</v>
      </c>
      <c r="AA465" s="76" t="n">
        <v>0</v>
      </c>
      <c r="AB465" s="76" t="n">
        <v>0</v>
      </c>
      <c r="AC465" s="76" t="n">
        <v>0</v>
      </c>
      <c r="AD465" s="76" t="n">
        <v>0</v>
      </c>
      <c r="AE465" s="76" t="n">
        <v>0</v>
      </c>
      <c r="AF465" s="76" t="n">
        <v>0</v>
      </c>
      <c r="AG465" s="76" t="n">
        <v>0</v>
      </c>
      <c r="AH465" s="76" t="n">
        <v>0</v>
      </c>
      <c r="AI465" s="76" t="n">
        <v>0</v>
      </c>
      <c r="AJ465" s="76" t="n">
        <v>0</v>
      </c>
      <c r="AK465" s="76" t="n">
        <v>0</v>
      </c>
      <c r="AL465" s="76" t="n">
        <v>0</v>
      </c>
      <c r="AM465" s="76" t="n">
        <v>0</v>
      </c>
      <c r="AN465" s="76" t="n">
        <v>0</v>
      </c>
      <c r="AO465" s="76" t="n">
        <v>0</v>
      </c>
      <c r="AP465" s="76" t="n">
        <v>0</v>
      </c>
      <c r="AQ465" s="76" t="n">
        <v>0</v>
      </c>
      <c r="AR465" s="76" t="n">
        <v>0.004207317073170731</v>
      </c>
    </row>
    <row r="466">
      <c r="A466" s="76" t="inlineStr">
        <is>
          <t>NM</t>
        </is>
      </c>
      <c r="B466" s="76" t="inlineStr">
        <is>
          <t>Utility PV</t>
        </is>
      </c>
      <c r="C466" s="76" t="n">
        <v>0.324</v>
      </c>
      <c r="D466" s="76" t="n">
        <v>0.3135</v>
      </c>
      <c r="E466" s="76" t="n">
        <v>0.3135</v>
      </c>
      <c r="F466" s="76" t="n">
        <v>0.3125</v>
      </c>
      <c r="G466" s="76" t="n">
        <v>0.311</v>
      </c>
      <c r="H466" s="76" t="n">
        <v>0.3135</v>
      </c>
      <c r="I466" s="76" t="n">
        <v>0.3135</v>
      </c>
      <c r="J466" s="76" t="n">
        <v>0.313</v>
      </c>
      <c r="K466" s="76" t="n">
        <v>0.3115</v>
      </c>
      <c r="L466" s="76" t="n">
        <v>0.311</v>
      </c>
      <c r="M466" s="76" t="n">
        <v>0.3095</v>
      </c>
      <c r="N466" s="76" t="n">
        <v>0.3115</v>
      </c>
      <c r="O466" s="76" t="n">
        <v>0.3105</v>
      </c>
      <c r="P466" s="76" t="n">
        <v>0.3095</v>
      </c>
      <c r="Q466" s="76" t="n">
        <v>0.3085</v>
      </c>
      <c r="R466" s="76" t="n">
        <v>0.307</v>
      </c>
      <c r="S466" s="76" t="n">
        <v>0.3055</v>
      </c>
      <c r="T466" s="76" t="n">
        <v>0.304</v>
      </c>
      <c r="U466" s="76" t="n">
        <v>0.302</v>
      </c>
      <c r="V466" s="76" t="n">
        <v>0.2835</v>
      </c>
      <c r="W466" s="76" t="n">
        <v>0.264</v>
      </c>
      <c r="X466" s="76" t="n">
        <v>0.2805</v>
      </c>
      <c r="Y466" s="76" t="n">
        <v>0.2965</v>
      </c>
      <c r="Z466" s="76" t="n">
        <v>0.295</v>
      </c>
      <c r="AA466" s="76" t="n">
        <v>0.2935</v>
      </c>
      <c r="AB466" s="76" t="n">
        <v>0.292</v>
      </c>
      <c r="AC466" s="76" t="n">
        <v>0.2905</v>
      </c>
      <c r="AD466" s="76" t="n">
        <v>0.289</v>
      </c>
      <c r="AE466" s="76" t="n">
        <v>0.2875</v>
      </c>
      <c r="AF466" s="76" t="n">
        <v>0.286</v>
      </c>
      <c r="AG466" s="76" t="n">
        <v>0.2845</v>
      </c>
      <c r="AH466" s="76" t="n">
        <v>0.2855</v>
      </c>
      <c r="AI466" s="76" t="n">
        <v>0.2865</v>
      </c>
      <c r="AJ466" s="76" t="n">
        <v>0.288</v>
      </c>
      <c r="AK466" s="76" t="n">
        <v>0.2895</v>
      </c>
      <c r="AL466" s="76" t="n">
        <v>0.2905</v>
      </c>
      <c r="AM466" s="76" t="n">
        <v>0.29</v>
      </c>
      <c r="AN466" s="76" t="n">
        <v>0.29</v>
      </c>
      <c r="AO466" s="76" t="n">
        <v>0.29</v>
      </c>
      <c r="AP466" s="76" t="n">
        <v>0.291</v>
      </c>
      <c r="AQ466" s="76" t="n">
        <v>0.292</v>
      </c>
      <c r="AR466" s="76" t="n">
        <v>0.2982345679012346</v>
      </c>
    </row>
    <row r="467">
      <c r="A467" s="76" t="inlineStr">
        <is>
          <t>NM</t>
        </is>
      </c>
      <c r="B467" s="76" t="inlineStr">
        <is>
          <t>Wind offshore</t>
        </is>
      </c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  <c r="AA467" s="76" t="n"/>
      <c r="AB467" s="76" t="n"/>
      <c r="AC467" s="76" t="n"/>
      <c r="AD467" s="76" t="n"/>
      <c r="AE467" s="76" t="n"/>
      <c r="AF467" s="76" t="n"/>
      <c r="AG467" s="76" t="n"/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</row>
    <row r="468">
      <c r="A468" s="76" t="inlineStr">
        <is>
          <t>NM</t>
        </is>
      </c>
      <c r="B468" s="76" t="inlineStr">
        <is>
          <t>Wind onshore</t>
        </is>
      </c>
      <c r="C468" s="76" t="n">
        <v>0.3085</v>
      </c>
      <c r="D468" s="76" t="n">
        <v>0.31</v>
      </c>
      <c r="E468" s="76" t="n">
        <v>0.312</v>
      </c>
      <c r="F468" s="76" t="n">
        <v>0.3135</v>
      </c>
      <c r="G468" s="76" t="n">
        <v>0.3155</v>
      </c>
      <c r="H468" s="76" t="n">
        <v>0.3245</v>
      </c>
      <c r="I468" s="76" t="n">
        <v>0.3305</v>
      </c>
      <c r="J468" s="76" t="n">
        <v>0.3495</v>
      </c>
      <c r="K468" s="76" t="n">
        <v>0.357</v>
      </c>
      <c r="L468" s="76" t="n">
        <v>0.377</v>
      </c>
      <c r="M468" s="76" t="n">
        <v>0.3895</v>
      </c>
      <c r="N468" s="76" t="n">
        <v>0.392</v>
      </c>
      <c r="O468" s="76" t="n">
        <v>0.3865</v>
      </c>
      <c r="P468" s="76" t="n">
        <v>0.3885</v>
      </c>
      <c r="Q468" s="76" t="n">
        <v>0.3905</v>
      </c>
      <c r="R468" s="76" t="n">
        <v>0.391</v>
      </c>
      <c r="S468" s="76" t="n">
        <v>0.392</v>
      </c>
      <c r="T468" s="76" t="n">
        <v>0.388</v>
      </c>
      <c r="U468" s="76" t="n">
        <v>0.3835</v>
      </c>
      <c r="V468" s="76" t="n">
        <v>0.3855</v>
      </c>
      <c r="W468" s="76" t="n">
        <v>0.387</v>
      </c>
      <c r="X468" s="76" t="n">
        <v>0.3765</v>
      </c>
      <c r="Y468" s="76" t="n">
        <v>0.3685</v>
      </c>
      <c r="Z468" s="76" t="n">
        <v>0.3705</v>
      </c>
      <c r="AA468" s="76" t="n">
        <v>0.3725</v>
      </c>
      <c r="AB468" s="76" t="n">
        <v>0.3745</v>
      </c>
      <c r="AC468" s="76" t="n">
        <v>0.377</v>
      </c>
      <c r="AD468" s="76" t="n">
        <v>0.3785</v>
      </c>
      <c r="AE468" s="76" t="n">
        <v>0.381</v>
      </c>
      <c r="AF468" s="76" t="n">
        <v>0.383</v>
      </c>
      <c r="AG468" s="76" t="n">
        <v>0.385</v>
      </c>
      <c r="AH468" s="76" t="n">
        <v>0.388</v>
      </c>
      <c r="AI468" s="76" t="n">
        <v>0.391</v>
      </c>
      <c r="AJ468" s="76" t="n">
        <v>0.3945</v>
      </c>
      <c r="AK468" s="76" t="n">
        <v>0.398</v>
      </c>
      <c r="AL468" s="76" t="n">
        <v>0.401</v>
      </c>
      <c r="AM468" s="76" t="n">
        <v>0.4005</v>
      </c>
      <c r="AN468" s="76" t="n">
        <v>0.4</v>
      </c>
      <c r="AO468" s="76" t="n">
        <v>0.3995</v>
      </c>
      <c r="AP468" s="76" t="n">
        <v>0.399</v>
      </c>
      <c r="AQ468" s="76" t="n">
        <v>0.3985</v>
      </c>
      <c r="AR468" s="76" t="n">
        <v>0.373390243902439</v>
      </c>
    </row>
    <row r="469">
      <c r="A469" s="76" t="inlineStr">
        <is>
          <t>NV</t>
        </is>
      </c>
      <c r="B469" s="76" t="inlineStr">
        <is>
          <t>NV</t>
        </is>
      </c>
      <c r="C469" s="76" t="n">
        <v>0.3088</v>
      </c>
      <c r="D469" s="76" t="n">
        <v>0.3303684210526316</v>
      </c>
      <c r="E469" s="76" t="n">
        <v>0.3467222222222222</v>
      </c>
      <c r="F469" s="76" t="n">
        <v>0.3525555555555556</v>
      </c>
      <c r="G469" s="76" t="n">
        <v>0.3588888888888889</v>
      </c>
      <c r="H469" s="76" t="n">
        <v>0.3435263157894737</v>
      </c>
      <c r="I469" s="76" t="n">
        <v>0.3110526315789474</v>
      </c>
      <c r="J469" s="76" t="n">
        <v>0.3164736842105264</v>
      </c>
      <c r="K469" s="76" t="n">
        <v>0.3343333333333334</v>
      </c>
      <c r="L469" s="76" t="n">
        <v>0.31105</v>
      </c>
      <c r="M469" s="76" t="n">
        <v>0.3019500000000001</v>
      </c>
      <c r="N469" s="76" t="n">
        <v>0.287</v>
      </c>
      <c r="O469" s="76" t="n">
        <v>0.2871428571428572</v>
      </c>
      <c r="P469" s="76" t="n">
        <v>0.2901904761904762</v>
      </c>
      <c r="Q469" s="76" t="n">
        <v>0.294952380952381</v>
      </c>
      <c r="R469" s="76" t="n">
        <v>0.2979047619047619</v>
      </c>
      <c r="S469" s="76" t="n">
        <v>0.3048571428571429</v>
      </c>
      <c r="T469" s="76" t="n">
        <v>0.2967619047619048</v>
      </c>
      <c r="U469" s="76" t="n">
        <v>0.2903333333333334</v>
      </c>
      <c r="V469" s="76" t="n">
        <v>0.2827142857142857</v>
      </c>
      <c r="W469" s="76" t="n">
        <v>0.2752380952380953</v>
      </c>
      <c r="X469" s="76" t="n">
        <v>0.2704761904761905</v>
      </c>
      <c r="Y469" s="76" t="n">
        <v>0.2656190476190476</v>
      </c>
      <c r="Z469" s="76" t="n">
        <v>0.264</v>
      </c>
      <c r="AA469" s="76" t="n">
        <v>0.2621428571428572</v>
      </c>
      <c r="AB469" s="76" t="n">
        <v>0.2398</v>
      </c>
      <c r="AC469" s="76" t="n">
        <v>0.2388</v>
      </c>
      <c r="AD469" s="76" t="n">
        <v>0.23765</v>
      </c>
      <c r="AE469" s="76" t="n">
        <v>0.2363</v>
      </c>
      <c r="AF469" s="76" t="n">
        <v>0.23505</v>
      </c>
      <c r="AG469" s="76" t="n">
        <v>0.2458421052631579</v>
      </c>
      <c r="AH469" s="76" t="n">
        <v>0.2467368421052631</v>
      </c>
      <c r="AI469" s="76" t="n">
        <v>0.2476842105263158</v>
      </c>
      <c r="AJ469" s="76" t="n">
        <v>0.2485263157894736</v>
      </c>
      <c r="AK469" s="76" t="n">
        <v>0.2493684210526315</v>
      </c>
      <c r="AL469" s="76" t="n">
        <v>0.2641111111111111</v>
      </c>
      <c r="AM469" s="76" t="n">
        <v>0.2623888888888889</v>
      </c>
      <c r="AN469" s="76" t="n">
        <v>0.2607222222222222</v>
      </c>
      <c r="AO469" s="76" t="n">
        <v>0.2591666666666667</v>
      </c>
      <c r="AP469" s="76" t="n">
        <v>0.2575555555555555</v>
      </c>
      <c r="AQ469" s="76" t="n">
        <v>0.245375</v>
      </c>
      <c r="AR469" s="76" t="n">
        <v>0.2815964912280701</v>
      </c>
    </row>
    <row r="470">
      <c r="A470" s="76" t="inlineStr">
        <is>
          <t>NV</t>
        </is>
      </c>
      <c r="B470" s="76" t="inlineStr">
        <is>
          <t>Battery</t>
        </is>
      </c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>
        <v>-0.003</v>
      </c>
      <c r="M470" s="76" t="n">
        <v>-0.003</v>
      </c>
      <c r="N470" s="76" t="n">
        <v>-0.009999999999999998</v>
      </c>
      <c r="O470" s="76" t="n">
        <v>-0.011</v>
      </c>
      <c r="P470" s="76" t="n">
        <v>-0.0145</v>
      </c>
      <c r="Q470" s="76" t="n">
        <v>-0.0155</v>
      </c>
      <c r="R470" s="76" t="n">
        <v>-0.0165</v>
      </c>
      <c r="S470" s="76" t="n">
        <v>-0.017</v>
      </c>
      <c r="T470" s="76" t="n">
        <v>-0.0295</v>
      </c>
      <c r="U470" s="76" t="n">
        <v>-0.0365</v>
      </c>
      <c r="V470" s="76" t="n">
        <v>-0.041</v>
      </c>
      <c r="W470" s="76" t="n">
        <v>-0.045</v>
      </c>
      <c r="X470" s="76" t="n">
        <v>-0.046</v>
      </c>
      <c r="Y470" s="76" t="n">
        <v>-0.0475</v>
      </c>
      <c r="Z470" s="76" t="n">
        <v>-0.046</v>
      </c>
      <c r="AA470" s="76" t="n">
        <v>-0.045</v>
      </c>
      <c r="AB470" s="76" t="n">
        <v>-0.0445</v>
      </c>
      <c r="AC470" s="76" t="n">
        <v>-0.05</v>
      </c>
      <c r="AD470" s="76" t="n">
        <v>-0.0525</v>
      </c>
      <c r="AE470" s="76" t="n">
        <v>-0.0545</v>
      </c>
      <c r="AF470" s="76" t="n">
        <v>-0.0555</v>
      </c>
      <c r="AG470" s="76" t="n">
        <v>-0.05649999999999999</v>
      </c>
      <c r="AH470" s="76" t="n">
        <v>-0.05499999999999999</v>
      </c>
      <c r="AI470" s="76" t="n">
        <v>-0.054</v>
      </c>
      <c r="AJ470" s="76" t="n">
        <v>-0.053</v>
      </c>
      <c r="AK470" s="76" t="n">
        <v>-0.052</v>
      </c>
      <c r="AL470" s="76" t="n">
        <v>-0.051</v>
      </c>
      <c r="AM470" s="76" t="n">
        <v>-0.052</v>
      </c>
      <c r="AN470" s="76" t="n">
        <v>-0.053</v>
      </c>
      <c r="AO470" s="76" t="n">
        <v>-0.053</v>
      </c>
      <c r="AP470" s="76" t="n">
        <v>-0.054</v>
      </c>
      <c r="AQ470" s="76" t="n">
        <v>-0.0545</v>
      </c>
      <c r="AR470" s="76" t="n">
        <v>-0.04093548387096773</v>
      </c>
    </row>
    <row r="471">
      <c r="A471" s="76" t="inlineStr">
        <is>
          <t>NV</t>
        </is>
      </c>
      <c r="B471" s="76" t="inlineStr">
        <is>
          <t>Biopower</t>
        </is>
      </c>
      <c r="C471" s="76" t="n"/>
      <c r="D471" s="76" t="n">
        <v>0.522</v>
      </c>
      <c r="E471" s="76" t="n">
        <v>0.522</v>
      </c>
      <c r="F471" s="76" t="n">
        <v>0.522</v>
      </c>
      <c r="G471" s="76" t="n">
        <v>0.522</v>
      </c>
      <c r="H471" s="76" t="n">
        <v>0.522</v>
      </c>
      <c r="I471" s="76" t="n">
        <v>0.522</v>
      </c>
      <c r="J471" s="76" t="n">
        <v>0.522</v>
      </c>
      <c r="K471" s="76" t="n">
        <v>0.522</v>
      </c>
      <c r="L471" s="76" t="n">
        <v>0.522</v>
      </c>
      <c r="M471" s="76" t="n">
        <v>0.522</v>
      </c>
      <c r="N471" s="76" t="n">
        <v>0.522</v>
      </c>
      <c r="O471" s="76" t="n">
        <v>0.522</v>
      </c>
      <c r="P471" s="76" t="n">
        <v>0.522</v>
      </c>
      <c r="Q471" s="76" t="n">
        <v>0.522</v>
      </c>
      <c r="R471" s="76" t="n">
        <v>0.522</v>
      </c>
      <c r="S471" s="76" t="n">
        <v>0.522</v>
      </c>
      <c r="T471" s="76" t="n">
        <v>0.522</v>
      </c>
      <c r="U471" s="76" t="n">
        <v>0.522</v>
      </c>
      <c r="V471" s="76" t="n">
        <v>0.522</v>
      </c>
      <c r="W471" s="76" t="n">
        <v>0.522</v>
      </c>
      <c r="X471" s="76" t="n">
        <v>0.522</v>
      </c>
      <c r="Y471" s="76" t="n">
        <v>0.522</v>
      </c>
      <c r="Z471" s="76" t="n">
        <v>0.518</v>
      </c>
      <c r="AA471" s="76" t="n">
        <v>0.5135000000000001</v>
      </c>
      <c r="AB471" s="76" t="n">
        <v>0.5095000000000001</v>
      </c>
      <c r="AC471" s="76" t="n">
        <v>0.4935</v>
      </c>
      <c r="AD471" s="76" t="n">
        <v>0.478</v>
      </c>
      <c r="AE471" s="76" t="n">
        <v>0.462</v>
      </c>
      <c r="AF471" s="76" t="n">
        <v>0.4465</v>
      </c>
      <c r="AG471" s="76" t="n">
        <v>0.431</v>
      </c>
      <c r="AH471" s="76" t="n">
        <v>0.423</v>
      </c>
      <c r="AI471" s="76" t="n">
        <v>0.416</v>
      </c>
      <c r="AJ471" s="76" t="n">
        <v>0.408</v>
      </c>
      <c r="AK471" s="76" t="n">
        <v>0.401</v>
      </c>
      <c r="AL471" s="76" t="n">
        <v>0.393</v>
      </c>
      <c r="AM471" s="76" t="n">
        <v>0.393</v>
      </c>
      <c r="AN471" s="76" t="n">
        <v>0.393</v>
      </c>
      <c r="AO471" s="76" t="n">
        <v>0.393</v>
      </c>
      <c r="AP471" s="76" t="n">
        <v>0.393</v>
      </c>
      <c r="AQ471" s="76" t="n">
        <v>0.393</v>
      </c>
      <c r="AR471" s="76" t="n">
        <v>0.48355</v>
      </c>
    </row>
    <row r="472">
      <c r="A472" s="76" t="inlineStr">
        <is>
          <t>NV</t>
        </is>
      </c>
      <c r="B472" s="76" t="inlineStr">
        <is>
          <t>Coal</t>
        </is>
      </c>
      <c r="C472" s="76" t="n">
        <v>0.846</v>
      </c>
      <c r="D472" s="76" t="n">
        <v>0.7805</v>
      </c>
      <c r="E472" s="76" t="n">
        <v>0.709</v>
      </c>
      <c r="F472" s="76" t="n">
        <v>0.7749999999999999</v>
      </c>
      <c r="G472" s="76" t="n">
        <v>0.846</v>
      </c>
      <c r="H472" s="76" t="n">
        <v>0.536</v>
      </c>
      <c r="I472" s="76" t="n">
        <v>0.2255</v>
      </c>
      <c r="J472" s="76" t="n">
        <v>0.3085</v>
      </c>
      <c r="K472" s="76" t="n">
        <v>0.6889999999999999</v>
      </c>
      <c r="L472" s="76" t="n">
        <v>0.468</v>
      </c>
      <c r="M472" s="76" t="n">
        <v>0.248</v>
      </c>
      <c r="N472" s="76" t="n">
        <v>0.361</v>
      </c>
      <c r="O472" s="76" t="n">
        <v>0.474</v>
      </c>
      <c r="P472" s="76" t="n">
        <v>0.523</v>
      </c>
      <c r="Q472" s="76" t="n">
        <v>0.6</v>
      </c>
      <c r="R472" s="76" t="n">
        <v>0.671</v>
      </c>
      <c r="S472" s="76" t="n">
        <v>0.825</v>
      </c>
      <c r="T472" s="76" t="n">
        <v>0.8159999999999999</v>
      </c>
      <c r="U472" s="76" t="n">
        <v>0.806</v>
      </c>
      <c r="V472" s="76" t="n">
        <v>0.768</v>
      </c>
      <c r="W472" s="76" t="n">
        <v>0.729</v>
      </c>
      <c r="X472" s="76" t="n">
        <v>0.699</v>
      </c>
      <c r="Y472" s="76" t="n">
        <v>0.668</v>
      </c>
      <c r="Z472" s="76" t="n">
        <v>0.668</v>
      </c>
      <c r="AA472" s="76" t="n">
        <v>0.668</v>
      </c>
      <c r="AB472" s="76" t="n"/>
      <c r="AC472" s="76" t="n"/>
      <c r="AD472" s="76" t="n"/>
      <c r="AE472" s="76" t="n"/>
      <c r="AF472" s="76" t="n"/>
      <c r="AG472" s="76" t="n"/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>
        <v>0.6283030303030303</v>
      </c>
    </row>
    <row r="473">
      <c r="A473" s="76" t="inlineStr">
        <is>
          <t>NV</t>
        </is>
      </c>
      <c r="B473" s="76" t="inlineStr">
        <is>
          <t>CSP</t>
        </is>
      </c>
      <c r="C473" s="76" t="n">
        <v>0</v>
      </c>
      <c r="D473" s="76" t="n">
        <v>0</v>
      </c>
      <c r="E473" s="76" t="n">
        <v>0</v>
      </c>
      <c r="F473" s="76" t="n">
        <v>0</v>
      </c>
      <c r="G473" s="76" t="n">
        <v>0</v>
      </c>
      <c r="H473" s="76" t="n">
        <v>0.341</v>
      </c>
      <c r="I473" s="76" t="n">
        <v>0.341</v>
      </c>
      <c r="J473" s="76" t="n">
        <v>0.341</v>
      </c>
      <c r="K473" s="76" t="n">
        <v>0.341</v>
      </c>
      <c r="L473" s="76" t="n">
        <v>0.341</v>
      </c>
      <c r="M473" s="76" t="n">
        <v>0.341</v>
      </c>
      <c r="N473" s="76" t="n">
        <v>0.341</v>
      </c>
      <c r="O473" s="76" t="n">
        <v>0.341</v>
      </c>
      <c r="P473" s="76" t="n">
        <v>0.341</v>
      </c>
      <c r="Q473" s="76" t="n">
        <v>0.341</v>
      </c>
      <c r="R473" s="76" t="n">
        <v>0.341</v>
      </c>
      <c r="S473" s="76" t="n">
        <v>0.341</v>
      </c>
      <c r="T473" s="76" t="n">
        <v>0.341</v>
      </c>
      <c r="U473" s="76" t="n">
        <v>0.341</v>
      </c>
      <c r="V473" s="76" t="n">
        <v>0.341</v>
      </c>
      <c r="W473" s="76" t="n">
        <v>0.341</v>
      </c>
      <c r="X473" s="76" t="n">
        <v>0.341</v>
      </c>
      <c r="Y473" s="76" t="n">
        <v>0.341</v>
      </c>
      <c r="Z473" s="76" t="n">
        <v>0.341</v>
      </c>
      <c r="AA473" s="76" t="n">
        <v>0.341</v>
      </c>
      <c r="AB473" s="76" t="n">
        <v>0.341</v>
      </c>
      <c r="AC473" s="76" t="n">
        <v>0.341</v>
      </c>
      <c r="AD473" s="76" t="n">
        <v>0.341</v>
      </c>
      <c r="AE473" s="76" t="n">
        <v>0.341</v>
      </c>
      <c r="AF473" s="76" t="n">
        <v>0.341</v>
      </c>
      <c r="AG473" s="76" t="n">
        <v>0.6820000000000001</v>
      </c>
      <c r="AH473" s="76" t="n">
        <v>0.6820000000000001</v>
      </c>
      <c r="AI473" s="76" t="n">
        <v>0.6820000000000001</v>
      </c>
      <c r="AJ473" s="76" t="n">
        <v>0.6820000000000001</v>
      </c>
      <c r="AK473" s="76" t="n">
        <v>0.6820000000000001</v>
      </c>
      <c r="AL473" s="76" t="n">
        <v>0.6820000000000001</v>
      </c>
      <c r="AM473" s="76" t="n">
        <v>0.6820000000000001</v>
      </c>
      <c r="AN473" s="76" t="n">
        <v>0.6820000000000001</v>
      </c>
      <c r="AO473" s="76" t="n">
        <v>0.6820000000000001</v>
      </c>
      <c r="AP473" s="76" t="n">
        <v>0.6820000000000001</v>
      </c>
      <c r="AQ473" s="76" t="n"/>
      <c r="AR473" s="76" t="n">
        <v>0.3672307692307691</v>
      </c>
    </row>
    <row r="474">
      <c r="A474" s="76" t="inlineStr">
        <is>
          <t>NV</t>
        </is>
      </c>
      <c r="B474" s="76" t="inlineStr">
        <is>
          <t>Dist PV</t>
        </is>
      </c>
      <c r="C474" s="76" t="n">
        <v>0.2205</v>
      </c>
      <c r="D474" s="76" t="n">
        <v>0.2205</v>
      </c>
      <c r="E474" s="76" t="n">
        <v>0.2205</v>
      </c>
      <c r="F474" s="76" t="n">
        <v>0.2205</v>
      </c>
      <c r="G474" s="76" t="n">
        <v>0.2205</v>
      </c>
      <c r="H474" s="76" t="n">
        <v>0.2205</v>
      </c>
      <c r="I474" s="76" t="n">
        <v>0.2205</v>
      </c>
      <c r="J474" s="76" t="n">
        <v>0.2205</v>
      </c>
      <c r="K474" s="76" t="n">
        <v>0.2205</v>
      </c>
      <c r="L474" s="76" t="n">
        <v>0.2205</v>
      </c>
      <c r="M474" s="76" t="n">
        <v>0.2205</v>
      </c>
      <c r="N474" s="76" t="n">
        <v>0.2205</v>
      </c>
      <c r="O474" s="76" t="n">
        <v>0.2205</v>
      </c>
      <c r="P474" s="76" t="n">
        <v>0.2205</v>
      </c>
      <c r="Q474" s="76" t="n">
        <v>0.2205</v>
      </c>
      <c r="R474" s="76" t="n">
        <v>0.2205</v>
      </c>
      <c r="S474" s="76" t="n">
        <v>0.2205</v>
      </c>
      <c r="T474" s="76" t="n">
        <v>0.2155</v>
      </c>
      <c r="U474" s="76" t="n">
        <v>0.2105</v>
      </c>
      <c r="V474" s="76" t="n">
        <v>0.1605</v>
      </c>
      <c r="W474" s="76" t="n">
        <v>0.1115</v>
      </c>
      <c r="X474" s="76" t="n">
        <v>0.1245</v>
      </c>
      <c r="Y474" s="76" t="n">
        <v>0.1375</v>
      </c>
      <c r="Z474" s="76" t="n">
        <v>0.142</v>
      </c>
      <c r="AA474" s="76" t="n">
        <v>0.146</v>
      </c>
      <c r="AB474" s="76" t="n">
        <v>0.1505</v>
      </c>
      <c r="AC474" s="76" t="n">
        <v>0.1565</v>
      </c>
      <c r="AD474" s="76" t="n">
        <v>0.162</v>
      </c>
      <c r="AE474" s="76" t="n">
        <v>0.1675</v>
      </c>
      <c r="AF474" s="76" t="n">
        <v>0.173</v>
      </c>
      <c r="AG474" s="76" t="n">
        <v>0.1785</v>
      </c>
      <c r="AH474" s="76" t="n">
        <v>0.1865</v>
      </c>
      <c r="AI474" s="76" t="n">
        <v>0.195</v>
      </c>
      <c r="AJ474" s="76" t="n">
        <v>0.203</v>
      </c>
      <c r="AK474" s="76" t="n">
        <v>0.211</v>
      </c>
      <c r="AL474" s="76" t="n">
        <v>0.2185</v>
      </c>
      <c r="AM474" s="76" t="n">
        <v>0.219</v>
      </c>
      <c r="AN474" s="76" t="n">
        <v>0.2195</v>
      </c>
      <c r="AO474" s="76" t="n">
        <v>0.22</v>
      </c>
      <c r="AP474" s="76" t="n">
        <v>0.22</v>
      </c>
      <c r="AQ474" s="76" t="n">
        <v>0.2205</v>
      </c>
      <c r="AR474" s="76" t="n">
        <v>0.1975</v>
      </c>
    </row>
    <row r="475">
      <c r="A475" s="76" t="inlineStr">
        <is>
          <t>NV</t>
        </is>
      </c>
      <c r="B475" s="76" t="inlineStr">
        <is>
          <t>Gas CCGT</t>
        </is>
      </c>
      <c r="C475" s="76" t="n">
        <v>0.303</v>
      </c>
      <c r="D475" s="76" t="n">
        <v>0.331</v>
      </c>
      <c r="E475" s="76" t="n">
        <v>0.355</v>
      </c>
      <c r="F475" s="76" t="n">
        <v>0.3885</v>
      </c>
      <c r="G475" s="76" t="n">
        <v>0.421</v>
      </c>
      <c r="H475" s="76" t="n">
        <v>0.417</v>
      </c>
      <c r="I475" s="76" t="n">
        <v>0.413</v>
      </c>
      <c r="J475" s="76" t="n">
        <v>0.38</v>
      </c>
      <c r="K475" s="76" t="n">
        <v>0.347</v>
      </c>
      <c r="L475" s="76" t="n">
        <v>0.3655</v>
      </c>
      <c r="M475" s="76" t="n">
        <v>0.3845</v>
      </c>
      <c r="N475" s="76" t="n">
        <v>0.332</v>
      </c>
      <c r="O475" s="76" t="n">
        <v>0.279</v>
      </c>
      <c r="P475" s="76" t="n">
        <v>0.293</v>
      </c>
      <c r="Q475" s="76" t="n">
        <v>0.3065</v>
      </c>
      <c r="R475" s="76" t="n">
        <v>0.3025</v>
      </c>
      <c r="S475" s="76" t="n">
        <v>0.298</v>
      </c>
      <c r="T475" s="76" t="n">
        <v>0.2685</v>
      </c>
      <c r="U475" s="76" t="n">
        <v>0.239</v>
      </c>
      <c r="V475" s="76" t="n">
        <v>0.234</v>
      </c>
      <c r="W475" s="76" t="n">
        <v>0.229</v>
      </c>
      <c r="X475" s="76" t="n">
        <v>0.1915</v>
      </c>
      <c r="Y475" s="76" t="n">
        <v>0.154</v>
      </c>
      <c r="Z475" s="76" t="n">
        <v>0.139</v>
      </c>
      <c r="AA475" s="76" t="n">
        <v>0.123</v>
      </c>
      <c r="AB475" s="76" t="n">
        <v>0.107</v>
      </c>
      <c r="AC475" s="76" t="n">
        <v>0.103</v>
      </c>
      <c r="AD475" s="76" t="n">
        <v>0.0985</v>
      </c>
      <c r="AE475" s="76" t="n">
        <v>0.094</v>
      </c>
      <c r="AF475" s="76" t="n">
        <v>0.08950000000000001</v>
      </c>
      <c r="AG475" s="76" t="n">
        <v>0.08450000000000001</v>
      </c>
      <c r="AH475" s="76" t="n">
        <v>0.083</v>
      </c>
      <c r="AI475" s="76" t="n">
        <v>0.081</v>
      </c>
      <c r="AJ475" s="76" t="n">
        <v>0.0795</v>
      </c>
      <c r="AK475" s="76" t="n">
        <v>0.0775</v>
      </c>
      <c r="AL475" s="76" t="n">
        <v>0.0765</v>
      </c>
      <c r="AM475" s="76" t="n">
        <v>0.076</v>
      </c>
      <c r="AN475" s="76" t="n">
        <v>0.0755</v>
      </c>
      <c r="AO475" s="76" t="n">
        <v>0.0755</v>
      </c>
      <c r="AP475" s="76" t="n">
        <v>0.075</v>
      </c>
      <c r="AQ475" s="76" t="n">
        <v>0.075</v>
      </c>
      <c r="AR475" s="76" t="n">
        <v>0.2157439024390244</v>
      </c>
    </row>
    <row r="476">
      <c r="A476" s="76" t="inlineStr">
        <is>
          <t>NV</t>
        </is>
      </c>
      <c r="B476" s="76" t="inlineStr">
        <is>
          <t>Gas CT</t>
        </is>
      </c>
      <c r="C476" s="76" t="n">
        <v>0</v>
      </c>
      <c r="D476" s="76" t="n">
        <v>0</v>
      </c>
      <c r="E476" s="76" t="n">
        <v>0</v>
      </c>
      <c r="F476" s="76" t="n">
        <v>0</v>
      </c>
      <c r="G476" s="76" t="n">
        <v>0</v>
      </c>
      <c r="H476" s="76" t="n">
        <v>0</v>
      </c>
      <c r="I476" s="76" t="n">
        <v>0</v>
      </c>
      <c r="J476" s="76" t="n">
        <v>0</v>
      </c>
      <c r="K476" s="76" t="n">
        <v>0</v>
      </c>
      <c r="L476" s="76" t="n">
        <v>0</v>
      </c>
      <c r="M476" s="76" t="n">
        <v>0</v>
      </c>
      <c r="N476" s="76" t="n">
        <v>0</v>
      </c>
      <c r="O476" s="76" t="n">
        <v>0</v>
      </c>
      <c r="P476" s="76" t="n">
        <v>0</v>
      </c>
      <c r="Q476" s="76" t="n">
        <v>0</v>
      </c>
      <c r="R476" s="76" t="n">
        <v>0</v>
      </c>
      <c r="S476" s="76" t="n">
        <v>0</v>
      </c>
      <c r="T476" s="76" t="n">
        <v>0</v>
      </c>
      <c r="U476" s="76" t="n">
        <v>0</v>
      </c>
      <c r="V476" s="76" t="n">
        <v>0</v>
      </c>
      <c r="W476" s="76" t="n">
        <v>0</v>
      </c>
      <c r="X476" s="76" t="n">
        <v>0</v>
      </c>
      <c r="Y476" s="76" t="n">
        <v>0</v>
      </c>
      <c r="Z476" s="76" t="n">
        <v>0</v>
      </c>
      <c r="AA476" s="76" t="n">
        <v>0</v>
      </c>
      <c r="AB476" s="76" t="n">
        <v>0</v>
      </c>
      <c r="AC476" s="76" t="n">
        <v>0</v>
      </c>
      <c r="AD476" s="76" t="n">
        <v>0</v>
      </c>
      <c r="AE476" s="76" t="n">
        <v>0</v>
      </c>
      <c r="AF476" s="76" t="n">
        <v>0</v>
      </c>
      <c r="AG476" s="76" t="n">
        <v>0</v>
      </c>
      <c r="AH476" s="76" t="n">
        <v>0</v>
      </c>
      <c r="AI476" s="76" t="n">
        <v>0</v>
      </c>
      <c r="AJ476" s="76" t="n">
        <v>0</v>
      </c>
      <c r="AK476" s="76" t="n">
        <v>0</v>
      </c>
      <c r="AL476" s="76" t="n">
        <v>0</v>
      </c>
      <c r="AM476" s="76" t="n">
        <v>0</v>
      </c>
      <c r="AN476" s="76" t="n">
        <v>0</v>
      </c>
      <c r="AO476" s="76" t="n">
        <v>0</v>
      </c>
      <c r="AP476" s="76" t="n">
        <v>0</v>
      </c>
      <c r="AQ476" s="76" t="n">
        <v>0</v>
      </c>
      <c r="AR476" s="76" t="n">
        <v>0</v>
      </c>
    </row>
    <row r="477">
      <c r="A477" s="76" t="inlineStr">
        <is>
          <t>NV</t>
        </is>
      </c>
      <c r="B477" s="76" t="inlineStr">
        <is>
          <t>Geothermal</t>
        </is>
      </c>
      <c r="C477" s="76" t="n">
        <v>0.75</v>
      </c>
      <c r="D477" s="76" t="n">
        <v>0.75</v>
      </c>
      <c r="E477" s="76" t="n">
        <v>0.75</v>
      </c>
      <c r="F477" s="76" t="n">
        <v>0.75</v>
      </c>
      <c r="G477" s="76" t="n">
        <v>0.75</v>
      </c>
      <c r="H477" s="76" t="n">
        <v>0.75</v>
      </c>
      <c r="I477" s="76" t="n">
        <v>0.75</v>
      </c>
      <c r="J477" s="76" t="n">
        <v>0.75</v>
      </c>
      <c r="K477" s="76" t="n">
        <v>0.75</v>
      </c>
      <c r="L477" s="76" t="n">
        <v>0.75</v>
      </c>
      <c r="M477" s="76" t="n">
        <v>0.75</v>
      </c>
      <c r="N477" s="76" t="n">
        <v>0.75</v>
      </c>
      <c r="O477" s="76" t="n">
        <v>0.75</v>
      </c>
      <c r="P477" s="76" t="n">
        <v>0.75</v>
      </c>
      <c r="Q477" s="76" t="n">
        <v>0.75</v>
      </c>
      <c r="R477" s="76" t="n">
        <v>0.75</v>
      </c>
      <c r="S477" s="76" t="n">
        <v>0.75</v>
      </c>
      <c r="T477" s="76" t="n">
        <v>0.75</v>
      </c>
      <c r="U477" s="76" t="n">
        <v>0.75</v>
      </c>
      <c r="V477" s="76" t="n">
        <v>0.75</v>
      </c>
      <c r="W477" s="76" t="n">
        <v>0.75</v>
      </c>
      <c r="X477" s="76" t="n">
        <v>0.75</v>
      </c>
      <c r="Y477" s="76" t="n">
        <v>0.75</v>
      </c>
      <c r="Z477" s="76" t="n">
        <v>0.75</v>
      </c>
      <c r="AA477" s="76" t="n">
        <v>0.75</v>
      </c>
      <c r="AB477" s="76" t="n">
        <v>0.749</v>
      </c>
      <c r="AC477" s="76" t="n">
        <v>0.75</v>
      </c>
      <c r="AD477" s="76" t="n">
        <v>0.75</v>
      </c>
      <c r="AE477" s="76" t="n">
        <v>0.75</v>
      </c>
      <c r="AF477" s="76" t="n">
        <v>0.75</v>
      </c>
      <c r="AG477" s="76" t="n">
        <v>0.75</v>
      </c>
      <c r="AH477" s="76" t="n">
        <v>0.75</v>
      </c>
      <c r="AI477" s="76" t="n">
        <v>0.75</v>
      </c>
      <c r="AJ477" s="76" t="n">
        <v>0.75</v>
      </c>
      <c r="AK477" s="76" t="n">
        <v>0.75</v>
      </c>
      <c r="AL477" s="76" t="n">
        <v>0.75</v>
      </c>
      <c r="AM477" s="76" t="n">
        <v>0.75</v>
      </c>
      <c r="AN477" s="76" t="n">
        <v>0.75</v>
      </c>
      <c r="AO477" s="76" t="n">
        <v>0.75</v>
      </c>
      <c r="AP477" s="76" t="n">
        <v>0.75</v>
      </c>
      <c r="AQ477" s="76" t="n">
        <v>0.75</v>
      </c>
      <c r="AR477" s="76" t="n">
        <v>0.7499756097560976</v>
      </c>
    </row>
    <row r="478">
      <c r="A478" s="76" t="inlineStr">
        <is>
          <t>NV</t>
        </is>
      </c>
      <c r="B478" s="76" t="inlineStr">
        <is>
          <t>Hydro</t>
        </is>
      </c>
      <c r="C478" s="76" t="n">
        <v>0.4205</v>
      </c>
      <c r="D478" s="76" t="n">
        <v>0.45</v>
      </c>
      <c r="E478" s="76" t="n">
        <v>0.4795</v>
      </c>
      <c r="F478" s="76" t="n">
        <v>0.4335</v>
      </c>
      <c r="G478" s="76" t="n">
        <v>0.388</v>
      </c>
      <c r="H478" s="76" t="n">
        <v>0.395</v>
      </c>
      <c r="I478" s="76" t="n">
        <v>0.402</v>
      </c>
      <c r="J478" s="76" t="n">
        <v>0.402</v>
      </c>
      <c r="K478" s="76" t="n">
        <v>0.402</v>
      </c>
      <c r="L478" s="76" t="n">
        <v>0.402</v>
      </c>
      <c r="M478" s="76" t="n">
        <v>0.402</v>
      </c>
      <c r="N478" s="76" t="n">
        <v>0.402</v>
      </c>
      <c r="O478" s="76" t="n">
        <v>0.402</v>
      </c>
      <c r="P478" s="76" t="n">
        <v>0.402</v>
      </c>
      <c r="Q478" s="76" t="n">
        <v>0.402</v>
      </c>
      <c r="R478" s="76" t="n">
        <v>0.402</v>
      </c>
      <c r="S478" s="76" t="n">
        <v>0.402</v>
      </c>
      <c r="T478" s="76" t="n">
        <v>0.402</v>
      </c>
      <c r="U478" s="76" t="n">
        <v>0.402</v>
      </c>
      <c r="V478" s="76" t="n">
        <v>0.402</v>
      </c>
      <c r="W478" s="76" t="n">
        <v>0.402</v>
      </c>
      <c r="X478" s="76" t="n">
        <v>0.402</v>
      </c>
      <c r="Y478" s="76" t="n">
        <v>0.402</v>
      </c>
      <c r="Z478" s="76" t="n">
        <v>0.402</v>
      </c>
      <c r="AA478" s="76" t="n">
        <v>0.402</v>
      </c>
      <c r="AB478" s="76" t="n">
        <v>0.402</v>
      </c>
      <c r="AC478" s="76" t="n">
        <v>0.402</v>
      </c>
      <c r="AD478" s="76" t="n">
        <v>0.402</v>
      </c>
      <c r="AE478" s="76" t="n">
        <v>0.402</v>
      </c>
      <c r="AF478" s="76" t="n">
        <v>0.402</v>
      </c>
      <c r="AG478" s="76" t="n">
        <v>0.402</v>
      </c>
      <c r="AH478" s="76" t="n">
        <v>0.402</v>
      </c>
      <c r="AI478" s="76" t="n">
        <v>0.402</v>
      </c>
      <c r="AJ478" s="76" t="n">
        <v>0.402</v>
      </c>
      <c r="AK478" s="76" t="n">
        <v>0.402</v>
      </c>
      <c r="AL478" s="76" t="n">
        <v>0.402</v>
      </c>
      <c r="AM478" s="76" t="n">
        <v>0.3945</v>
      </c>
      <c r="AN478" s="76" t="n">
        <v>0.387</v>
      </c>
      <c r="AO478" s="76" t="n">
        <v>0.3795</v>
      </c>
      <c r="AP478" s="76" t="n">
        <v>0.372</v>
      </c>
      <c r="AQ478" s="76" t="n">
        <v>0.3645</v>
      </c>
      <c r="AR478" s="76" t="n">
        <v>0.4030243902439024</v>
      </c>
    </row>
    <row r="479">
      <c r="A479" s="76" t="inlineStr">
        <is>
          <t>NV</t>
        </is>
      </c>
      <c r="B479" s="76" t="inlineStr">
        <is>
          <t>Nuclear</t>
        </is>
      </c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  <c r="AA479" s="76" t="n"/>
      <c r="AB479" s="76" t="n"/>
      <c r="AC479" s="76" t="n"/>
      <c r="AD479" s="76" t="n"/>
      <c r="AE479" s="76" t="n"/>
      <c r="AF479" s="76" t="n"/>
      <c r="AG479" s="76" t="n"/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</row>
    <row r="480">
      <c r="A480" s="76" t="inlineStr">
        <is>
          <t>NV</t>
        </is>
      </c>
      <c r="B480" s="76" t="inlineStr">
        <is>
          <t>Other</t>
        </is>
      </c>
      <c r="C480" s="76" t="n">
        <v>0</v>
      </c>
      <c r="D480" s="76" t="n">
        <v>0</v>
      </c>
      <c r="E480" s="76" t="n">
        <v>0</v>
      </c>
      <c r="F480" s="76" t="n">
        <v>0</v>
      </c>
      <c r="G480" s="76" t="n">
        <v>0</v>
      </c>
      <c r="H480" s="76" t="n">
        <v>0</v>
      </c>
      <c r="I480" s="76" t="n">
        <v>0</v>
      </c>
      <c r="J480" s="76" t="n">
        <v>0</v>
      </c>
      <c r="K480" s="76" t="n">
        <v>0</v>
      </c>
      <c r="L480" s="76" t="n">
        <v>0</v>
      </c>
      <c r="M480" s="76" t="n">
        <v>0</v>
      </c>
      <c r="N480" s="76" t="n">
        <v>0</v>
      </c>
      <c r="O480" s="76" t="n">
        <v>0</v>
      </c>
      <c r="P480" s="76" t="n">
        <v>0</v>
      </c>
      <c r="Q480" s="76" t="n">
        <v>0</v>
      </c>
      <c r="R480" s="76" t="n">
        <v>0</v>
      </c>
      <c r="S480" s="76" t="n">
        <v>0</v>
      </c>
      <c r="T480" s="76" t="n">
        <v>0</v>
      </c>
      <c r="U480" s="76" t="n">
        <v>0</v>
      </c>
      <c r="V480" s="76" t="n">
        <v>0</v>
      </c>
      <c r="W480" s="76" t="n">
        <v>0</v>
      </c>
      <c r="X480" s="76" t="n">
        <v>0</v>
      </c>
      <c r="Y480" s="76" t="n">
        <v>0</v>
      </c>
      <c r="Z480" s="76" t="n">
        <v>0</v>
      </c>
      <c r="AA480" s="76" t="n">
        <v>0</v>
      </c>
      <c r="AB480" s="76" t="n">
        <v>0</v>
      </c>
      <c r="AC480" s="76" t="n">
        <v>0</v>
      </c>
      <c r="AD480" s="76" t="n">
        <v>0</v>
      </c>
      <c r="AE480" s="76" t="n">
        <v>0</v>
      </c>
      <c r="AF480" s="76" t="n">
        <v>0</v>
      </c>
      <c r="AG480" s="76" t="n">
        <v>0</v>
      </c>
      <c r="AH480" s="76" t="n">
        <v>0</v>
      </c>
      <c r="AI480" s="76" t="n">
        <v>0</v>
      </c>
      <c r="AJ480" s="76" t="n">
        <v>0</v>
      </c>
      <c r="AK480" s="76" t="n">
        <v>0</v>
      </c>
      <c r="AL480" s="76" t="n">
        <v>0</v>
      </c>
      <c r="AM480" s="76" t="n">
        <v>0</v>
      </c>
      <c r="AN480" s="76" t="n">
        <v>0</v>
      </c>
      <c r="AO480" s="76" t="n">
        <v>0</v>
      </c>
      <c r="AP480" s="76" t="n">
        <v>0</v>
      </c>
      <c r="AQ480" s="76" t="n"/>
      <c r="AR480" s="76" t="n">
        <v>0</v>
      </c>
    </row>
    <row r="481">
      <c r="A481" s="76" t="inlineStr">
        <is>
          <t>NV</t>
        </is>
      </c>
      <c r="B481" s="76" t="inlineStr">
        <is>
          <t>Utility PV</t>
        </is>
      </c>
      <c r="C481" s="76" t="n">
        <v>0.302</v>
      </c>
      <c r="D481" s="76" t="n">
        <v>0.306</v>
      </c>
      <c r="E481" s="76" t="n">
        <v>0.306</v>
      </c>
      <c r="F481" s="76" t="n">
        <v>0.305</v>
      </c>
      <c r="G481" s="76" t="n">
        <v>0.304</v>
      </c>
      <c r="H481" s="76" t="n">
        <v>0.3035</v>
      </c>
      <c r="I481" s="76" t="n">
        <v>0.3025</v>
      </c>
      <c r="J481" s="76" t="n">
        <v>0.304</v>
      </c>
      <c r="K481" s="76" t="n">
        <v>0.3035</v>
      </c>
      <c r="L481" s="76" t="n">
        <v>0.303</v>
      </c>
      <c r="M481" s="76" t="n">
        <v>0.303</v>
      </c>
      <c r="N481" s="76" t="n">
        <v>0.3015</v>
      </c>
      <c r="O481" s="76" t="n">
        <v>0.3005</v>
      </c>
      <c r="P481" s="76" t="n">
        <v>0.2975</v>
      </c>
      <c r="Q481" s="76" t="n">
        <v>0.2965</v>
      </c>
      <c r="R481" s="76" t="n">
        <v>0.2955</v>
      </c>
      <c r="S481" s="76" t="n">
        <v>0.2955</v>
      </c>
      <c r="T481" s="76" t="n">
        <v>0.292</v>
      </c>
      <c r="U481" s="76" t="n">
        <v>0.29</v>
      </c>
      <c r="V481" s="76" t="n">
        <v>0.2895</v>
      </c>
      <c r="W481" s="76" t="n">
        <v>0.289</v>
      </c>
      <c r="X481" s="76" t="n">
        <v>0.2865</v>
      </c>
      <c r="Y481" s="76" t="n">
        <v>0.2845</v>
      </c>
      <c r="Z481" s="76" t="n">
        <v>0.281</v>
      </c>
      <c r="AA481" s="76" t="n">
        <v>0.278</v>
      </c>
      <c r="AB481" s="76" t="n">
        <v>0.2745</v>
      </c>
      <c r="AC481" s="76" t="n">
        <v>0.2745</v>
      </c>
      <c r="AD481" s="76" t="n">
        <v>0.274</v>
      </c>
      <c r="AE481" s="76" t="n">
        <v>0.2735</v>
      </c>
      <c r="AF481" s="76" t="n">
        <v>0.2735</v>
      </c>
      <c r="AG481" s="76" t="n">
        <v>0.273</v>
      </c>
      <c r="AH481" s="76" t="n">
        <v>0.2735</v>
      </c>
      <c r="AI481" s="76" t="n">
        <v>0.2735</v>
      </c>
      <c r="AJ481" s="76" t="n">
        <v>0.274</v>
      </c>
      <c r="AK481" s="76" t="n">
        <v>0.274</v>
      </c>
      <c r="AL481" s="76" t="n">
        <v>0.274</v>
      </c>
      <c r="AM481" s="76" t="n">
        <v>0.2735</v>
      </c>
      <c r="AN481" s="76" t="n">
        <v>0.2725</v>
      </c>
      <c r="AO481" s="76" t="n">
        <v>0.272</v>
      </c>
      <c r="AP481" s="76" t="n">
        <v>0.2725</v>
      </c>
      <c r="AQ481" s="76" t="n">
        <v>0.272</v>
      </c>
      <c r="AR481" s="76" t="n">
        <v>0.2874938271604937</v>
      </c>
    </row>
    <row r="482">
      <c r="A482" s="76" t="inlineStr">
        <is>
          <t>NV</t>
        </is>
      </c>
      <c r="B482" s="76" t="inlineStr">
        <is>
          <t>Wind offshore</t>
        </is>
      </c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  <c r="AA482" s="76" t="n"/>
      <c r="AB482" s="76" t="n"/>
      <c r="AC482" s="76" t="n"/>
      <c r="AD482" s="76" t="n"/>
      <c r="AE482" s="76" t="n"/>
      <c r="AF482" s="76" t="n"/>
      <c r="AG482" s="76" t="n"/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</row>
    <row r="483">
      <c r="A483" s="76" t="inlineStr">
        <is>
          <t>NV</t>
        </is>
      </c>
      <c r="B483" s="76" t="inlineStr">
        <is>
          <t>Wind onshore</t>
        </is>
      </c>
      <c r="C483" s="76" t="n"/>
      <c r="D483" s="76" t="n">
        <v>0.307</v>
      </c>
      <c r="E483" s="76" t="n">
        <v>0.307</v>
      </c>
      <c r="F483" s="76" t="n">
        <v>0.307</v>
      </c>
      <c r="G483" s="76" t="n">
        <v>0.307</v>
      </c>
      <c r="H483" s="76" t="n">
        <v>0.307</v>
      </c>
      <c r="I483" s="76" t="n">
        <v>0.307</v>
      </c>
      <c r="J483" s="76" t="n">
        <v>0.307</v>
      </c>
      <c r="K483" s="76" t="n">
        <v>0.307</v>
      </c>
      <c r="L483" s="76" t="n">
        <v>0.349</v>
      </c>
      <c r="M483" s="76" t="n">
        <v>0.349</v>
      </c>
      <c r="N483" s="76" t="n">
        <v>0.349</v>
      </c>
      <c r="O483" s="76" t="n">
        <v>0.349</v>
      </c>
      <c r="P483" s="76" t="n">
        <v>0.349</v>
      </c>
      <c r="Q483" s="76" t="n">
        <v>0.349</v>
      </c>
      <c r="R483" s="76" t="n">
        <v>0.3505</v>
      </c>
      <c r="S483" s="76" t="n">
        <v>0.3515</v>
      </c>
      <c r="T483" s="76" t="n">
        <v>0.3215</v>
      </c>
      <c r="U483" s="76" t="n">
        <v>0.3025</v>
      </c>
      <c r="V483" s="76" t="n">
        <v>0.3015</v>
      </c>
      <c r="W483" s="76" t="n">
        <v>0.301</v>
      </c>
      <c r="X483" s="76" t="n">
        <v>0.294</v>
      </c>
      <c r="Y483" s="76" t="n">
        <v>0.2865</v>
      </c>
      <c r="Z483" s="76" t="n">
        <v>0.286</v>
      </c>
      <c r="AA483" s="76" t="n">
        <v>0.285</v>
      </c>
      <c r="AB483" s="76" t="n">
        <v>0.2835</v>
      </c>
      <c r="AC483" s="76" t="n">
        <v>0.2925</v>
      </c>
      <c r="AD483" s="76" t="n">
        <v>0.2985</v>
      </c>
      <c r="AE483" s="76" t="n">
        <v>0.3025</v>
      </c>
      <c r="AF483" s="76" t="n">
        <v>0.3055</v>
      </c>
      <c r="AG483" s="76" t="n">
        <v>0.307</v>
      </c>
      <c r="AH483" s="76" t="n">
        <v>0.315</v>
      </c>
      <c r="AI483" s="76" t="n">
        <v>0.3235</v>
      </c>
      <c r="AJ483" s="76" t="n">
        <v>0.3315</v>
      </c>
      <c r="AK483" s="76" t="n">
        <v>0.3395</v>
      </c>
      <c r="AL483" s="76" t="n">
        <v>0.348</v>
      </c>
      <c r="AM483" s="76" t="n">
        <v>0.3415</v>
      </c>
      <c r="AN483" s="76" t="n">
        <v>0.336</v>
      </c>
      <c r="AO483" s="76" t="n">
        <v>0.3295</v>
      </c>
      <c r="AP483" s="76" t="n">
        <v>0.3235</v>
      </c>
      <c r="AQ483" s="76" t="n">
        <v>0.3175</v>
      </c>
      <c r="AR483" s="76" t="n">
        <v>0.3193611111111112</v>
      </c>
    </row>
    <row r="484">
      <c r="A484" s="76" t="inlineStr">
        <is>
          <t>NY</t>
        </is>
      </c>
      <c r="B484" s="76" t="inlineStr">
        <is>
          <t>NY</t>
        </is>
      </c>
      <c r="C484" s="76" t="n">
        <v>0.329</v>
      </c>
      <c r="D484" s="76" t="n">
        <v>0.3270625</v>
      </c>
      <c r="E484" s="76" t="n">
        <v>0.3305625</v>
      </c>
      <c r="F484" s="76" t="n">
        <v>0.3235882352941177</v>
      </c>
      <c r="G484" s="76" t="n">
        <v>0.3232941176470589</v>
      </c>
      <c r="H484" s="76" t="n">
        <v>0.3201764705882353</v>
      </c>
      <c r="I484" s="76" t="n">
        <v>0.3139999999999999</v>
      </c>
      <c r="J484" s="76" t="n">
        <v>0.3142352941176471</v>
      </c>
      <c r="K484" s="76" t="n">
        <v>0.3142352941176471</v>
      </c>
      <c r="L484" s="76" t="n">
        <v>0.2974444444444445</v>
      </c>
      <c r="M484" s="76" t="n">
        <v>0.2996666666666667</v>
      </c>
      <c r="N484" s="76" t="n">
        <v>0.3168</v>
      </c>
      <c r="O484" s="76" t="n">
        <v>0.31745</v>
      </c>
      <c r="P484" s="76" t="n">
        <v>0.3158095238095238</v>
      </c>
      <c r="Q484" s="76" t="n">
        <v>0.308047619047619</v>
      </c>
      <c r="R484" s="76" t="n">
        <v>0.31</v>
      </c>
      <c r="S484" s="76" t="n">
        <v>0.3137142857142857</v>
      </c>
      <c r="T484" s="76" t="n">
        <v>0.3109523809523809</v>
      </c>
      <c r="U484" s="76" t="n">
        <v>0.3085238095238095</v>
      </c>
      <c r="V484" s="76" t="n">
        <v>0.301</v>
      </c>
      <c r="W484" s="76" t="n">
        <v>0.2930952380952381</v>
      </c>
      <c r="X484" s="76" t="n">
        <v>0.2778095238095238</v>
      </c>
      <c r="Y484" s="76" t="n">
        <v>0.2621428571428571</v>
      </c>
      <c r="Z484" s="76" t="n">
        <v>0.2579523809523809</v>
      </c>
      <c r="AA484" s="76" t="n">
        <v>0.2545714285714286</v>
      </c>
      <c r="AB484" s="76" t="n">
        <v>0.2480000000000001</v>
      </c>
      <c r="AC484" s="76" t="n">
        <v>0.2477500000000001</v>
      </c>
      <c r="AD484" s="76" t="n">
        <v>0.2476</v>
      </c>
      <c r="AE484" s="76" t="n">
        <v>0.2476</v>
      </c>
      <c r="AF484" s="76" t="n">
        <v>0.2478</v>
      </c>
      <c r="AG484" s="76" t="n">
        <v>0.24845</v>
      </c>
      <c r="AH484" s="76" t="n">
        <v>0.2503</v>
      </c>
      <c r="AI484" s="76" t="n">
        <v>0.2523</v>
      </c>
      <c r="AJ484" s="76" t="n">
        <v>0.25425</v>
      </c>
      <c r="AK484" s="76" t="n">
        <v>0.25625</v>
      </c>
      <c r="AL484" s="76" t="n">
        <v>0.2443684210526316</v>
      </c>
      <c r="AM484" s="76" t="n">
        <v>0.2451578947368421</v>
      </c>
      <c r="AN484" s="76" t="n">
        <v>0.2463157894736842</v>
      </c>
      <c r="AO484" s="76" t="n">
        <v>0.2484736842105263</v>
      </c>
      <c r="AP484" s="76" t="n">
        <v>0.2518421052631579</v>
      </c>
      <c r="AQ484" s="76" t="n">
        <v>0.2217777777777778</v>
      </c>
      <c r="AR484" s="76" t="n">
        <v>0.2818012658227848</v>
      </c>
    </row>
    <row r="485">
      <c r="A485" s="76" t="inlineStr">
        <is>
          <t>NY</t>
        </is>
      </c>
      <c r="B485" s="76" t="inlineStr">
        <is>
          <t>Battery</t>
        </is>
      </c>
      <c r="C485" s="76" t="n">
        <v>-0.001</v>
      </c>
      <c r="D485" s="76" t="n">
        <v>-0.001</v>
      </c>
      <c r="E485" s="76" t="n">
        <v>-0.001</v>
      </c>
      <c r="F485" s="76" t="n">
        <v>-0.004</v>
      </c>
      <c r="G485" s="76" t="n">
        <v>-0.007</v>
      </c>
      <c r="H485" s="76" t="n">
        <v>-0.004</v>
      </c>
      <c r="I485" s="76" t="n">
        <v>-0.001</v>
      </c>
      <c r="J485" s="76" t="n">
        <v>0</v>
      </c>
      <c r="K485" s="76" t="n">
        <v>0</v>
      </c>
      <c r="L485" s="76" t="n">
        <v>-0.0155</v>
      </c>
      <c r="M485" s="76" t="n">
        <v>-0.0155</v>
      </c>
      <c r="N485" s="76" t="n">
        <v>-0.009999999999999998</v>
      </c>
      <c r="O485" s="76" t="n">
        <v>-0.007</v>
      </c>
      <c r="P485" s="76" t="n">
        <v>-0.007</v>
      </c>
      <c r="Q485" s="76" t="n">
        <v>-0.007</v>
      </c>
      <c r="R485" s="76" t="n">
        <v>-0.008500000000000001</v>
      </c>
      <c r="S485" s="76" t="n">
        <v>-0.009000000000000001</v>
      </c>
      <c r="T485" s="76" t="n">
        <v>-0.0125</v>
      </c>
      <c r="U485" s="76" t="n">
        <v>-0.015</v>
      </c>
      <c r="V485" s="76" t="n">
        <v>-0.022</v>
      </c>
      <c r="W485" s="76" t="n">
        <v>-0.027</v>
      </c>
      <c r="X485" s="76" t="n">
        <v>-0.0415</v>
      </c>
      <c r="Y485" s="76" t="n">
        <v>-0.056</v>
      </c>
      <c r="Z485" s="76" t="n">
        <v>-0.0615</v>
      </c>
      <c r="AA485" s="76" t="n">
        <v>-0.067</v>
      </c>
      <c r="AB485" s="76" t="n">
        <v>-0.07250000000000001</v>
      </c>
      <c r="AC485" s="76" t="n">
        <v>-0.07250000000000001</v>
      </c>
      <c r="AD485" s="76" t="n">
        <v>-0.0725</v>
      </c>
      <c r="AE485" s="76" t="n">
        <v>-0.0725</v>
      </c>
      <c r="AF485" s="76" t="n">
        <v>-0.07199999999999999</v>
      </c>
      <c r="AG485" s="76" t="n">
        <v>-0.07199999999999999</v>
      </c>
      <c r="AH485" s="76" t="n">
        <v>-0.07050000000000001</v>
      </c>
      <c r="AI485" s="76" t="n">
        <v>-0.06900000000000001</v>
      </c>
      <c r="AJ485" s="76" t="n">
        <v>-0.068</v>
      </c>
      <c r="AK485" s="76" t="n">
        <v>-0.067</v>
      </c>
      <c r="AL485" s="76" t="n">
        <v>-0.066</v>
      </c>
      <c r="AM485" s="76" t="n">
        <v>-0.0655</v>
      </c>
      <c r="AN485" s="76" t="n">
        <v>-0.064</v>
      </c>
      <c r="AO485" s="76" t="n">
        <v>-0.063</v>
      </c>
      <c r="AP485" s="76" t="n">
        <v>-0.0615</v>
      </c>
      <c r="AQ485" s="76" t="n">
        <v>-0.0605</v>
      </c>
      <c r="AR485" s="76" t="n">
        <v>-0.04056164383561644</v>
      </c>
    </row>
    <row r="486">
      <c r="A486" s="76" t="inlineStr">
        <is>
          <t>NY</t>
        </is>
      </c>
      <c r="B486" s="76" t="inlineStr">
        <is>
          <t>Biopower</t>
        </is>
      </c>
      <c r="C486" s="76" t="n">
        <v>0.458</v>
      </c>
      <c r="D486" s="76" t="n">
        <v>0.44</v>
      </c>
      <c r="E486" s="76" t="n">
        <v>0.423</v>
      </c>
      <c r="F486" s="76" t="n">
        <v>0.442</v>
      </c>
      <c r="G486" s="76" t="n">
        <v>0.461</v>
      </c>
      <c r="H486" s="76" t="n">
        <v>0.4595</v>
      </c>
      <c r="I486" s="76" t="n">
        <v>0.457</v>
      </c>
      <c r="J486" s="76" t="n">
        <v>0.457</v>
      </c>
      <c r="K486" s="76" t="n">
        <v>0.457</v>
      </c>
      <c r="L486" s="76" t="n">
        <v>0.457</v>
      </c>
      <c r="M486" s="76" t="n">
        <v>0.457</v>
      </c>
      <c r="N486" s="76" t="n">
        <v>0.451</v>
      </c>
      <c r="O486" s="76" t="n">
        <v>0.4455</v>
      </c>
      <c r="P486" s="76" t="n">
        <v>0.446</v>
      </c>
      <c r="Q486" s="76" t="n">
        <v>0.447</v>
      </c>
      <c r="R486" s="76" t="n">
        <v>0.4485</v>
      </c>
      <c r="S486" s="76" t="n">
        <v>0.4495</v>
      </c>
      <c r="T486" s="76" t="n">
        <v>0.4475</v>
      </c>
      <c r="U486" s="76" t="n">
        <v>0.4455</v>
      </c>
      <c r="V486" s="76" t="n">
        <v>0.4405</v>
      </c>
      <c r="W486" s="76" t="n">
        <v>0.4355</v>
      </c>
      <c r="X486" s="76" t="n">
        <v>0.4365</v>
      </c>
      <c r="Y486" s="76" t="n">
        <v>0.4375</v>
      </c>
      <c r="Z486" s="76" t="n">
        <v>0.4355</v>
      </c>
      <c r="AA486" s="76" t="n">
        <v>0.434</v>
      </c>
      <c r="AB486" s="76" t="n">
        <v>0.4320000000000001</v>
      </c>
      <c r="AC486" s="76" t="n">
        <v>0.441</v>
      </c>
      <c r="AD486" s="76" t="n">
        <v>0.4515</v>
      </c>
      <c r="AE486" s="76" t="n">
        <v>0.463</v>
      </c>
      <c r="AF486" s="76" t="n">
        <v>0.476</v>
      </c>
      <c r="AG486" s="76" t="n">
        <v>0.4905</v>
      </c>
      <c r="AH486" s="76" t="n">
        <v>0.4925</v>
      </c>
      <c r="AI486" s="76" t="n">
        <v>0.4945000000000001</v>
      </c>
      <c r="AJ486" s="76" t="n">
        <v>0.497</v>
      </c>
      <c r="AK486" s="76" t="n">
        <v>0.4995</v>
      </c>
      <c r="AL486" s="76" t="n">
        <v>0.483</v>
      </c>
      <c r="AM486" s="76" t="n">
        <v>0.47</v>
      </c>
      <c r="AN486" s="76" t="n">
        <v>0.458</v>
      </c>
      <c r="AO486" s="76" t="n">
        <v>0.445</v>
      </c>
      <c r="AP486" s="76" t="n">
        <v>0.431</v>
      </c>
      <c r="AQ486" s="76" t="n">
        <v>0.417</v>
      </c>
      <c r="AR486" s="76" t="n">
        <v>0.4541578947368417</v>
      </c>
    </row>
    <row r="487">
      <c r="A487" s="76" t="inlineStr">
        <is>
          <t>NY</t>
        </is>
      </c>
      <c r="B487" s="76" t="inlineStr">
        <is>
          <t>Coal</t>
        </is>
      </c>
      <c r="C487" s="76" t="n">
        <v>0.843</v>
      </c>
      <c r="D487" s="76" t="n">
        <v>0.762</v>
      </c>
      <c r="E487" s="76" t="n">
        <v>0.68</v>
      </c>
      <c r="F487" s="76" t="n">
        <v>0.652</v>
      </c>
      <c r="G487" s="76" t="n">
        <v>0.619</v>
      </c>
      <c r="H487" s="76" t="n">
        <v>0.464</v>
      </c>
      <c r="I487" s="76" t="n">
        <v>0.26</v>
      </c>
      <c r="J487" s="76" t="n">
        <v>0.363</v>
      </c>
      <c r="K487" s="76" t="n">
        <v>0.466</v>
      </c>
      <c r="L487" s="76" t="n">
        <v>0.451</v>
      </c>
      <c r="M487" s="76" t="n">
        <v>0.436</v>
      </c>
      <c r="N487" s="76" t="n">
        <v>0.497</v>
      </c>
      <c r="O487" s="76" t="n">
        <v>0.5580000000000001</v>
      </c>
      <c r="P487" s="76" t="n">
        <v>0.508</v>
      </c>
      <c r="Q487" s="76" t="n">
        <v>0.459</v>
      </c>
      <c r="R487" s="76" t="n">
        <v>0.525</v>
      </c>
      <c r="S487" s="76" t="n">
        <v>0.635</v>
      </c>
      <c r="T487" s="76" t="n">
        <v>0.648</v>
      </c>
      <c r="U487" s="76" t="n">
        <v>0.661</v>
      </c>
      <c r="V487" s="76" t="n">
        <v>0.587</v>
      </c>
      <c r="W487" s="76" t="n">
        <v>0.5</v>
      </c>
      <c r="X487" s="76" t="n">
        <v>0.413</v>
      </c>
      <c r="Y487" s="76" t="n">
        <v>0.325</v>
      </c>
      <c r="Z487" s="76" t="n">
        <v>0.325</v>
      </c>
      <c r="AA487" s="76" t="n">
        <v>0.325</v>
      </c>
      <c r="AB487" s="76" t="n"/>
      <c r="AC487" s="76" t="n"/>
      <c r="AD487" s="76" t="n"/>
      <c r="AE487" s="76" t="n"/>
      <c r="AF487" s="76" t="n"/>
      <c r="AG487" s="76" t="n"/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>
        <v>0.5184799999999999</v>
      </c>
    </row>
    <row r="488">
      <c r="A488" s="76" t="inlineStr">
        <is>
          <t>NY</t>
        </is>
      </c>
      <c r="B488" s="76" t="inlineStr">
        <is>
          <t>CSP</t>
        </is>
      </c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  <c r="AA488" s="76" t="n"/>
      <c r="AB488" s="76" t="n"/>
      <c r="AC488" s="76" t="n"/>
      <c r="AD488" s="76" t="n"/>
      <c r="AE488" s="76" t="n"/>
      <c r="AF488" s="76" t="n"/>
      <c r="AG488" s="76" t="n"/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</row>
    <row r="489">
      <c r="A489" s="76" t="inlineStr">
        <is>
          <t>NY</t>
        </is>
      </c>
      <c r="B489" s="76" t="inlineStr">
        <is>
          <t>Dist PV</t>
        </is>
      </c>
      <c r="C489" s="76" t="n">
        <v>0.156</v>
      </c>
      <c r="D489" s="76" t="n">
        <v>0.156</v>
      </c>
      <c r="E489" s="76" t="n">
        <v>0.1555</v>
      </c>
      <c r="F489" s="76" t="n">
        <v>0.156</v>
      </c>
      <c r="G489" s="76" t="n">
        <v>0.156</v>
      </c>
      <c r="H489" s="76" t="n">
        <v>0.156</v>
      </c>
      <c r="I489" s="76" t="n">
        <v>0.156</v>
      </c>
      <c r="J489" s="76" t="n">
        <v>0.156</v>
      </c>
      <c r="K489" s="76" t="n">
        <v>0.156</v>
      </c>
      <c r="L489" s="76" t="n">
        <v>0.156</v>
      </c>
      <c r="M489" s="76" t="n">
        <v>0.156</v>
      </c>
      <c r="N489" s="76" t="n">
        <v>0.156</v>
      </c>
      <c r="O489" s="76" t="n">
        <v>0.156</v>
      </c>
      <c r="P489" s="76" t="n">
        <v>0.156</v>
      </c>
      <c r="Q489" s="76" t="n">
        <v>0.156</v>
      </c>
      <c r="R489" s="76" t="n">
        <v>0.156</v>
      </c>
      <c r="S489" s="76" t="n">
        <v>0.156</v>
      </c>
      <c r="T489" s="76" t="n">
        <v>0.156</v>
      </c>
      <c r="U489" s="76" t="n">
        <v>0.156</v>
      </c>
      <c r="V489" s="76" t="n">
        <v>0.156</v>
      </c>
      <c r="W489" s="76" t="n">
        <v>0.156</v>
      </c>
      <c r="X489" s="76" t="n">
        <v>0.156</v>
      </c>
      <c r="Y489" s="76" t="n">
        <v>0.156</v>
      </c>
      <c r="Z489" s="76" t="n">
        <v>0.156</v>
      </c>
      <c r="AA489" s="76" t="n">
        <v>0.156</v>
      </c>
      <c r="AB489" s="76" t="n">
        <v>0.156</v>
      </c>
      <c r="AC489" s="76" t="n">
        <v>0.156</v>
      </c>
      <c r="AD489" s="76" t="n">
        <v>0.156</v>
      </c>
      <c r="AE489" s="76" t="n">
        <v>0.156</v>
      </c>
      <c r="AF489" s="76" t="n">
        <v>0.156</v>
      </c>
      <c r="AG489" s="76" t="n">
        <v>0.156</v>
      </c>
      <c r="AH489" s="76" t="n">
        <v>0.156</v>
      </c>
      <c r="AI489" s="76" t="n">
        <v>0.156</v>
      </c>
      <c r="AJ489" s="76" t="n">
        <v>0.156</v>
      </c>
      <c r="AK489" s="76" t="n">
        <v>0.156</v>
      </c>
      <c r="AL489" s="76" t="n">
        <v>0.156</v>
      </c>
      <c r="AM489" s="76" t="n">
        <v>0.156</v>
      </c>
      <c r="AN489" s="76" t="n">
        <v>0.156</v>
      </c>
      <c r="AO489" s="76" t="n">
        <v>0.156</v>
      </c>
      <c r="AP489" s="76" t="n">
        <v>0.156</v>
      </c>
      <c r="AQ489" s="76" t="n">
        <v>0.156</v>
      </c>
      <c r="AR489" s="76" t="n">
        <v>0.1559878048780487</v>
      </c>
    </row>
    <row r="490">
      <c r="A490" s="76" t="inlineStr">
        <is>
          <t>NY</t>
        </is>
      </c>
      <c r="B490" s="76" t="inlineStr">
        <is>
          <t>Gas CCGT</t>
        </is>
      </c>
      <c r="C490" s="76" t="n">
        <v>0.5225</v>
      </c>
      <c r="D490" s="76" t="n">
        <v>0.6015</v>
      </c>
      <c r="E490" s="76" t="n">
        <v>0.677</v>
      </c>
      <c r="F490" s="76" t="n">
        <v>0.6725</v>
      </c>
      <c r="G490" s="76" t="n">
        <v>0.6675</v>
      </c>
      <c r="H490" s="76" t="n">
        <v>0.7095</v>
      </c>
      <c r="I490" s="76" t="n">
        <v>0.751</v>
      </c>
      <c r="J490" s="76" t="n">
        <v>0.7030000000000001</v>
      </c>
      <c r="K490" s="76" t="n">
        <v>0.6555</v>
      </c>
      <c r="L490" s="76" t="n">
        <v>0.679</v>
      </c>
      <c r="M490" s="76" t="n">
        <v>0.702</v>
      </c>
      <c r="N490" s="76" t="n">
        <v>0.681</v>
      </c>
      <c r="O490" s="76" t="n">
        <v>0.6605000000000001</v>
      </c>
      <c r="P490" s="76" t="n">
        <v>0.6025</v>
      </c>
      <c r="Q490" s="76" t="n">
        <v>0.5445</v>
      </c>
      <c r="R490" s="76" t="n">
        <v>0.528</v>
      </c>
      <c r="S490" s="76" t="n">
        <v>0.511</v>
      </c>
      <c r="T490" s="76" t="n">
        <v>0.4765</v>
      </c>
      <c r="U490" s="76" t="n">
        <v>0.4425</v>
      </c>
      <c r="V490" s="76" t="n">
        <v>0.413</v>
      </c>
      <c r="W490" s="76" t="n">
        <v>0.3835</v>
      </c>
      <c r="X490" s="76" t="n">
        <v>0.279</v>
      </c>
      <c r="Y490" s="76" t="n">
        <v>0.175</v>
      </c>
      <c r="Z490" s="76" t="n">
        <v>0.167</v>
      </c>
      <c r="AA490" s="76" t="n">
        <v>0.159</v>
      </c>
      <c r="AB490" s="76" t="n">
        <v>0.151</v>
      </c>
      <c r="AC490" s="76" t="n">
        <v>0.1525</v>
      </c>
      <c r="AD490" s="76" t="n">
        <v>0.153</v>
      </c>
      <c r="AE490" s="76" t="n">
        <v>0.1545</v>
      </c>
      <c r="AF490" s="76" t="n">
        <v>0.155</v>
      </c>
      <c r="AG490" s="76" t="n">
        <v>0.1565</v>
      </c>
      <c r="AH490" s="76" t="n">
        <v>0.1575</v>
      </c>
      <c r="AI490" s="76" t="n">
        <v>0.1585</v>
      </c>
      <c r="AJ490" s="76" t="n">
        <v>0.1595</v>
      </c>
      <c r="AK490" s="76" t="n">
        <v>0.161</v>
      </c>
      <c r="AL490" s="76" t="n">
        <v>0.1625</v>
      </c>
      <c r="AM490" s="76" t="n">
        <v>0.1625</v>
      </c>
      <c r="AN490" s="76" t="n">
        <v>0.162</v>
      </c>
      <c r="AO490" s="76" t="n">
        <v>0.1625</v>
      </c>
      <c r="AP490" s="76" t="n">
        <v>0.163</v>
      </c>
      <c r="AQ490" s="76" t="n">
        <v>0.163</v>
      </c>
      <c r="AR490" s="76" t="n">
        <v>0.3877682926829268</v>
      </c>
    </row>
    <row r="491">
      <c r="A491" s="76" t="inlineStr">
        <is>
          <t>NY</t>
        </is>
      </c>
      <c r="B491" s="76" t="inlineStr">
        <is>
          <t>Gas CT</t>
        </is>
      </c>
      <c r="C491" s="76" t="n">
        <v>0.004500000000000001</v>
      </c>
      <c r="D491" s="76" t="n">
        <v>0.005</v>
      </c>
      <c r="E491" s="76" t="n">
        <v>0.006</v>
      </c>
      <c r="F491" s="76" t="n">
        <v>0.0055</v>
      </c>
      <c r="G491" s="76" t="n">
        <v>0.005</v>
      </c>
      <c r="H491" s="76" t="n">
        <v>0.006999999999999999</v>
      </c>
      <c r="I491" s="76" t="n">
        <v>0.009000000000000001</v>
      </c>
      <c r="J491" s="76" t="n">
        <v>0.0065</v>
      </c>
      <c r="K491" s="76" t="n">
        <v>0.0035</v>
      </c>
      <c r="L491" s="76" t="n">
        <v>0.0055</v>
      </c>
      <c r="M491" s="76" t="n">
        <v>0.0075</v>
      </c>
      <c r="N491" s="76" t="n">
        <v>0.006500000000000001</v>
      </c>
      <c r="O491" s="76" t="n">
        <v>0.004</v>
      </c>
      <c r="P491" s="76" t="n">
        <v>0.003</v>
      </c>
      <c r="Q491" s="76" t="n">
        <v>0.0015</v>
      </c>
      <c r="R491" s="76" t="n">
        <v>0.0015</v>
      </c>
      <c r="S491" s="76" t="n">
        <v>0.0015</v>
      </c>
      <c r="T491" s="76" t="n">
        <v>0.0015</v>
      </c>
      <c r="U491" s="76" t="n">
        <v>0.0015</v>
      </c>
      <c r="V491" s="76" t="n">
        <v>0.0015</v>
      </c>
      <c r="W491" s="76" t="n">
        <v>0.0015</v>
      </c>
      <c r="X491" s="76" t="n">
        <v>0.0005</v>
      </c>
      <c r="Y491" s="76" t="n">
        <v>0</v>
      </c>
      <c r="Z491" s="76" t="n">
        <v>0</v>
      </c>
      <c r="AA491" s="76" t="n">
        <v>0</v>
      </c>
      <c r="AB491" s="76" t="n">
        <v>0</v>
      </c>
      <c r="AC491" s="76" t="n">
        <v>0</v>
      </c>
      <c r="AD491" s="76" t="n">
        <v>0</v>
      </c>
      <c r="AE491" s="76" t="n">
        <v>0</v>
      </c>
      <c r="AF491" s="76" t="n">
        <v>0</v>
      </c>
      <c r="AG491" s="76" t="n">
        <v>0</v>
      </c>
      <c r="AH491" s="76" t="n">
        <v>0</v>
      </c>
      <c r="AI491" s="76" t="n">
        <v>0</v>
      </c>
      <c r="AJ491" s="76" t="n">
        <v>0</v>
      </c>
      <c r="AK491" s="76" t="n">
        <v>0</v>
      </c>
      <c r="AL491" s="76" t="n">
        <v>0</v>
      </c>
      <c r="AM491" s="76" t="n">
        <v>0</v>
      </c>
      <c r="AN491" s="76" t="n">
        <v>0</v>
      </c>
      <c r="AO491" s="76" t="n">
        <v>0</v>
      </c>
      <c r="AP491" s="76" t="n">
        <v>0</v>
      </c>
      <c r="AQ491" s="76" t="n">
        <v>0</v>
      </c>
      <c r="AR491" s="76" t="n">
        <v>0.002182926829268294</v>
      </c>
    </row>
    <row r="492">
      <c r="A492" s="76" t="inlineStr">
        <is>
          <t>NY</t>
        </is>
      </c>
      <c r="B492" s="76" t="inlineStr">
        <is>
          <t>Geothermal</t>
        </is>
      </c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  <c r="AA492" s="76" t="n"/>
      <c r="AB492" s="76" t="n"/>
      <c r="AC492" s="76" t="n"/>
      <c r="AD492" s="76" t="n"/>
      <c r="AE492" s="76" t="n"/>
      <c r="AF492" s="76" t="n"/>
      <c r="AG492" s="76" t="n"/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</row>
    <row r="493">
      <c r="A493" s="76" t="inlineStr">
        <is>
          <t>NY</t>
        </is>
      </c>
      <c r="B493" s="76" t="inlineStr">
        <is>
          <t>Hydro</t>
        </is>
      </c>
      <c r="C493" s="76" t="n">
        <v>0.485</v>
      </c>
      <c r="D493" s="76" t="n">
        <v>0.481</v>
      </c>
      <c r="E493" s="76" t="n">
        <v>0.477</v>
      </c>
      <c r="F493" s="76" t="n">
        <v>0.47</v>
      </c>
      <c r="G493" s="76" t="n">
        <v>0.463</v>
      </c>
      <c r="H493" s="76" t="n">
        <v>0.468</v>
      </c>
      <c r="I493" s="76" t="n">
        <v>0.474</v>
      </c>
      <c r="J493" s="76" t="n">
        <v>0.475</v>
      </c>
      <c r="K493" s="76" t="n">
        <v>0.475</v>
      </c>
      <c r="L493" s="76" t="n">
        <v>0.477</v>
      </c>
      <c r="M493" s="76" t="n">
        <v>0.479</v>
      </c>
      <c r="N493" s="76" t="n">
        <v>0.479</v>
      </c>
      <c r="O493" s="76" t="n">
        <v>0.48</v>
      </c>
      <c r="P493" s="76" t="n">
        <v>0.479</v>
      </c>
      <c r="Q493" s="76" t="n">
        <v>0.479</v>
      </c>
      <c r="R493" s="76" t="n">
        <v>0.479</v>
      </c>
      <c r="S493" s="76" t="n">
        <v>0.479</v>
      </c>
      <c r="T493" s="76" t="n">
        <v>0.479</v>
      </c>
      <c r="U493" s="76" t="n">
        <v>0.48</v>
      </c>
      <c r="V493" s="76" t="n">
        <v>0.48</v>
      </c>
      <c r="W493" s="76" t="n">
        <v>0.48</v>
      </c>
      <c r="X493" s="76" t="n">
        <v>0.475</v>
      </c>
      <c r="Y493" s="76" t="n">
        <v>0.471</v>
      </c>
      <c r="Z493" s="76" t="n">
        <v>0.468</v>
      </c>
      <c r="AA493" s="76" t="n">
        <v>0.466</v>
      </c>
      <c r="AB493" s="76" t="n">
        <v>0.463</v>
      </c>
      <c r="AC493" s="76" t="n">
        <v>0.463</v>
      </c>
      <c r="AD493" s="76" t="n">
        <v>0.463</v>
      </c>
      <c r="AE493" s="76" t="n">
        <v>0.462</v>
      </c>
      <c r="AF493" s="76" t="n">
        <v>0.462</v>
      </c>
      <c r="AG493" s="76" t="n">
        <v>0.462</v>
      </c>
      <c r="AH493" s="76" t="n">
        <v>0.462</v>
      </c>
      <c r="AI493" s="76" t="n">
        <v>0.462</v>
      </c>
      <c r="AJ493" s="76" t="n">
        <v>0.462</v>
      </c>
      <c r="AK493" s="76" t="n">
        <v>0.463</v>
      </c>
      <c r="AL493" s="76" t="n">
        <v>0.463</v>
      </c>
      <c r="AM493" s="76" t="n">
        <v>0.465</v>
      </c>
      <c r="AN493" s="76" t="n">
        <v>0.466</v>
      </c>
      <c r="AO493" s="76" t="n">
        <v>0.468</v>
      </c>
      <c r="AP493" s="76" t="n">
        <v>0.47</v>
      </c>
      <c r="AQ493" s="76" t="n">
        <v>0.472</v>
      </c>
      <c r="AR493" s="76" t="n">
        <v>0.4713658536585366</v>
      </c>
    </row>
    <row r="494">
      <c r="A494" s="76" t="inlineStr">
        <is>
          <t>NY</t>
        </is>
      </c>
      <c r="B494" s="76" t="inlineStr">
        <is>
          <t>Nuclear</t>
        </is>
      </c>
      <c r="C494" s="76" t="n">
        <v>0.902</v>
      </c>
      <c r="D494" s="76" t="n">
        <v>0.902</v>
      </c>
      <c r="E494" s="76" t="n">
        <v>0.902</v>
      </c>
      <c r="F494" s="76" t="n">
        <v>0.902</v>
      </c>
      <c r="G494" s="76" t="n">
        <v>0.902</v>
      </c>
      <c r="H494" s="76" t="n">
        <v>0.902</v>
      </c>
      <c r="I494" s="76" t="n">
        <v>0.902</v>
      </c>
      <c r="J494" s="76" t="n">
        <v>0.902</v>
      </c>
      <c r="K494" s="76" t="n">
        <v>0.902</v>
      </c>
      <c r="L494" s="76" t="n">
        <v>0.902</v>
      </c>
      <c r="M494" s="76" t="n">
        <v>0.902</v>
      </c>
      <c r="N494" s="76" t="n">
        <v>0.902</v>
      </c>
      <c r="O494" s="76" t="n">
        <v>0.902</v>
      </c>
      <c r="P494" s="76" t="n">
        <v>0.902</v>
      </c>
      <c r="Q494" s="76" t="n">
        <v>0.902</v>
      </c>
      <c r="R494" s="76" t="n">
        <v>0.902</v>
      </c>
      <c r="S494" s="76" t="n">
        <v>0.902</v>
      </c>
      <c r="T494" s="76" t="n">
        <v>0.902</v>
      </c>
      <c r="U494" s="76" t="n">
        <v>0.902</v>
      </c>
      <c r="V494" s="76" t="n">
        <v>0.902</v>
      </c>
      <c r="W494" s="76" t="n">
        <v>0.902</v>
      </c>
      <c r="X494" s="76" t="n">
        <v>0.902</v>
      </c>
      <c r="Y494" s="76" t="n">
        <v>0.902</v>
      </c>
      <c r="Z494" s="76" t="n">
        <v>0.902</v>
      </c>
      <c r="AA494" s="76" t="n">
        <v>0.902</v>
      </c>
      <c r="AB494" s="76" t="n">
        <v>0.902</v>
      </c>
      <c r="AC494" s="76" t="n">
        <v>0.902</v>
      </c>
      <c r="AD494" s="76" t="n">
        <v>0.902</v>
      </c>
      <c r="AE494" s="76" t="n">
        <v>0.902</v>
      </c>
      <c r="AF494" s="76" t="n">
        <v>0.902</v>
      </c>
      <c r="AG494" s="76" t="n">
        <v>0.902</v>
      </c>
      <c r="AH494" s="76" t="n">
        <v>0.902</v>
      </c>
      <c r="AI494" s="76" t="n">
        <v>0.902</v>
      </c>
      <c r="AJ494" s="76" t="n">
        <v>0.902</v>
      </c>
      <c r="AK494" s="76" t="n">
        <v>0.902</v>
      </c>
      <c r="AL494" s="76" t="n">
        <v>0.902</v>
      </c>
      <c r="AM494" s="76" t="n">
        <v>0.902</v>
      </c>
      <c r="AN494" s="76" t="n">
        <v>0.902</v>
      </c>
      <c r="AO494" s="76" t="n">
        <v>0.902</v>
      </c>
      <c r="AP494" s="76" t="n">
        <v>0.902</v>
      </c>
      <c r="AQ494" s="76" t="n"/>
      <c r="AR494" s="76" t="n">
        <v>0.9020000000000004</v>
      </c>
    </row>
    <row r="495">
      <c r="A495" s="76" t="inlineStr">
        <is>
          <t>NY</t>
        </is>
      </c>
      <c r="B495" s="76" t="inlineStr">
        <is>
          <t>Other</t>
        </is>
      </c>
      <c r="C495" s="76" t="n">
        <v>0.0615</v>
      </c>
      <c r="D495" s="76" t="n">
        <v>0.07049999999999999</v>
      </c>
      <c r="E495" s="76" t="n">
        <v>0.0785</v>
      </c>
      <c r="F495" s="76" t="n">
        <v>0.0835</v>
      </c>
      <c r="G495" s="76" t="n">
        <v>0.08850000000000001</v>
      </c>
      <c r="H495" s="76" t="n">
        <v>0.0925</v>
      </c>
      <c r="I495" s="76" t="n">
        <v>0.096</v>
      </c>
      <c r="J495" s="76" t="n">
        <v>0.095</v>
      </c>
      <c r="K495" s="76" t="n">
        <v>0.094</v>
      </c>
      <c r="L495" s="76" t="n">
        <v>0.0905</v>
      </c>
      <c r="M495" s="76" t="n">
        <v>0.08699999999999999</v>
      </c>
      <c r="N495" s="76" t="n">
        <v>0.081</v>
      </c>
      <c r="O495" s="76" t="n">
        <v>0.0745</v>
      </c>
      <c r="P495" s="76" t="n">
        <v>0.076</v>
      </c>
      <c r="Q495" s="76" t="n">
        <v>0.077</v>
      </c>
      <c r="R495" s="76" t="n">
        <v>0.074</v>
      </c>
      <c r="S495" s="76" t="n">
        <v>0.07099999999999999</v>
      </c>
      <c r="T495" s="76" t="n">
        <v>0.0775</v>
      </c>
      <c r="U495" s="76" t="n">
        <v>0.08400000000000001</v>
      </c>
      <c r="V495" s="76" t="n">
        <v>0.08450000000000001</v>
      </c>
      <c r="W495" s="76" t="n">
        <v>0.08500000000000001</v>
      </c>
      <c r="X495" s="76" t="n">
        <v>0.08450000000000001</v>
      </c>
      <c r="Y495" s="76" t="n">
        <v>0.08400000000000001</v>
      </c>
      <c r="Z495" s="76" t="n">
        <v>0.08550000000000001</v>
      </c>
      <c r="AA495" s="76" t="n">
        <v>0.08649999999999999</v>
      </c>
      <c r="AB495" s="76" t="n">
        <v>0.08799999999999999</v>
      </c>
      <c r="AC495" s="76" t="n">
        <v>0.0925</v>
      </c>
      <c r="AD495" s="76" t="n">
        <v>0.097</v>
      </c>
      <c r="AE495" s="76" t="n">
        <v>0.1025</v>
      </c>
      <c r="AF495" s="76" t="n">
        <v>0.1085</v>
      </c>
      <c r="AG495" s="76" t="n">
        <v>0.116</v>
      </c>
      <c r="AH495" s="76" t="n">
        <v>0.118</v>
      </c>
      <c r="AI495" s="76" t="n">
        <v>0.12</v>
      </c>
      <c r="AJ495" s="76" t="n">
        <v>0.1225</v>
      </c>
      <c r="AK495" s="76" t="n">
        <v>0.1245</v>
      </c>
      <c r="AL495" s="76" t="n">
        <v>0.127</v>
      </c>
      <c r="AM495" s="76" t="n">
        <v>0.143</v>
      </c>
      <c r="AN495" s="76" t="n">
        <v>0.163</v>
      </c>
      <c r="AO495" s="76" t="n">
        <v>0.1905</v>
      </c>
      <c r="AP495" s="76" t="n">
        <v>0.2285</v>
      </c>
      <c r="AQ495" s="76" t="n">
        <v>0.2855</v>
      </c>
      <c r="AR495" s="76" t="n">
        <v>0.1046219512195122</v>
      </c>
    </row>
    <row r="496">
      <c r="A496" s="76" t="inlineStr">
        <is>
          <t>NY</t>
        </is>
      </c>
      <c r="B496" s="76" t="inlineStr">
        <is>
          <t>Utility PV</t>
        </is>
      </c>
      <c r="C496" s="76" t="n"/>
      <c r="D496" s="76" t="n">
        <v>0.232</v>
      </c>
      <c r="E496" s="76" t="n">
        <v>0.232</v>
      </c>
      <c r="F496" s="76" t="n">
        <v>0.2205</v>
      </c>
      <c r="G496" s="76" t="n">
        <v>0.22</v>
      </c>
      <c r="H496" s="76" t="n">
        <v>0.22</v>
      </c>
      <c r="I496" s="76" t="n">
        <v>0.2195</v>
      </c>
      <c r="J496" s="76" t="n">
        <v>0.2195</v>
      </c>
      <c r="K496" s="76" t="n">
        <v>0.219</v>
      </c>
      <c r="L496" s="76" t="n">
        <v>0.218</v>
      </c>
      <c r="M496" s="76" t="n">
        <v>0.217</v>
      </c>
      <c r="N496" s="76" t="n">
        <v>0.216</v>
      </c>
      <c r="O496" s="76" t="n">
        <v>0.215</v>
      </c>
      <c r="P496" s="76" t="n">
        <v>0.214</v>
      </c>
      <c r="Q496" s="76" t="n">
        <v>0.213</v>
      </c>
      <c r="R496" s="76" t="n">
        <v>0.212</v>
      </c>
      <c r="S496" s="76" t="n">
        <v>0.211</v>
      </c>
      <c r="T496" s="76" t="n">
        <v>0.2095</v>
      </c>
      <c r="U496" s="76" t="n">
        <v>0.2085</v>
      </c>
      <c r="V496" s="76" t="n">
        <v>0.2075</v>
      </c>
      <c r="W496" s="76" t="n">
        <v>0.2065</v>
      </c>
      <c r="X496" s="76" t="n">
        <v>0.212</v>
      </c>
      <c r="Y496" s="76" t="n">
        <v>0.212</v>
      </c>
      <c r="Z496" s="76" t="n">
        <v>0.211</v>
      </c>
      <c r="AA496" s="76" t="n">
        <v>0.21</v>
      </c>
      <c r="AB496" s="76" t="n">
        <v>0.209</v>
      </c>
      <c r="AC496" s="76" t="n">
        <v>0.2085</v>
      </c>
      <c r="AD496" s="76" t="n">
        <v>0.208</v>
      </c>
      <c r="AE496" s="76" t="n">
        <v>0.207</v>
      </c>
      <c r="AF496" s="76" t="n">
        <v>0.2065</v>
      </c>
      <c r="AG496" s="76" t="n">
        <v>0.206</v>
      </c>
      <c r="AH496" s="76" t="n">
        <v>0.205</v>
      </c>
      <c r="AI496" s="76" t="n">
        <v>0.2045</v>
      </c>
      <c r="AJ496" s="76" t="n">
        <v>0.2035</v>
      </c>
      <c r="AK496" s="76" t="n">
        <v>0.203</v>
      </c>
      <c r="AL496" s="76" t="n">
        <v>0.202</v>
      </c>
      <c r="AM496" s="76" t="n">
        <v>0.2025</v>
      </c>
      <c r="AN496" s="76" t="n">
        <v>0.203</v>
      </c>
      <c r="AO496" s="76" t="n">
        <v>0.205</v>
      </c>
      <c r="AP496" s="76" t="n">
        <v>0.208</v>
      </c>
      <c r="AQ496" s="76" t="n">
        <v>0.215</v>
      </c>
      <c r="AR496" s="76" t="n">
        <v>0.2112820512820514</v>
      </c>
    </row>
    <row r="497">
      <c r="A497" s="76" t="inlineStr">
        <is>
          <t>NY</t>
        </is>
      </c>
      <c r="B497" s="76" t="inlineStr">
        <is>
          <t>Wind offshore</t>
        </is>
      </c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>
        <v>0.437</v>
      </c>
      <c r="O497" s="76" t="n">
        <v>0.437</v>
      </c>
      <c r="P497" s="76" t="n">
        <v>0.4415</v>
      </c>
      <c r="Q497" s="76" t="n">
        <v>0.4415</v>
      </c>
      <c r="R497" s="76" t="n">
        <v>0.4415</v>
      </c>
      <c r="S497" s="76" t="n">
        <v>0.4415</v>
      </c>
      <c r="T497" s="76" t="n">
        <v>0.4405</v>
      </c>
      <c r="U497" s="76" t="n">
        <v>0.44</v>
      </c>
      <c r="V497" s="76" t="n">
        <v>0.4395</v>
      </c>
      <c r="W497" s="76" t="n">
        <v>0.4395</v>
      </c>
      <c r="X497" s="76" t="n">
        <v>0.438</v>
      </c>
      <c r="Y497" s="76" t="n">
        <v>0.437</v>
      </c>
      <c r="Z497" s="76" t="n">
        <v>0.409</v>
      </c>
      <c r="AA497" s="76" t="n">
        <v>0.3895</v>
      </c>
      <c r="AB497" s="76" t="n">
        <v>0.3755</v>
      </c>
      <c r="AC497" s="76" t="n">
        <v>0.385</v>
      </c>
      <c r="AD497" s="76" t="n">
        <v>0.3945</v>
      </c>
      <c r="AE497" s="76" t="n">
        <v>0.404</v>
      </c>
      <c r="AF497" s="76" t="n">
        <v>0.413</v>
      </c>
      <c r="AG497" s="76" t="n">
        <v>0.4225</v>
      </c>
      <c r="AH497" s="76" t="n">
        <v>0.4235</v>
      </c>
      <c r="AI497" s="76" t="n">
        <v>0.425</v>
      </c>
      <c r="AJ497" s="76" t="n">
        <v>0.4265</v>
      </c>
      <c r="AK497" s="76" t="n">
        <v>0.4275</v>
      </c>
      <c r="AL497" s="76" t="n">
        <v>0.4285</v>
      </c>
      <c r="AM497" s="76" t="n">
        <v>0.4295</v>
      </c>
      <c r="AN497" s="76" t="n">
        <v>0.43</v>
      </c>
      <c r="AO497" s="76" t="n">
        <v>0.4305</v>
      </c>
      <c r="AP497" s="76" t="n">
        <v>0.4315</v>
      </c>
      <c r="AQ497" s="76" t="n">
        <v>0.432</v>
      </c>
      <c r="AR497" s="76" t="n">
        <v>0.424655172413793</v>
      </c>
    </row>
    <row r="498">
      <c r="A498" s="76" t="inlineStr">
        <is>
          <t>NY</t>
        </is>
      </c>
      <c r="B498" s="76" t="inlineStr">
        <is>
          <t>Wind onshore</t>
        </is>
      </c>
      <c r="C498" s="76" t="n">
        <v>0.301</v>
      </c>
      <c r="D498" s="76" t="n">
        <v>0.311</v>
      </c>
      <c r="E498" s="76" t="n">
        <v>0.319</v>
      </c>
      <c r="F498" s="76" t="n">
        <v>0.321</v>
      </c>
      <c r="G498" s="76" t="n">
        <v>0.323</v>
      </c>
      <c r="H498" s="76" t="n">
        <v>0.324</v>
      </c>
      <c r="I498" s="76" t="n">
        <v>0.326</v>
      </c>
      <c r="J498" s="76" t="n">
        <v>0.328</v>
      </c>
      <c r="K498" s="76" t="n">
        <v>0.329</v>
      </c>
      <c r="L498" s="76" t="n">
        <v>0.343</v>
      </c>
      <c r="M498" s="76" t="n">
        <v>0.355</v>
      </c>
      <c r="N498" s="76" t="n">
        <v>0.429</v>
      </c>
      <c r="O498" s="76" t="n">
        <v>0.4375</v>
      </c>
      <c r="P498" s="76" t="n">
        <v>0.4395</v>
      </c>
      <c r="Q498" s="76" t="n">
        <v>0.4409999999999999</v>
      </c>
      <c r="R498" s="76" t="n">
        <v>0.449</v>
      </c>
      <c r="S498" s="76" t="n">
        <v>0.4535</v>
      </c>
      <c r="T498" s="76" t="n">
        <v>0.454</v>
      </c>
      <c r="U498" s="76" t="n">
        <v>0.455</v>
      </c>
      <c r="V498" s="76" t="n">
        <v>0.4555</v>
      </c>
      <c r="W498" s="76" t="n">
        <v>0.456</v>
      </c>
      <c r="X498" s="76" t="n">
        <v>0.457</v>
      </c>
      <c r="Y498" s="76" t="n">
        <v>0.458</v>
      </c>
      <c r="Z498" s="76" t="n">
        <v>0.4585</v>
      </c>
      <c r="AA498" s="76" t="n">
        <v>0.4585</v>
      </c>
      <c r="AB498" s="76" t="n">
        <v>0.4585</v>
      </c>
      <c r="AC498" s="76" t="n">
        <v>0.432</v>
      </c>
      <c r="AD498" s="76" t="n">
        <v>0.406</v>
      </c>
      <c r="AE498" s="76" t="n">
        <v>0.3795</v>
      </c>
      <c r="AF498" s="76" t="n">
        <v>0.353</v>
      </c>
      <c r="AG498" s="76" t="n">
        <v>0.327</v>
      </c>
      <c r="AH498" s="76" t="n">
        <v>0.339</v>
      </c>
      <c r="AI498" s="76" t="n">
        <v>0.3515</v>
      </c>
      <c r="AJ498" s="76" t="n">
        <v>0.3635</v>
      </c>
      <c r="AK498" s="76" t="n">
        <v>0.3755</v>
      </c>
      <c r="AL498" s="76" t="n">
        <v>0.3875</v>
      </c>
      <c r="AM498" s="76" t="n">
        <v>0.3825</v>
      </c>
      <c r="AN498" s="76" t="n">
        <v>0.377</v>
      </c>
      <c r="AO498" s="76" t="n">
        <v>0.3715</v>
      </c>
      <c r="AP498" s="76" t="n">
        <v>0.3655</v>
      </c>
      <c r="AQ498" s="76" t="n">
        <v>0.3605</v>
      </c>
      <c r="AR498" s="76" t="n">
        <v>0.3978028169014084</v>
      </c>
    </row>
    <row r="499">
      <c r="A499" s="76" t="inlineStr">
        <is>
          <t>OH</t>
        </is>
      </c>
      <c r="B499" s="76" t="inlineStr">
        <is>
          <t>OH</t>
        </is>
      </c>
      <c r="C499" s="76" t="n">
        <v>0.2759199999999999</v>
      </c>
      <c r="D499" s="76" t="n">
        <v>0.3038928571428571</v>
      </c>
      <c r="E499" s="76" t="n">
        <v>0.3039285714285714</v>
      </c>
      <c r="F499" s="76" t="n">
        <v>0.2895666666666666</v>
      </c>
      <c r="G499" s="76" t="n">
        <v>0.2885333333333333</v>
      </c>
      <c r="H499" s="76" t="n">
        <v>0.2800645161290323</v>
      </c>
      <c r="I499" s="76" t="n">
        <v>0.269</v>
      </c>
      <c r="J499" s="76" t="n">
        <v>0.2958749999999999</v>
      </c>
      <c r="K499" s="76" t="n">
        <v>0.29475</v>
      </c>
      <c r="L499" s="76" t="n">
        <v>0.3033939393939393</v>
      </c>
      <c r="M499" s="76" t="n">
        <v>0.3066969696969697</v>
      </c>
      <c r="N499" s="76" t="n">
        <v>0.3063714285714286</v>
      </c>
      <c r="O499" s="76" t="n">
        <v>0.2855</v>
      </c>
      <c r="P499" s="76" t="n">
        <v>0.2852647058823529</v>
      </c>
      <c r="Q499" s="76" t="n">
        <v>0.2847941176470588</v>
      </c>
      <c r="R499" s="76" t="n">
        <v>0.2818529411764706</v>
      </c>
      <c r="S499" s="76" t="n">
        <v>0.2782058823529412</v>
      </c>
      <c r="T499" s="76" t="n">
        <v>0.2625142857142857</v>
      </c>
      <c r="U499" s="76" t="n">
        <v>0.2572</v>
      </c>
      <c r="V499" s="76" t="n">
        <v>0.2531944444444444</v>
      </c>
      <c r="W499" s="76" t="n">
        <v>0.2473611111111111</v>
      </c>
      <c r="X499" s="76" t="n">
        <v>0.2423888888888889</v>
      </c>
      <c r="Y499" s="76" t="n">
        <v>0.2422571428571428</v>
      </c>
      <c r="Z499" s="76" t="n">
        <v>0.2297428571428572</v>
      </c>
      <c r="AA499" s="76" t="n">
        <v>0.2197714285714285</v>
      </c>
      <c r="AB499" s="76" t="n">
        <v>0.1938484848484849</v>
      </c>
      <c r="AC499" s="76" t="n">
        <v>0.1958484848484849</v>
      </c>
      <c r="AD499" s="76" t="n">
        <v>0.1975454545454545</v>
      </c>
      <c r="AE499" s="76" t="n">
        <v>0.1993333333333333</v>
      </c>
      <c r="AF499" s="76" t="n">
        <v>0.201030303030303</v>
      </c>
      <c r="AG499" s="76" t="n">
        <v>0.2089375000000001</v>
      </c>
      <c r="AH499" s="76" t="n">
        <v>0.20934375</v>
      </c>
      <c r="AI499" s="76" t="n">
        <v>0.20959375</v>
      </c>
      <c r="AJ499" s="76" t="n">
        <v>0.2095625</v>
      </c>
      <c r="AK499" s="76" t="n">
        <v>0.2095937500000001</v>
      </c>
      <c r="AL499" s="76" t="n">
        <v>0.2095625</v>
      </c>
      <c r="AM499" s="76" t="n">
        <v>0.20653125</v>
      </c>
      <c r="AN499" s="76" t="n">
        <v>0.2035</v>
      </c>
      <c r="AO499" s="76" t="n">
        <v>0.20034375</v>
      </c>
      <c r="AP499" s="76" t="n">
        <v>0.19728125</v>
      </c>
      <c r="AQ499" s="76" t="n">
        <v>0.194125</v>
      </c>
      <c r="AR499" s="76" t="n">
        <v>0.2467509349289453</v>
      </c>
    </row>
    <row r="500">
      <c r="A500" s="76" t="inlineStr">
        <is>
          <t>OH</t>
        </is>
      </c>
      <c r="B500" s="76" t="inlineStr">
        <is>
          <t>Battery</t>
        </is>
      </c>
      <c r="C500" s="76" t="n">
        <v>0</v>
      </c>
      <c r="D500" s="76" t="n">
        <v>-0.01</v>
      </c>
      <c r="E500" s="76" t="n">
        <v>-0.019</v>
      </c>
      <c r="F500" s="76" t="n">
        <v>-0.008</v>
      </c>
      <c r="G500" s="76" t="n">
        <v>-0.006</v>
      </c>
      <c r="H500" s="76" t="n">
        <v>-0.002</v>
      </c>
      <c r="I500" s="76" t="n">
        <v>-0.0003333333333333333</v>
      </c>
      <c r="J500" s="76" t="n">
        <v>-0.0003333333333333333</v>
      </c>
      <c r="K500" s="76" t="n">
        <v>-0.0003333333333333333</v>
      </c>
      <c r="L500" s="76" t="n">
        <v>0</v>
      </c>
      <c r="M500" s="76" t="n">
        <v>0</v>
      </c>
      <c r="N500" s="76" t="n">
        <v>0</v>
      </c>
      <c r="O500" s="76" t="n">
        <v>0</v>
      </c>
      <c r="P500" s="76" t="n">
        <v>-0.001</v>
      </c>
      <c r="Q500" s="76" t="n">
        <v>-0.002</v>
      </c>
      <c r="R500" s="76" t="n">
        <v>-0.01033333333333333</v>
      </c>
      <c r="S500" s="76" t="n">
        <v>-0.019</v>
      </c>
      <c r="T500" s="76" t="n">
        <v>-0.04575</v>
      </c>
      <c r="U500" s="76" t="n">
        <v>-0.05525</v>
      </c>
      <c r="V500" s="76" t="n">
        <v>-0.06375</v>
      </c>
      <c r="W500" s="76" t="n">
        <v>-0.06475</v>
      </c>
      <c r="X500" s="76" t="n">
        <v>-0.06625</v>
      </c>
      <c r="Y500" s="76" t="n">
        <v>-0.06675</v>
      </c>
      <c r="Z500" s="76" t="n">
        <v>-0.06275</v>
      </c>
      <c r="AA500" s="76" t="n">
        <v>-0.06125</v>
      </c>
      <c r="AB500" s="76" t="n">
        <v>-0.06025</v>
      </c>
      <c r="AC500" s="76" t="n">
        <v>-0.06175</v>
      </c>
      <c r="AD500" s="76" t="n">
        <v>-0.0635</v>
      </c>
      <c r="AE500" s="76" t="n">
        <v>-0.0645</v>
      </c>
      <c r="AF500" s="76" t="n">
        <v>-0.06525</v>
      </c>
      <c r="AG500" s="76" t="n">
        <v>-0.06625</v>
      </c>
      <c r="AH500" s="76" t="n">
        <v>-0.0655</v>
      </c>
      <c r="AI500" s="76" t="n">
        <v>-0.06425</v>
      </c>
      <c r="AJ500" s="76" t="n">
        <v>-0.064</v>
      </c>
      <c r="AK500" s="76" t="n">
        <v>-0.06325</v>
      </c>
      <c r="AL500" s="76" t="n">
        <v>-0.06275</v>
      </c>
      <c r="AM500" s="76" t="n">
        <v>-0.06175</v>
      </c>
      <c r="AN500" s="76" t="n">
        <v>-0.0605</v>
      </c>
      <c r="AO500" s="76" t="n">
        <v>-0.0595</v>
      </c>
      <c r="AP500" s="76" t="n">
        <v>-0.05825</v>
      </c>
      <c r="AQ500" s="76" t="n">
        <v>-0.05725</v>
      </c>
      <c r="AR500" s="76" t="n">
        <v>-0.04390647482014388</v>
      </c>
    </row>
    <row r="501">
      <c r="A501" s="76" t="inlineStr">
        <is>
          <t>OH</t>
        </is>
      </c>
      <c r="B501" s="76" t="inlineStr">
        <is>
          <t>Biopower</t>
        </is>
      </c>
      <c r="C501" s="76" t="n">
        <v>0.482</v>
      </c>
      <c r="D501" s="76" t="n">
        <v>0.491</v>
      </c>
      <c r="E501" s="76" t="n">
        <v>0.4965</v>
      </c>
      <c r="F501" s="76" t="n">
        <v>0.4905</v>
      </c>
      <c r="G501" s="76" t="n">
        <v>0.4845</v>
      </c>
      <c r="H501" s="76" t="n">
        <v>0.472</v>
      </c>
      <c r="I501" s="76" t="n">
        <v>0.459</v>
      </c>
      <c r="J501" s="76" t="n">
        <v>0.48</v>
      </c>
      <c r="K501" s="76" t="n">
        <v>0.48</v>
      </c>
      <c r="L501" s="76" t="n">
        <v>0.48</v>
      </c>
      <c r="M501" s="76" t="n">
        <v>0.48</v>
      </c>
      <c r="N501" s="76" t="n">
        <v>0.48</v>
      </c>
      <c r="O501" s="76" t="n">
        <v>0.48</v>
      </c>
      <c r="P501" s="76" t="n">
        <v>0.48</v>
      </c>
      <c r="Q501" s="76" t="n">
        <v>0.48</v>
      </c>
      <c r="R501" s="76" t="n">
        <v>0.48</v>
      </c>
      <c r="S501" s="76" t="n">
        <v>0.48</v>
      </c>
      <c r="T501" s="76" t="n">
        <v>0.48</v>
      </c>
      <c r="U501" s="76" t="n">
        <v>0.48</v>
      </c>
      <c r="V501" s="76" t="n">
        <v>0.48</v>
      </c>
      <c r="W501" s="76" t="n">
        <v>0.48</v>
      </c>
      <c r="X501" s="76" t="n">
        <v>0.48</v>
      </c>
      <c r="Y501" s="76" t="n">
        <v>0.48</v>
      </c>
      <c r="Z501" s="76" t="n">
        <v>0.48</v>
      </c>
      <c r="AA501" s="76" t="n">
        <v>0.48</v>
      </c>
      <c r="AB501" s="76" t="n">
        <v>0.48</v>
      </c>
      <c r="AC501" s="76" t="n">
        <v>0.48</v>
      </c>
      <c r="AD501" s="76" t="n">
        <v>0.48</v>
      </c>
      <c r="AE501" s="76" t="n">
        <v>0.48</v>
      </c>
      <c r="AF501" s="76" t="n">
        <v>0.48</v>
      </c>
      <c r="AG501" s="76" t="n">
        <v>0.48</v>
      </c>
      <c r="AH501" s="76" t="n">
        <v>0.483</v>
      </c>
      <c r="AI501" s="76" t="n">
        <v>0.486</v>
      </c>
      <c r="AJ501" s="76" t="n">
        <v>0.489</v>
      </c>
      <c r="AK501" s="76" t="n">
        <v>0.4923333333333333</v>
      </c>
      <c r="AL501" s="76" t="n">
        <v>0.4953333333333333</v>
      </c>
      <c r="AM501" s="76" t="n">
        <v>0.4843333333333333</v>
      </c>
      <c r="AN501" s="76" t="n">
        <v>0.4733333333333333</v>
      </c>
      <c r="AO501" s="76" t="n">
        <v>0.462</v>
      </c>
      <c r="AP501" s="76" t="n">
        <v>0.451</v>
      </c>
      <c r="AQ501" s="76" t="n">
        <v>0.44</v>
      </c>
      <c r="AR501" s="76" t="n">
        <v>0.4791379310344823</v>
      </c>
    </row>
    <row r="502">
      <c r="A502" s="76" t="inlineStr">
        <is>
          <t>OH</t>
        </is>
      </c>
      <c r="B502" s="76" t="inlineStr">
        <is>
          <t>Coal</t>
        </is>
      </c>
      <c r="C502" s="76" t="n">
        <v>0.723</v>
      </c>
      <c r="D502" s="76" t="n">
        <v>0.6545</v>
      </c>
      <c r="E502" s="76" t="n">
        <v>0.5657500000000001</v>
      </c>
      <c r="F502" s="76" t="n">
        <v>0.6164999999999999</v>
      </c>
      <c r="G502" s="76" t="n">
        <v>0.6735</v>
      </c>
      <c r="H502" s="76" t="n">
        <v>0.62075</v>
      </c>
      <c r="I502" s="76" t="n">
        <v>0.5523333333333333</v>
      </c>
      <c r="J502" s="76" t="n">
        <v>0.5570000000000001</v>
      </c>
      <c r="K502" s="76" t="n">
        <v>0.5619999999999999</v>
      </c>
      <c r="L502" s="76" t="n">
        <v>0.5406666666666667</v>
      </c>
      <c r="M502" s="76" t="n">
        <v>0.5156666666666667</v>
      </c>
      <c r="N502" s="76" t="n">
        <v>0.5103333333333334</v>
      </c>
      <c r="O502" s="76" t="n">
        <v>0.5056666666666666</v>
      </c>
      <c r="P502" s="76" t="n">
        <v>0.5243333333333333</v>
      </c>
      <c r="Q502" s="76" t="n">
        <v>0.543</v>
      </c>
      <c r="R502" s="76" t="n">
        <v>0.5496666666666666</v>
      </c>
      <c r="S502" s="76" t="n">
        <v>0.5563333333333333</v>
      </c>
      <c r="T502" s="76" t="n">
        <v>0.5499999999999999</v>
      </c>
      <c r="U502" s="76" t="n">
        <v>0.543</v>
      </c>
      <c r="V502" s="76" t="n">
        <v>0.4856666666666666</v>
      </c>
      <c r="W502" s="76" t="n">
        <v>0.4376666666666666</v>
      </c>
      <c r="X502" s="76" t="n">
        <v>0.3893333333333334</v>
      </c>
      <c r="Y502" s="76" t="n">
        <v>0.475</v>
      </c>
      <c r="Z502" s="76" t="n">
        <v>0.475</v>
      </c>
      <c r="AA502" s="76" t="n">
        <v>0.475</v>
      </c>
      <c r="AB502" s="76" t="n"/>
      <c r="AC502" s="76" t="n"/>
      <c r="AD502" s="76" t="n"/>
      <c r="AE502" s="76" t="n"/>
      <c r="AF502" s="76" t="n"/>
      <c r="AG502" s="76" t="n"/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>
        <v>0.5542820512820514</v>
      </c>
    </row>
    <row r="503">
      <c r="A503" s="76" t="inlineStr">
        <is>
          <t>OH</t>
        </is>
      </c>
      <c r="B503" s="76" t="inlineStr">
        <is>
          <t>CSP</t>
        </is>
      </c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  <c r="AE503" s="76" t="n"/>
      <c r="AF503" s="76" t="n"/>
      <c r="AG503" s="76" t="n"/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</row>
    <row r="504">
      <c r="A504" s="76" t="inlineStr">
        <is>
          <t>OH</t>
        </is>
      </c>
      <c r="B504" s="76" t="inlineStr">
        <is>
          <t>Dist PV</t>
        </is>
      </c>
      <c r="C504" s="76" t="n">
        <v>0.1535</v>
      </c>
      <c r="D504" s="76" t="n">
        <v>0.15375</v>
      </c>
      <c r="E504" s="76" t="n">
        <v>0.15375</v>
      </c>
      <c r="F504" s="76" t="n">
        <v>0.15375</v>
      </c>
      <c r="G504" s="76" t="n">
        <v>0.15375</v>
      </c>
      <c r="H504" s="76" t="n">
        <v>0.15375</v>
      </c>
      <c r="I504" s="76" t="n">
        <v>0.15375</v>
      </c>
      <c r="J504" s="76" t="n">
        <v>0.15375</v>
      </c>
      <c r="K504" s="76" t="n">
        <v>0.15375</v>
      </c>
      <c r="L504" s="76" t="n">
        <v>0.15375</v>
      </c>
      <c r="M504" s="76" t="n">
        <v>0.15375</v>
      </c>
      <c r="N504" s="76" t="n">
        <v>0.15375</v>
      </c>
      <c r="O504" s="76" t="n">
        <v>0.15375</v>
      </c>
      <c r="P504" s="76" t="n">
        <v>0.15375</v>
      </c>
      <c r="Q504" s="76" t="n">
        <v>0.15375</v>
      </c>
      <c r="R504" s="76" t="n">
        <v>0.15375</v>
      </c>
      <c r="S504" s="76" t="n">
        <v>0.15375</v>
      </c>
      <c r="T504" s="76" t="n">
        <v>0.15125</v>
      </c>
      <c r="U504" s="76" t="n">
        <v>0.14975</v>
      </c>
      <c r="V504" s="76" t="n">
        <v>0.15225</v>
      </c>
      <c r="W504" s="76" t="n">
        <v>0.15375</v>
      </c>
      <c r="X504" s="76" t="n">
        <v>0.15375</v>
      </c>
      <c r="Y504" s="76" t="n">
        <v>0.15375</v>
      </c>
      <c r="Z504" s="76" t="n">
        <v>0.15375</v>
      </c>
      <c r="AA504" s="76" t="n">
        <v>0.15375</v>
      </c>
      <c r="AB504" s="76" t="n">
        <v>0.15375</v>
      </c>
      <c r="AC504" s="76" t="n">
        <v>0.15375</v>
      </c>
      <c r="AD504" s="76" t="n">
        <v>0.15375</v>
      </c>
      <c r="AE504" s="76" t="n">
        <v>0.15375</v>
      </c>
      <c r="AF504" s="76" t="n">
        <v>0.15375</v>
      </c>
      <c r="AG504" s="76" t="n">
        <v>0.15375</v>
      </c>
      <c r="AH504" s="76" t="n">
        <v>0.15375</v>
      </c>
      <c r="AI504" s="76" t="n">
        <v>0.15375</v>
      </c>
      <c r="AJ504" s="76" t="n">
        <v>0.15375</v>
      </c>
      <c r="AK504" s="76" t="n">
        <v>0.15375</v>
      </c>
      <c r="AL504" s="76" t="n">
        <v>0.15375</v>
      </c>
      <c r="AM504" s="76" t="n">
        <v>0.15375</v>
      </c>
      <c r="AN504" s="76" t="n">
        <v>0.15375</v>
      </c>
      <c r="AO504" s="76" t="n">
        <v>0.15375</v>
      </c>
      <c r="AP504" s="76" t="n">
        <v>0.15375</v>
      </c>
      <c r="AQ504" s="76" t="n">
        <v>0.15375</v>
      </c>
      <c r="AR504" s="76" t="n">
        <v>0.1535493827160495</v>
      </c>
    </row>
    <row r="505">
      <c r="A505" s="76" t="inlineStr">
        <is>
          <t>OH</t>
        </is>
      </c>
      <c r="B505" s="76" t="inlineStr">
        <is>
          <t>Gas CCGT</t>
        </is>
      </c>
      <c r="C505" s="76" t="n">
        <v>0.19</v>
      </c>
      <c r="D505" s="76" t="n">
        <v>0.7535000000000001</v>
      </c>
      <c r="E505" s="76" t="n">
        <v>0.887</v>
      </c>
      <c r="F505" s="76" t="n">
        <v>0.772</v>
      </c>
      <c r="G505" s="76" t="n">
        <v>0.6575</v>
      </c>
      <c r="H505" s="76" t="n">
        <v>0.772</v>
      </c>
      <c r="I505" s="76" t="n">
        <v>0.887</v>
      </c>
      <c r="J505" s="76" t="n">
        <v>0.8943333333333334</v>
      </c>
      <c r="K505" s="76" t="n">
        <v>0.8930000000000001</v>
      </c>
      <c r="L505" s="76" t="n">
        <v>0.896</v>
      </c>
      <c r="M505" s="76" t="n">
        <v>0.8993333333333333</v>
      </c>
      <c r="N505" s="76" t="n">
        <v>0.8993333333333333</v>
      </c>
      <c r="O505" s="76" t="n">
        <v>0.8993333333333333</v>
      </c>
      <c r="P505" s="76" t="n">
        <v>0.8926666666666666</v>
      </c>
      <c r="Q505" s="76" t="n">
        <v>0.886</v>
      </c>
      <c r="R505" s="76" t="n">
        <v>0.8616666666666667</v>
      </c>
      <c r="S505" s="76" t="n">
        <v>0.8373333333333334</v>
      </c>
      <c r="T505" s="76" t="n">
        <v>0.8093333333333333</v>
      </c>
      <c r="U505" s="76" t="n">
        <v>0.7806666666666665</v>
      </c>
      <c r="V505" s="76" t="n">
        <v>0.759</v>
      </c>
      <c r="W505" s="76" t="n">
        <v>0.7370000000000001</v>
      </c>
      <c r="X505" s="76" t="n">
        <v>0.7353333333333333</v>
      </c>
      <c r="Y505" s="76" t="n">
        <v>0.7336666666666667</v>
      </c>
      <c r="Z505" s="76" t="n">
        <v>0.6216666666666666</v>
      </c>
      <c r="AA505" s="76" t="n">
        <v>0.5096666666666666</v>
      </c>
      <c r="AB505" s="76" t="n">
        <v>0.3980000000000001</v>
      </c>
      <c r="AC505" s="76" t="n">
        <v>0.4146666666666667</v>
      </c>
      <c r="AD505" s="76" t="n">
        <v>0.431</v>
      </c>
      <c r="AE505" s="76" t="n">
        <v>0.448</v>
      </c>
      <c r="AF505" s="76" t="n">
        <v>0.4646666666666666</v>
      </c>
      <c r="AG505" s="76" t="n">
        <v>0.4813333333333333</v>
      </c>
      <c r="AH505" s="76" t="n">
        <v>0.475</v>
      </c>
      <c r="AI505" s="76" t="n">
        <v>0.469</v>
      </c>
      <c r="AJ505" s="76" t="n">
        <v>0.4626666666666666</v>
      </c>
      <c r="AK505" s="76" t="n">
        <v>0.457</v>
      </c>
      <c r="AL505" s="76" t="n">
        <v>0.4513333333333334</v>
      </c>
      <c r="AM505" s="76" t="n">
        <v>0.4276666666666666</v>
      </c>
      <c r="AN505" s="76" t="n">
        <v>0.4043333333333334</v>
      </c>
      <c r="AO505" s="76" t="n">
        <v>0.381</v>
      </c>
      <c r="AP505" s="76" t="n">
        <v>0.3576666666666666</v>
      </c>
      <c r="AQ505" s="76" t="n">
        <v>0.3343333333333334</v>
      </c>
      <c r="AR505" s="76" t="n">
        <v>0.6383362068965518</v>
      </c>
    </row>
    <row r="506">
      <c r="A506" s="76" t="inlineStr">
        <is>
          <t>OH</t>
        </is>
      </c>
      <c r="B506" s="76" t="inlineStr">
        <is>
          <t>Gas CT</t>
        </is>
      </c>
      <c r="C506" s="76" t="n">
        <v>0.0035</v>
      </c>
      <c r="D506" s="76" t="n">
        <v>0.0255</v>
      </c>
      <c r="E506" s="76" t="n">
        <v>0.0475</v>
      </c>
      <c r="F506" s="76" t="n">
        <v>0.02825</v>
      </c>
      <c r="G506" s="76" t="n">
        <v>0.008</v>
      </c>
      <c r="H506" s="76" t="n">
        <v>0.03025</v>
      </c>
      <c r="I506" s="76" t="n">
        <v>0.047</v>
      </c>
      <c r="J506" s="76" t="n">
        <v>0.0355</v>
      </c>
      <c r="K506" s="76" t="n">
        <v>0.02425</v>
      </c>
      <c r="L506" s="76" t="n">
        <v>0.066</v>
      </c>
      <c r="M506" s="76" t="n">
        <v>0.10875</v>
      </c>
      <c r="N506" s="76" t="n">
        <v>0.08450000000000001</v>
      </c>
      <c r="O506" s="76" t="n">
        <v>0.05974999999999999</v>
      </c>
      <c r="P506" s="76" t="n">
        <v>0.04699999999999999</v>
      </c>
      <c r="Q506" s="76" t="n">
        <v>0.03425</v>
      </c>
      <c r="R506" s="76" t="n">
        <v>0.02225</v>
      </c>
      <c r="S506" s="76" t="n">
        <v>0.0095</v>
      </c>
      <c r="T506" s="76" t="n">
        <v>0.0075</v>
      </c>
      <c r="U506" s="76" t="n">
        <v>0.00475</v>
      </c>
      <c r="V506" s="76" t="n">
        <v>0.00425</v>
      </c>
      <c r="W506" s="76" t="n">
        <v>0.00325</v>
      </c>
      <c r="X506" s="76" t="n">
        <v>0.00275</v>
      </c>
      <c r="Y506" s="76" t="n">
        <v>0.00225</v>
      </c>
      <c r="Z506" s="76" t="n">
        <v>0.0015</v>
      </c>
      <c r="AA506" s="76" t="n">
        <v>0.00075</v>
      </c>
      <c r="AB506" s="76" t="n">
        <v>0</v>
      </c>
      <c r="AC506" s="76" t="n">
        <v>0</v>
      </c>
      <c r="AD506" s="76" t="n">
        <v>0</v>
      </c>
      <c r="AE506" s="76" t="n">
        <v>0</v>
      </c>
      <c r="AF506" s="76" t="n">
        <v>0</v>
      </c>
      <c r="AG506" s="76" t="n">
        <v>0</v>
      </c>
      <c r="AH506" s="76" t="n">
        <v>0</v>
      </c>
      <c r="AI506" s="76" t="n">
        <v>0</v>
      </c>
      <c r="AJ506" s="76" t="n">
        <v>0</v>
      </c>
      <c r="AK506" s="76" t="n">
        <v>0</v>
      </c>
      <c r="AL506" s="76" t="n">
        <v>0</v>
      </c>
      <c r="AM506" s="76" t="n">
        <v>0</v>
      </c>
      <c r="AN506" s="76" t="n">
        <v>0</v>
      </c>
      <c r="AO506" s="76" t="n">
        <v>0</v>
      </c>
      <c r="AP506" s="76" t="n">
        <v>0</v>
      </c>
      <c r="AQ506" s="76" t="n">
        <v>0</v>
      </c>
      <c r="AR506" s="76" t="n">
        <v>0.01728658536585365</v>
      </c>
    </row>
    <row r="507">
      <c r="A507" s="76" t="inlineStr">
        <is>
          <t>OH</t>
        </is>
      </c>
      <c r="B507" s="76" t="inlineStr">
        <is>
          <t>Geothermal</t>
        </is>
      </c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  <c r="AA507" s="76" t="n"/>
      <c r="AB507" s="76" t="n"/>
      <c r="AC507" s="76" t="n"/>
      <c r="AD507" s="76" t="n"/>
      <c r="AE507" s="76" t="n"/>
      <c r="AF507" s="76" t="n"/>
      <c r="AG507" s="76" t="n"/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</row>
    <row r="508">
      <c r="A508" s="76" t="inlineStr">
        <is>
          <t>OH</t>
        </is>
      </c>
      <c r="B508" s="76" t="inlineStr">
        <is>
          <t>Hydro</t>
        </is>
      </c>
      <c r="C508" s="76" t="n">
        <v>0.339</v>
      </c>
      <c r="D508" s="76" t="n">
        <v>0.3275</v>
      </c>
      <c r="E508" s="76" t="n">
        <v>0.315</v>
      </c>
      <c r="F508" s="76" t="n">
        <v>0.356</v>
      </c>
      <c r="G508" s="76" t="n">
        <v>0.397</v>
      </c>
      <c r="H508" s="76" t="n">
        <v>0.368</v>
      </c>
      <c r="I508" s="76" t="n">
        <v>0.339</v>
      </c>
      <c r="J508" s="76" t="n">
        <v>0.339</v>
      </c>
      <c r="K508" s="76" t="n">
        <v>0.339</v>
      </c>
      <c r="L508" s="76" t="n">
        <v>0.339</v>
      </c>
      <c r="M508" s="76" t="n">
        <v>0.339</v>
      </c>
      <c r="N508" s="76" t="n">
        <v>0.339</v>
      </c>
      <c r="O508" s="76" t="n">
        <v>0.339</v>
      </c>
      <c r="P508" s="76" t="n">
        <v>0.339</v>
      </c>
      <c r="Q508" s="76" t="n">
        <v>0.339</v>
      </c>
      <c r="R508" s="76" t="n">
        <v>0.339</v>
      </c>
      <c r="S508" s="76" t="n">
        <v>0.339</v>
      </c>
      <c r="T508" s="76" t="n">
        <v>0.339</v>
      </c>
      <c r="U508" s="76" t="n">
        <v>0.339</v>
      </c>
      <c r="V508" s="76" t="n">
        <v>0.339</v>
      </c>
      <c r="W508" s="76" t="n">
        <v>0.339</v>
      </c>
      <c r="X508" s="76" t="n">
        <v>0.339</v>
      </c>
      <c r="Y508" s="76" t="n">
        <v>0.339</v>
      </c>
      <c r="Z508" s="76" t="n">
        <v>0.339</v>
      </c>
      <c r="AA508" s="76" t="n">
        <v>0.339</v>
      </c>
      <c r="AB508" s="76" t="n">
        <v>0.339</v>
      </c>
      <c r="AC508" s="76" t="n">
        <v>0.339</v>
      </c>
      <c r="AD508" s="76" t="n">
        <v>0.339</v>
      </c>
      <c r="AE508" s="76" t="n">
        <v>0.339</v>
      </c>
      <c r="AF508" s="76" t="n">
        <v>0.339</v>
      </c>
      <c r="AG508" s="76" t="n">
        <v>0.339</v>
      </c>
      <c r="AH508" s="76" t="n">
        <v>0.339</v>
      </c>
      <c r="AI508" s="76" t="n">
        <v>0.339</v>
      </c>
      <c r="AJ508" s="76" t="n">
        <v>0.339</v>
      </c>
      <c r="AK508" s="76" t="n">
        <v>0.339</v>
      </c>
      <c r="AL508" s="76" t="n">
        <v>0.339</v>
      </c>
      <c r="AM508" s="76" t="n">
        <v>0.339</v>
      </c>
      <c r="AN508" s="76" t="n">
        <v>0.339</v>
      </c>
      <c r="AO508" s="76" t="n">
        <v>0.339</v>
      </c>
      <c r="AP508" s="76" t="n">
        <v>0.339</v>
      </c>
      <c r="AQ508" s="76" t="n">
        <v>0.339</v>
      </c>
      <c r="AR508" s="76" t="n">
        <v>0.3406707317073171</v>
      </c>
    </row>
    <row r="509">
      <c r="A509" s="76" t="inlineStr">
        <is>
          <t>OH</t>
        </is>
      </c>
      <c r="B509" s="76" t="inlineStr">
        <is>
          <t>Nuclear</t>
        </is>
      </c>
      <c r="C509" s="76" t="n">
        <v>0.902</v>
      </c>
      <c r="D509" s="76" t="n">
        <v>0.902</v>
      </c>
      <c r="E509" s="76" t="n">
        <v>0.902</v>
      </c>
      <c r="F509" s="76" t="n">
        <v>0.902</v>
      </c>
      <c r="G509" s="76" t="n">
        <v>0.902</v>
      </c>
      <c r="H509" s="76" t="n">
        <v>0.902</v>
      </c>
      <c r="I509" s="76" t="n">
        <v>0.902</v>
      </c>
      <c r="J509" s="76" t="n">
        <v>0.902</v>
      </c>
      <c r="K509" s="76" t="n">
        <v>0.902</v>
      </c>
      <c r="L509" s="76" t="n">
        <v>0.902</v>
      </c>
      <c r="M509" s="76" t="n">
        <v>0.902</v>
      </c>
      <c r="N509" s="76" t="n">
        <v>0.902</v>
      </c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  <c r="AA509" s="76" t="n"/>
      <c r="AB509" s="76" t="n"/>
      <c r="AC509" s="76" t="n"/>
      <c r="AD509" s="76" t="n"/>
      <c r="AE509" s="76" t="n"/>
      <c r="AF509" s="76" t="n"/>
      <c r="AG509" s="76" t="n"/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>
        <v>0.9019999999999998</v>
      </c>
    </row>
    <row r="510">
      <c r="A510" s="76" t="inlineStr">
        <is>
          <t>OH</t>
        </is>
      </c>
      <c r="B510" s="76" t="inlineStr">
        <is>
          <t>Other</t>
        </is>
      </c>
      <c r="C510" s="76" t="n">
        <v>0</v>
      </c>
      <c r="D510" s="76" t="n">
        <v>0.005249999999999999</v>
      </c>
      <c r="E510" s="76" t="n">
        <v>0.0105</v>
      </c>
      <c r="F510" s="76" t="n">
        <v>0.0055</v>
      </c>
      <c r="G510" s="76" t="n">
        <v>0</v>
      </c>
      <c r="H510" s="76" t="n">
        <v>0</v>
      </c>
      <c r="I510" s="76" t="n">
        <v>0</v>
      </c>
      <c r="J510" s="76" t="n">
        <v>0</v>
      </c>
      <c r="K510" s="76" t="n">
        <v>0</v>
      </c>
      <c r="L510" s="76" t="n">
        <v>0.00025</v>
      </c>
      <c r="M510" s="76" t="n">
        <v>0.0005</v>
      </c>
      <c r="N510" s="76" t="n">
        <v>0.00025</v>
      </c>
      <c r="O510" s="76" t="n">
        <v>0</v>
      </c>
      <c r="P510" s="76" t="n">
        <v>0</v>
      </c>
      <c r="Q510" s="76" t="n">
        <v>0</v>
      </c>
      <c r="R510" s="76" t="n">
        <v>0</v>
      </c>
      <c r="S510" s="76" t="n">
        <v>0</v>
      </c>
      <c r="T510" s="76" t="n">
        <v>0</v>
      </c>
      <c r="U510" s="76" t="n">
        <v>0</v>
      </c>
      <c r="V510" s="76" t="n">
        <v>0</v>
      </c>
      <c r="W510" s="76" t="n">
        <v>0</v>
      </c>
      <c r="X510" s="76" t="n">
        <v>0</v>
      </c>
      <c r="Y510" s="76" t="n">
        <v>0</v>
      </c>
      <c r="Z510" s="76" t="n">
        <v>0</v>
      </c>
      <c r="AA510" s="76" t="n">
        <v>0</v>
      </c>
      <c r="AB510" s="76" t="n">
        <v>0</v>
      </c>
      <c r="AC510" s="76" t="n">
        <v>0</v>
      </c>
      <c r="AD510" s="76" t="n">
        <v>0</v>
      </c>
      <c r="AE510" s="76" t="n">
        <v>0</v>
      </c>
      <c r="AF510" s="76" t="n">
        <v>0</v>
      </c>
      <c r="AG510" s="76" t="n">
        <v>0</v>
      </c>
      <c r="AH510" s="76" t="n">
        <v>0</v>
      </c>
      <c r="AI510" s="76" t="n">
        <v>0</v>
      </c>
      <c r="AJ510" s="76" t="n">
        <v>0</v>
      </c>
      <c r="AK510" s="76" t="n">
        <v>0</v>
      </c>
      <c r="AL510" s="76" t="n">
        <v>0</v>
      </c>
      <c r="AM510" s="76" t="n">
        <v>0</v>
      </c>
      <c r="AN510" s="76" t="n">
        <v>0</v>
      </c>
      <c r="AO510" s="76" t="n">
        <v>0</v>
      </c>
      <c r="AP510" s="76" t="n">
        <v>0</v>
      </c>
      <c r="AQ510" s="76" t="n">
        <v>0</v>
      </c>
      <c r="AR510" s="76" t="n">
        <v>0.0005816993464052288</v>
      </c>
    </row>
    <row r="511">
      <c r="A511" s="76" t="inlineStr">
        <is>
          <t>OH</t>
        </is>
      </c>
      <c r="B511" s="76" t="inlineStr">
        <is>
          <t>Utility PV</t>
        </is>
      </c>
      <c r="C511" s="76" t="n">
        <v>0.23</v>
      </c>
      <c r="D511" s="76" t="n">
        <v>0.229</v>
      </c>
      <c r="E511" s="76" t="n">
        <v>0.229</v>
      </c>
      <c r="F511" s="76" t="n">
        <v>0.2286666666666667</v>
      </c>
      <c r="G511" s="76" t="n">
        <v>0.228</v>
      </c>
      <c r="H511" s="76" t="n">
        <v>0.2273333333333334</v>
      </c>
      <c r="I511" s="76" t="n">
        <v>0.2263333333333334</v>
      </c>
      <c r="J511" s="76" t="n">
        <v>0.2263333333333334</v>
      </c>
      <c r="K511" s="76" t="n">
        <v>0.226</v>
      </c>
      <c r="L511" s="76" t="n">
        <v>0.225</v>
      </c>
      <c r="M511" s="76" t="n">
        <v>0.2236666666666667</v>
      </c>
      <c r="N511" s="76" t="n">
        <v>0.2255</v>
      </c>
      <c r="O511" s="76" t="n">
        <v>0.225</v>
      </c>
      <c r="P511" s="76" t="n">
        <v>0.22575</v>
      </c>
      <c r="Q511" s="76" t="n">
        <v>0.22525</v>
      </c>
      <c r="R511" s="76" t="n">
        <v>0.22375</v>
      </c>
      <c r="S511" s="76" t="n">
        <v>0.22275</v>
      </c>
      <c r="T511" s="76" t="n">
        <v>0.22175</v>
      </c>
      <c r="U511" s="76" t="n">
        <v>0.22075</v>
      </c>
      <c r="V511" s="76" t="n">
        <v>0.2235</v>
      </c>
      <c r="W511" s="76" t="n">
        <v>0.22325</v>
      </c>
      <c r="X511" s="76" t="n">
        <v>0.22225</v>
      </c>
      <c r="Y511" s="76" t="n">
        <v>0.22125</v>
      </c>
      <c r="Z511" s="76" t="n">
        <v>0.22025</v>
      </c>
      <c r="AA511" s="76" t="n">
        <v>0.219</v>
      </c>
      <c r="AB511" s="76" t="n">
        <v>0.21775</v>
      </c>
      <c r="AC511" s="76" t="n">
        <v>0.21675</v>
      </c>
      <c r="AD511" s="76" t="n">
        <v>0.2155</v>
      </c>
      <c r="AE511" s="76" t="n">
        <v>0.2145</v>
      </c>
      <c r="AF511" s="76" t="n">
        <v>0.2135</v>
      </c>
      <c r="AG511" s="76" t="n">
        <v>0.21225</v>
      </c>
      <c r="AH511" s="76" t="n">
        <v>0.21125</v>
      </c>
      <c r="AI511" s="76" t="n">
        <v>0.21025</v>
      </c>
      <c r="AJ511" s="76" t="n">
        <v>0.20925</v>
      </c>
      <c r="AK511" s="76" t="n">
        <v>0.20825</v>
      </c>
      <c r="AL511" s="76" t="n">
        <v>0.207</v>
      </c>
      <c r="AM511" s="76" t="n">
        <v>0.206</v>
      </c>
      <c r="AN511" s="76" t="n">
        <v>0.205</v>
      </c>
      <c r="AO511" s="76" t="n">
        <v>0.204</v>
      </c>
      <c r="AP511" s="76" t="n">
        <v>0.203</v>
      </c>
      <c r="AQ511" s="76" t="n">
        <v>0.202</v>
      </c>
      <c r="AR511" s="76" t="n">
        <v>0.2180999999999999</v>
      </c>
    </row>
    <row r="512">
      <c r="A512" s="76" t="inlineStr">
        <is>
          <t>OH</t>
        </is>
      </c>
      <c r="B512" s="76" t="inlineStr">
        <is>
          <t>Wind offshore</t>
        </is>
      </c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>
        <v>0.458</v>
      </c>
      <c r="M512" s="76" t="n">
        <v>0.458</v>
      </c>
      <c r="N512" s="76" t="n">
        <v>0.458</v>
      </c>
      <c r="O512" s="76" t="n">
        <v>0.458</v>
      </c>
      <c r="P512" s="76" t="n">
        <v>0.458</v>
      </c>
      <c r="Q512" s="76" t="n">
        <v>0.458</v>
      </c>
      <c r="R512" s="76" t="n">
        <v>0.458</v>
      </c>
      <c r="S512" s="76" t="n">
        <v>0.458</v>
      </c>
      <c r="T512" s="76" t="n">
        <v>0.438</v>
      </c>
      <c r="U512" s="76" t="n">
        <v>0.418</v>
      </c>
      <c r="V512" s="76" t="n">
        <v>0.438</v>
      </c>
      <c r="W512" s="76" t="n">
        <v>0.458</v>
      </c>
      <c r="X512" s="76" t="n">
        <v>0.449</v>
      </c>
      <c r="Y512" s="76" t="n">
        <v>0.439</v>
      </c>
      <c r="Z512" s="76" t="n">
        <v>0.339</v>
      </c>
      <c r="AA512" s="76" t="n">
        <v>0.334</v>
      </c>
      <c r="AB512" s="76" t="n">
        <v>0.332</v>
      </c>
      <c r="AC512" s="76" t="n">
        <v>0.352</v>
      </c>
      <c r="AD512" s="76" t="n">
        <v>0.365</v>
      </c>
      <c r="AE512" s="76" t="n">
        <v>0.375</v>
      </c>
      <c r="AF512" s="76" t="n">
        <v>0.382</v>
      </c>
      <c r="AG512" s="76" t="n">
        <v>0.387</v>
      </c>
      <c r="AH512" s="76" t="n">
        <v>0.405</v>
      </c>
      <c r="AI512" s="76" t="n">
        <v>0.413</v>
      </c>
      <c r="AJ512" s="76" t="n">
        <v>0.418</v>
      </c>
      <c r="AK512" s="76" t="n">
        <v>0.421</v>
      </c>
      <c r="AL512" s="76" t="n">
        <v>0.423</v>
      </c>
      <c r="AM512" s="76" t="n">
        <v>0.429</v>
      </c>
      <c r="AN512" s="76" t="n">
        <v>0.433</v>
      </c>
      <c r="AO512" s="76" t="n">
        <v>0.437</v>
      </c>
      <c r="AP512" s="76" t="n">
        <v>0.44</v>
      </c>
      <c r="AQ512" s="76" t="n">
        <v>0.442</v>
      </c>
      <c r="AR512" s="76" t="n">
        <v>0.4197187499999999</v>
      </c>
    </row>
    <row r="513">
      <c r="A513" s="76" t="inlineStr">
        <is>
          <t>OH</t>
        </is>
      </c>
      <c r="B513" s="76" t="inlineStr">
        <is>
          <t>Wind onshore</t>
        </is>
      </c>
      <c r="C513" s="76" t="n">
        <v>0.301</v>
      </c>
      <c r="D513" s="76" t="n">
        <v>0.3295</v>
      </c>
      <c r="E513" s="76" t="n">
        <v>0.331</v>
      </c>
      <c r="F513" s="76" t="n">
        <v>0.331</v>
      </c>
      <c r="G513" s="76" t="n">
        <v>0.3315</v>
      </c>
      <c r="H513" s="76" t="n">
        <v>0.3305</v>
      </c>
      <c r="I513" s="76" t="n">
        <v>0.33</v>
      </c>
      <c r="J513" s="76" t="n">
        <v>0.3295</v>
      </c>
      <c r="K513" s="76" t="n">
        <v>0.329</v>
      </c>
      <c r="L513" s="76" t="n">
        <v>0.3345</v>
      </c>
      <c r="M513" s="76" t="n">
        <v>0.3375</v>
      </c>
      <c r="N513" s="76" t="n">
        <v>0.3866666666666667</v>
      </c>
      <c r="O513" s="76" t="n">
        <v>0.3873333333333333</v>
      </c>
      <c r="P513" s="76" t="n">
        <v>0.3896666666666667</v>
      </c>
      <c r="Q513" s="76" t="n">
        <v>0.391</v>
      </c>
      <c r="R513" s="76" t="n">
        <v>0.4016666666666667</v>
      </c>
      <c r="S513" s="76" t="n">
        <v>0.405</v>
      </c>
      <c r="T513" s="76" t="n">
        <v>0.405</v>
      </c>
      <c r="U513" s="76" t="n">
        <v>0.405</v>
      </c>
      <c r="V513" s="76" t="n">
        <v>0.39</v>
      </c>
      <c r="W513" s="76" t="n">
        <v>0.38575</v>
      </c>
      <c r="X513" s="76" t="n">
        <v>0.3837499999999999</v>
      </c>
      <c r="Y513" s="76" t="n">
        <v>0.38225</v>
      </c>
      <c r="Z513" s="76" t="n">
        <v>0.3795</v>
      </c>
      <c r="AA513" s="76" t="n">
        <v>0.378</v>
      </c>
      <c r="AB513" s="76" t="n">
        <v>0.377</v>
      </c>
      <c r="AC513" s="76" t="n">
        <v>0.3785000000000001</v>
      </c>
      <c r="AD513" s="76" t="n">
        <v>0.38</v>
      </c>
      <c r="AE513" s="76" t="n">
        <v>0.3815</v>
      </c>
      <c r="AF513" s="76" t="n">
        <v>0.383</v>
      </c>
      <c r="AG513" s="76" t="n">
        <v>0.3845</v>
      </c>
      <c r="AH513" s="76" t="n">
        <v>0.386</v>
      </c>
      <c r="AI513" s="76" t="n">
        <v>0.388</v>
      </c>
      <c r="AJ513" s="76" t="n">
        <v>0.38975</v>
      </c>
      <c r="AK513" s="76" t="n">
        <v>0.39125</v>
      </c>
      <c r="AL513" s="76" t="n">
        <v>0.39325</v>
      </c>
      <c r="AM513" s="76" t="n">
        <v>0.3935</v>
      </c>
      <c r="AN513" s="76" t="n">
        <v>0.39375</v>
      </c>
      <c r="AO513" s="76" t="n">
        <v>0.3935</v>
      </c>
      <c r="AP513" s="76" t="n">
        <v>0.39375</v>
      </c>
      <c r="AQ513" s="76" t="n">
        <v>0.39375</v>
      </c>
      <c r="AR513" s="76" t="n">
        <v>0.3792781954887215</v>
      </c>
    </row>
    <row r="514">
      <c r="A514" s="76" t="inlineStr">
        <is>
          <t>OK</t>
        </is>
      </c>
      <c r="B514" s="76" t="inlineStr">
        <is>
          <t>OK</t>
        </is>
      </c>
      <c r="C514" s="76" t="n">
        <v>0.2857272727272728</v>
      </c>
      <c r="D514" s="76" t="n">
        <v>0.3015384615384615</v>
      </c>
      <c r="E514" s="76" t="n">
        <v>0.2866923076923077</v>
      </c>
      <c r="F514" s="76" t="n">
        <v>0.2753125</v>
      </c>
      <c r="G514" s="76" t="n">
        <v>0.28225</v>
      </c>
      <c r="H514" s="76" t="n">
        <v>0.2896666666666667</v>
      </c>
      <c r="I514" s="76" t="n">
        <v>0.2833888888888889</v>
      </c>
      <c r="J514" s="76" t="n">
        <v>0.2831111111111111</v>
      </c>
      <c r="K514" s="76" t="n">
        <v>0.2851666666666666</v>
      </c>
      <c r="L514" s="76" t="n">
        <v>0.2827368421052632</v>
      </c>
      <c r="M514" s="76" t="n">
        <v>0.2788947368421053</v>
      </c>
      <c r="N514" s="76" t="n">
        <v>0.2701052631578947</v>
      </c>
      <c r="O514" s="76" t="n">
        <v>0.2530526315789474</v>
      </c>
      <c r="P514" s="76" t="n">
        <v>0.2533500000000001</v>
      </c>
      <c r="Q514" s="76" t="n">
        <v>0.2559</v>
      </c>
      <c r="R514" s="76" t="n">
        <v>0.2256363636363636</v>
      </c>
      <c r="S514" s="76" t="n">
        <v>0.2233181818181818</v>
      </c>
      <c r="T514" s="76" t="n">
        <v>0.2162272727272727</v>
      </c>
      <c r="U514" s="76" t="n">
        <v>0.2122380952380952</v>
      </c>
      <c r="V514" s="76" t="n">
        <v>0.1950909090909091</v>
      </c>
      <c r="W514" s="76" t="n">
        <v>0.1909545454545455</v>
      </c>
      <c r="X514" s="76" t="n">
        <v>0.1869999999999999</v>
      </c>
      <c r="Y514" s="76" t="n">
        <v>0.18</v>
      </c>
      <c r="Z514" s="76" t="n">
        <v>0.1759047619047619</v>
      </c>
      <c r="AA514" s="76" t="n">
        <v>0.1723809523809524</v>
      </c>
      <c r="AB514" s="76" t="n">
        <v>0.1691904761904762</v>
      </c>
      <c r="AC514" s="76" t="n">
        <v>0.1693333333333333</v>
      </c>
      <c r="AD514" s="76" t="n">
        <v>0.1694761904761905</v>
      </c>
      <c r="AE514" s="76" t="n">
        <v>0.1696666666666667</v>
      </c>
      <c r="AF514" s="76" t="n">
        <v>0.1699047619047619</v>
      </c>
      <c r="AG514" s="76" t="n">
        <v>0.1701904761904762</v>
      </c>
      <c r="AH514" s="76" t="n">
        <v>0.1706190476190476</v>
      </c>
      <c r="AI514" s="76" t="n">
        <v>0.1708095238095238</v>
      </c>
      <c r="AJ514" s="76" t="n">
        <v>0.1710952380952381</v>
      </c>
      <c r="AK514" s="76" t="n">
        <v>0.1713809523809524</v>
      </c>
      <c r="AL514" s="76" t="n">
        <v>0.1715714285714286</v>
      </c>
      <c r="AM514" s="76" t="n">
        <v>0.1718571428571428</v>
      </c>
      <c r="AN514" s="76" t="n">
        <v>0.1720952380952381</v>
      </c>
      <c r="AO514" s="76" t="n">
        <v>0.1721428571428571</v>
      </c>
      <c r="AP514" s="76" t="n">
        <v>0.1725238095238095</v>
      </c>
      <c r="AQ514" s="76" t="n">
        <v>0.1727142857142857</v>
      </c>
      <c r="AR514" s="76" t="n">
        <v>0.2117045735475896</v>
      </c>
    </row>
    <row r="515">
      <c r="A515" s="76" t="inlineStr">
        <is>
          <t>OK</t>
        </is>
      </c>
      <c r="B515" s="76" t="inlineStr">
        <is>
          <t>Battery</t>
        </is>
      </c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>
        <v>-0.07050000000000001</v>
      </c>
      <c r="S515" s="76" t="n">
        <v>-0.07050000000000001</v>
      </c>
      <c r="T515" s="76" t="n">
        <v>-0.07149999999999999</v>
      </c>
      <c r="U515" s="76" t="n">
        <v>-0.07200000000000001</v>
      </c>
      <c r="V515" s="76" t="n">
        <v>-0.07266666666666667</v>
      </c>
      <c r="W515" s="76" t="n">
        <v>-0.07266666666666666</v>
      </c>
      <c r="X515" s="76" t="n">
        <v>-0.07300000000000001</v>
      </c>
      <c r="Y515" s="76" t="n">
        <v>-0.07366666666666667</v>
      </c>
      <c r="Z515" s="76" t="n">
        <v>-0.07233333333333335</v>
      </c>
      <c r="AA515" s="76" t="n">
        <v>-0.07166666666666667</v>
      </c>
      <c r="AB515" s="76" t="n">
        <v>-0.07066666666666667</v>
      </c>
      <c r="AC515" s="76" t="n">
        <v>-0.07133333333333335</v>
      </c>
      <c r="AD515" s="76" t="n">
        <v>-0.07200000000000001</v>
      </c>
      <c r="AE515" s="76" t="n">
        <v>-0.073</v>
      </c>
      <c r="AF515" s="76" t="n">
        <v>-0.07366666666666666</v>
      </c>
      <c r="AG515" s="76" t="n">
        <v>-0.074</v>
      </c>
      <c r="AH515" s="76" t="n">
        <v>-0.07366666666666666</v>
      </c>
      <c r="AI515" s="76" t="n">
        <v>-0.07366666666666666</v>
      </c>
      <c r="AJ515" s="76" t="n">
        <v>-0.07333333333333332</v>
      </c>
      <c r="AK515" s="76" t="n">
        <v>-0.07333333333333332</v>
      </c>
      <c r="AL515" s="76" t="n">
        <v>-0.073</v>
      </c>
      <c r="AM515" s="76" t="n">
        <v>-0.07233333333333335</v>
      </c>
      <c r="AN515" s="76" t="n">
        <v>-0.07133333333333335</v>
      </c>
      <c r="AO515" s="76" t="n">
        <v>-0.07100000000000001</v>
      </c>
      <c r="AP515" s="76" t="n">
        <v>-0.07000000000000001</v>
      </c>
      <c r="AQ515" s="76" t="n">
        <v>-0.06866666666666667</v>
      </c>
      <c r="AR515" s="76" t="n">
        <v>-0.07218918918918918</v>
      </c>
    </row>
    <row r="516">
      <c r="A516" s="76" t="inlineStr">
        <is>
          <t>OK</t>
        </is>
      </c>
      <c r="B516" s="76" t="inlineStr">
        <is>
          <t>Biopower</t>
        </is>
      </c>
      <c r="C516" s="76" t="n"/>
      <c r="D516" s="76" t="n">
        <v>0.522</v>
      </c>
      <c r="E516" s="76" t="n">
        <v>0.522</v>
      </c>
      <c r="F516" s="76" t="n">
        <v>0.522</v>
      </c>
      <c r="G516" s="76" t="n">
        <v>0.522</v>
      </c>
      <c r="H516" s="76" t="n">
        <v>0.522</v>
      </c>
      <c r="I516" s="76" t="n">
        <v>0.522</v>
      </c>
      <c r="J516" s="76" t="n">
        <v>0.522</v>
      </c>
      <c r="K516" s="76" t="n">
        <v>0.522</v>
      </c>
      <c r="L516" s="76" t="n">
        <v>0.522</v>
      </c>
      <c r="M516" s="76" t="n">
        <v>0.522</v>
      </c>
      <c r="N516" s="76" t="n">
        <v>0.522</v>
      </c>
      <c r="O516" s="76" t="n">
        <v>0.522</v>
      </c>
      <c r="P516" s="76" t="n">
        <v>0.522</v>
      </c>
      <c r="Q516" s="76" t="n">
        <v>0.522</v>
      </c>
      <c r="R516" s="76" t="n">
        <v>0.522</v>
      </c>
      <c r="S516" s="76" t="n">
        <v>0.522</v>
      </c>
      <c r="T516" s="76" t="n">
        <v>0.522</v>
      </c>
      <c r="U516" s="76" t="n">
        <v>0.522</v>
      </c>
      <c r="V516" s="76" t="n">
        <v>0.522</v>
      </c>
      <c r="W516" s="76" t="n">
        <v>0.522</v>
      </c>
      <c r="X516" s="76" t="n">
        <v>0.522</v>
      </c>
      <c r="Y516" s="76" t="n">
        <v>0.522</v>
      </c>
      <c r="Z516" s="76" t="n">
        <v>0.522</v>
      </c>
      <c r="AA516" s="76" t="n">
        <v>0.522</v>
      </c>
      <c r="AB516" s="76" t="n">
        <v>0.522</v>
      </c>
      <c r="AC516" s="76" t="n">
        <v>0.522</v>
      </c>
      <c r="AD516" s="76" t="n">
        <v>0.522</v>
      </c>
      <c r="AE516" s="76" t="n">
        <v>0.522</v>
      </c>
      <c r="AF516" s="76" t="n">
        <v>0.522</v>
      </c>
      <c r="AG516" s="76" t="n">
        <v>0.522</v>
      </c>
      <c r="AH516" s="76" t="n">
        <v>0.522</v>
      </c>
      <c r="AI516" s="76" t="n">
        <v>0.522</v>
      </c>
      <c r="AJ516" s="76" t="n">
        <v>0.522</v>
      </c>
      <c r="AK516" s="76" t="n">
        <v>0.522</v>
      </c>
      <c r="AL516" s="76" t="n">
        <v>0.522</v>
      </c>
      <c r="AM516" s="76" t="n">
        <v>0.504</v>
      </c>
      <c r="AN516" s="76" t="n">
        <v>0.485</v>
      </c>
      <c r="AO516" s="76" t="n">
        <v>0.466</v>
      </c>
      <c r="AP516" s="76" t="n">
        <v>0.448</v>
      </c>
      <c r="AQ516" s="76" t="n">
        <v>0.429</v>
      </c>
      <c r="AR516" s="76" t="n">
        <v>0.51505</v>
      </c>
    </row>
    <row r="517">
      <c r="A517" s="76" t="inlineStr">
        <is>
          <t>OK</t>
        </is>
      </c>
      <c r="B517" s="76" t="inlineStr">
        <is>
          <t>Coal</t>
        </is>
      </c>
      <c r="C517" s="76" t="n">
        <v>0.846</v>
      </c>
      <c r="D517" s="76" t="n">
        <v>0.6965</v>
      </c>
      <c r="E517" s="76" t="n">
        <v>0.5475</v>
      </c>
      <c r="F517" s="76" t="n">
        <v>0.679</v>
      </c>
      <c r="G517" s="76" t="n">
        <v>0.8109999999999999</v>
      </c>
      <c r="H517" s="76" t="n">
        <v>0.5985</v>
      </c>
      <c r="I517" s="76" t="n">
        <v>0.314</v>
      </c>
      <c r="J517" s="76" t="n">
        <v>0.3865</v>
      </c>
      <c r="K517" s="76" t="n">
        <v>0.476</v>
      </c>
      <c r="L517" s="76" t="n">
        <v>0.3855</v>
      </c>
      <c r="M517" s="76" t="n">
        <v>0.282</v>
      </c>
      <c r="N517" s="76" t="n">
        <v>0.227</v>
      </c>
      <c r="O517" s="76" t="n">
        <v>0.1175</v>
      </c>
      <c r="P517" s="76" t="n">
        <v>0.152</v>
      </c>
      <c r="Q517" s="76" t="n">
        <v>0.21</v>
      </c>
      <c r="R517" s="76" t="n">
        <v>0.254</v>
      </c>
      <c r="S517" s="76" t="n">
        <v>0.2785</v>
      </c>
      <c r="T517" s="76" t="n">
        <v>0.256</v>
      </c>
      <c r="U517" s="76" t="n">
        <v>0.319</v>
      </c>
      <c r="V517" s="76" t="n">
        <v>0.282</v>
      </c>
      <c r="W517" s="76" t="n">
        <v>0.245</v>
      </c>
      <c r="X517" s="76" t="n">
        <v>0.245</v>
      </c>
      <c r="Y517" s="76" t="n"/>
      <c r="Z517" s="76" t="n"/>
      <c r="AA517" s="76" t="n"/>
      <c r="AB517" s="76" t="n"/>
      <c r="AC517" s="76" t="n"/>
      <c r="AD517" s="76" t="n"/>
      <c r="AE517" s="76" t="n"/>
      <c r="AF517" s="76" t="n"/>
      <c r="AG517" s="76" t="n"/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>
        <v>0.4031500000000001</v>
      </c>
    </row>
    <row r="518">
      <c r="A518" s="76" t="inlineStr">
        <is>
          <t>OK</t>
        </is>
      </c>
      <c r="B518" s="76" t="inlineStr">
        <is>
          <t>CSP</t>
        </is>
      </c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  <c r="AA518" s="76" t="n"/>
      <c r="AB518" s="76" t="n"/>
      <c r="AC518" s="76" t="n"/>
      <c r="AD518" s="76" t="n"/>
      <c r="AE518" s="76" t="n"/>
      <c r="AF518" s="76" t="n"/>
      <c r="AG518" s="76" t="n"/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</row>
    <row r="519">
      <c r="A519" s="76" t="inlineStr">
        <is>
          <t>OK</t>
        </is>
      </c>
      <c r="B519" s="76" t="inlineStr">
        <is>
          <t>Dist PV</t>
        </is>
      </c>
      <c r="C519" s="76" t="n"/>
      <c r="D519" s="76" t="n"/>
      <c r="E519" s="76" t="n"/>
      <c r="F519" s="76" t="n">
        <v>0.1893333333333334</v>
      </c>
      <c r="G519" s="76" t="n">
        <v>0.1893333333333334</v>
      </c>
      <c r="H519" s="76" t="n">
        <v>0.1893333333333334</v>
      </c>
      <c r="I519" s="76" t="n">
        <v>0.1893333333333334</v>
      </c>
      <c r="J519" s="76" t="n">
        <v>0.1893333333333334</v>
      </c>
      <c r="K519" s="76" t="n">
        <v>0.1893333333333334</v>
      </c>
      <c r="L519" s="76" t="n">
        <v>0.1893333333333334</v>
      </c>
      <c r="M519" s="76" t="n">
        <v>0.1893333333333334</v>
      </c>
      <c r="N519" s="76" t="n">
        <v>0.1893333333333334</v>
      </c>
      <c r="O519" s="76" t="n">
        <v>0.1893333333333334</v>
      </c>
      <c r="P519" s="76" t="n">
        <v>0.1893333333333334</v>
      </c>
      <c r="Q519" s="76" t="n">
        <v>0.1893333333333334</v>
      </c>
      <c r="R519" s="76" t="n">
        <v>0.1893333333333334</v>
      </c>
      <c r="S519" s="76" t="n">
        <v>0.1893333333333334</v>
      </c>
      <c r="T519" s="76" t="n">
        <v>0.1893333333333334</v>
      </c>
      <c r="U519" s="76" t="n">
        <v>0.1893333333333334</v>
      </c>
      <c r="V519" s="76" t="n">
        <v>0.1893333333333334</v>
      </c>
      <c r="W519" s="76" t="n">
        <v>0.1893333333333334</v>
      </c>
      <c r="X519" s="76" t="n">
        <v>0.1893333333333334</v>
      </c>
      <c r="Y519" s="76" t="n">
        <v>0.1893333333333334</v>
      </c>
      <c r="Z519" s="76" t="n">
        <v>0.1893333333333334</v>
      </c>
      <c r="AA519" s="76" t="n">
        <v>0.1893333333333334</v>
      </c>
      <c r="AB519" s="76" t="n">
        <v>0.1893333333333334</v>
      </c>
      <c r="AC519" s="76" t="n">
        <v>0.1893333333333334</v>
      </c>
      <c r="AD519" s="76" t="n">
        <v>0.1893333333333334</v>
      </c>
      <c r="AE519" s="76" t="n">
        <v>0.1893333333333334</v>
      </c>
      <c r="AF519" s="76" t="n">
        <v>0.1893333333333334</v>
      </c>
      <c r="AG519" s="76" t="n">
        <v>0.1893333333333334</v>
      </c>
      <c r="AH519" s="76" t="n">
        <v>0.1893333333333334</v>
      </c>
      <c r="AI519" s="76" t="n">
        <v>0.1893333333333334</v>
      </c>
      <c r="AJ519" s="76" t="n">
        <v>0.1893333333333334</v>
      </c>
      <c r="AK519" s="76" t="n">
        <v>0.1893333333333334</v>
      </c>
      <c r="AL519" s="76" t="n">
        <v>0.1893333333333334</v>
      </c>
      <c r="AM519" s="76" t="n">
        <v>0.1893333333333334</v>
      </c>
      <c r="AN519" s="76" t="n">
        <v>0.1893333333333334</v>
      </c>
      <c r="AO519" s="76" t="n">
        <v>0.1893333333333334</v>
      </c>
      <c r="AP519" s="76" t="n">
        <v>0.1893333333333334</v>
      </c>
      <c r="AQ519" s="76" t="n">
        <v>0.1893333333333334</v>
      </c>
      <c r="AR519" s="76" t="n">
        <v>0.1893333333333331</v>
      </c>
    </row>
    <row r="520">
      <c r="A520" s="76" t="inlineStr">
        <is>
          <t>OK</t>
        </is>
      </c>
      <c r="B520" s="76" t="inlineStr">
        <is>
          <t>Gas CCGT</t>
        </is>
      </c>
      <c r="C520" s="76" t="n">
        <v>0.2445</v>
      </c>
      <c r="D520" s="76" t="n">
        <v>0.3935</v>
      </c>
      <c r="E520" s="76" t="n">
        <v>0.53</v>
      </c>
      <c r="F520" s="76" t="n">
        <v>0.428</v>
      </c>
      <c r="G520" s="76" t="n">
        <v>0.3265</v>
      </c>
      <c r="H520" s="76" t="n">
        <v>0.5125</v>
      </c>
      <c r="I520" s="76" t="n">
        <v>0.6990000000000001</v>
      </c>
      <c r="J520" s="76" t="n">
        <v>0.64</v>
      </c>
      <c r="K520" s="76" t="n">
        <v>0.5825</v>
      </c>
      <c r="L520" s="76" t="n">
        <v>0.6234999999999999</v>
      </c>
      <c r="M520" s="76" t="n">
        <v>0.665</v>
      </c>
      <c r="N520" s="76" t="n">
        <v>0.6335</v>
      </c>
      <c r="O520" s="76" t="n">
        <v>0.6014999999999999</v>
      </c>
      <c r="P520" s="76" t="n">
        <v>0.583</v>
      </c>
      <c r="Q520" s="76" t="n">
        <v>0.5635</v>
      </c>
      <c r="R520" s="76" t="n">
        <v>0.526</v>
      </c>
      <c r="S520" s="76" t="n">
        <v>0.4885</v>
      </c>
      <c r="T520" s="76" t="n">
        <v>0.4355</v>
      </c>
      <c r="U520" s="76" t="n">
        <v>0.383</v>
      </c>
      <c r="V520" s="76" t="n">
        <v>0.356</v>
      </c>
      <c r="W520" s="76" t="n">
        <v>0.33</v>
      </c>
      <c r="X520" s="76" t="n">
        <v>0.2965</v>
      </c>
      <c r="Y520" s="76" t="n">
        <v>0.263</v>
      </c>
      <c r="Z520" s="76" t="n">
        <v>0.2365</v>
      </c>
      <c r="AA520" s="76" t="n">
        <v>0.2105</v>
      </c>
      <c r="AB520" s="76" t="n">
        <v>0.1845</v>
      </c>
      <c r="AC520" s="76" t="n">
        <v>0.1835</v>
      </c>
      <c r="AD520" s="76" t="n">
        <v>0.1825</v>
      </c>
      <c r="AE520" s="76" t="n">
        <v>0.182</v>
      </c>
      <c r="AF520" s="76" t="n">
        <v>0.1815</v>
      </c>
      <c r="AG520" s="76" t="n">
        <v>0.181</v>
      </c>
      <c r="AH520" s="76" t="n">
        <v>0.181</v>
      </c>
      <c r="AI520" s="76" t="n">
        <v>0.181</v>
      </c>
      <c r="AJ520" s="76" t="n">
        <v>0.181</v>
      </c>
      <c r="AK520" s="76" t="n">
        <v>0.181</v>
      </c>
      <c r="AL520" s="76" t="n">
        <v>0.1815</v>
      </c>
      <c r="AM520" s="76" t="n">
        <v>0.18</v>
      </c>
      <c r="AN520" s="76" t="n">
        <v>0.179</v>
      </c>
      <c r="AO520" s="76" t="n">
        <v>0.1775</v>
      </c>
      <c r="AP520" s="76" t="n">
        <v>0.1765</v>
      </c>
      <c r="AQ520" s="76" t="n">
        <v>0.1755</v>
      </c>
      <c r="AR520" s="76" t="n">
        <v>0.352219512195122</v>
      </c>
    </row>
    <row r="521">
      <c r="A521" s="76" t="inlineStr">
        <is>
          <t>OK</t>
        </is>
      </c>
      <c r="B521" s="76" t="inlineStr">
        <is>
          <t>Gas CT</t>
        </is>
      </c>
      <c r="C521" s="76" t="n">
        <v>0.004</v>
      </c>
      <c r="D521" s="76" t="n">
        <v>0.004</v>
      </c>
      <c r="E521" s="76" t="n">
        <v>0.004</v>
      </c>
      <c r="F521" s="76" t="n">
        <v>0.004</v>
      </c>
      <c r="G521" s="76" t="n">
        <v>0.004</v>
      </c>
      <c r="H521" s="76" t="n">
        <v>0.0065</v>
      </c>
      <c r="I521" s="76" t="n">
        <v>0.008500000000000001</v>
      </c>
      <c r="J521" s="76" t="n">
        <v>0.0095</v>
      </c>
      <c r="K521" s="76" t="n">
        <v>0.0105</v>
      </c>
      <c r="L521" s="76" t="n">
        <v>0.0125</v>
      </c>
      <c r="M521" s="76" t="n">
        <v>0.015</v>
      </c>
      <c r="N521" s="76" t="n">
        <v>0.018</v>
      </c>
      <c r="O521" s="76" t="n">
        <v>0.0215</v>
      </c>
      <c r="P521" s="76" t="n">
        <v>0.02</v>
      </c>
      <c r="Q521" s="76" t="n">
        <v>0.0185</v>
      </c>
      <c r="R521" s="76" t="n">
        <v>0.0115</v>
      </c>
      <c r="S521" s="76" t="n">
        <v>0.0035</v>
      </c>
      <c r="T521" s="76" t="n">
        <v>0.0035</v>
      </c>
      <c r="U521" s="76" t="n">
        <v>0.0035</v>
      </c>
      <c r="V521" s="76" t="n">
        <v>0.003</v>
      </c>
      <c r="W521" s="76" t="n">
        <v>0.002</v>
      </c>
      <c r="X521" s="76" t="n">
        <v>0.0015</v>
      </c>
      <c r="Y521" s="76" t="n">
        <v>0.0005</v>
      </c>
      <c r="Z521" s="76" t="n">
        <v>0.0005</v>
      </c>
      <c r="AA521" s="76" t="n">
        <v>0</v>
      </c>
      <c r="AB521" s="76" t="n">
        <v>0</v>
      </c>
      <c r="AC521" s="76" t="n">
        <v>0</v>
      </c>
      <c r="AD521" s="76" t="n">
        <v>0</v>
      </c>
      <c r="AE521" s="76" t="n">
        <v>0</v>
      </c>
      <c r="AF521" s="76" t="n">
        <v>0</v>
      </c>
      <c r="AG521" s="76" t="n">
        <v>0</v>
      </c>
      <c r="AH521" s="76" t="n">
        <v>0.0005</v>
      </c>
      <c r="AI521" s="76" t="n">
        <v>0.0005</v>
      </c>
      <c r="AJ521" s="76" t="n">
        <v>0.001</v>
      </c>
      <c r="AK521" s="76" t="n">
        <v>0.0015</v>
      </c>
      <c r="AL521" s="76" t="n">
        <v>0.0015</v>
      </c>
      <c r="AM521" s="76" t="n">
        <v>0.0015</v>
      </c>
      <c r="AN521" s="76" t="n">
        <v>0.001</v>
      </c>
      <c r="AO521" s="76" t="n">
        <v>0.0005</v>
      </c>
      <c r="AP521" s="76" t="n">
        <v>0.0005</v>
      </c>
      <c r="AQ521" s="76" t="n">
        <v>0</v>
      </c>
      <c r="AR521" s="76" t="n">
        <v>0.004841463414634148</v>
      </c>
    </row>
    <row r="522">
      <c r="A522" s="76" t="inlineStr">
        <is>
          <t>OK</t>
        </is>
      </c>
      <c r="B522" s="76" t="inlineStr">
        <is>
          <t>Geothermal</t>
        </is>
      </c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76" t="n"/>
      <c r="AC522" s="76" t="n"/>
      <c r="AD522" s="76" t="n"/>
      <c r="AE522" s="76" t="n"/>
      <c r="AF522" s="76" t="n"/>
      <c r="AG522" s="76" t="n"/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</row>
    <row r="523">
      <c r="A523" s="76" t="inlineStr">
        <is>
          <t>OK</t>
        </is>
      </c>
      <c r="B523" s="76" t="inlineStr">
        <is>
          <t>Hydro</t>
        </is>
      </c>
      <c r="C523" s="76" t="n">
        <v>0.314</v>
      </c>
      <c r="D523" s="76" t="n">
        <v>0.2235</v>
      </c>
      <c r="E523" s="76" t="n">
        <v>0.1325</v>
      </c>
      <c r="F523" s="76" t="n">
        <v>0.156</v>
      </c>
      <c r="G523" s="76" t="n">
        <v>0.179</v>
      </c>
      <c r="H523" s="76" t="n">
        <v>0.2005</v>
      </c>
      <c r="I523" s="76" t="n">
        <v>0.223</v>
      </c>
      <c r="J523" s="76" t="n">
        <v>0.222</v>
      </c>
      <c r="K523" s="76" t="n">
        <v>0.2215</v>
      </c>
      <c r="L523" s="76" t="n">
        <v>0.223</v>
      </c>
      <c r="M523" s="76" t="n">
        <v>0.225</v>
      </c>
      <c r="N523" s="76" t="n">
        <v>0.2205</v>
      </c>
      <c r="O523" s="76" t="n">
        <v>0.2155</v>
      </c>
      <c r="P523" s="76" t="n">
        <v>0.2175</v>
      </c>
      <c r="Q523" s="76" t="n">
        <v>0.2195</v>
      </c>
      <c r="R523" s="76" t="n">
        <v>0.215</v>
      </c>
      <c r="S523" s="76" t="n">
        <v>0.211</v>
      </c>
      <c r="T523" s="76" t="n">
        <v>0.212</v>
      </c>
      <c r="U523" s="76" t="n">
        <v>0.213</v>
      </c>
      <c r="V523" s="76" t="n">
        <v>0.212</v>
      </c>
      <c r="W523" s="76" t="n">
        <v>0.211</v>
      </c>
      <c r="X523" s="76" t="n">
        <v>0.2105</v>
      </c>
      <c r="Y523" s="76" t="n">
        <v>0.21</v>
      </c>
      <c r="Z523" s="76" t="n">
        <v>0.212</v>
      </c>
      <c r="AA523" s="76" t="n">
        <v>0.214</v>
      </c>
      <c r="AB523" s="76" t="n">
        <v>0.216</v>
      </c>
      <c r="AC523" s="76" t="n">
        <v>0.2155</v>
      </c>
      <c r="AD523" s="76" t="n">
        <v>0.215</v>
      </c>
      <c r="AE523" s="76" t="n">
        <v>0.2145</v>
      </c>
      <c r="AF523" s="76" t="n">
        <v>0.2145</v>
      </c>
      <c r="AG523" s="76" t="n">
        <v>0.214</v>
      </c>
      <c r="AH523" s="76" t="n">
        <v>0.215</v>
      </c>
      <c r="AI523" s="76" t="n">
        <v>0.216</v>
      </c>
      <c r="AJ523" s="76" t="n">
        <v>0.217</v>
      </c>
      <c r="AK523" s="76" t="n">
        <v>0.218</v>
      </c>
      <c r="AL523" s="76" t="n">
        <v>0.219</v>
      </c>
      <c r="AM523" s="76" t="n">
        <v>0.219</v>
      </c>
      <c r="AN523" s="76" t="n">
        <v>0.219</v>
      </c>
      <c r="AO523" s="76" t="n">
        <v>0.219</v>
      </c>
      <c r="AP523" s="76" t="n">
        <v>0.219</v>
      </c>
      <c r="AQ523" s="76" t="n">
        <v>0.219</v>
      </c>
      <c r="AR523" s="76" t="n">
        <v>0.214219512195122</v>
      </c>
    </row>
    <row r="524">
      <c r="A524" s="76" t="inlineStr">
        <is>
          <t>OK</t>
        </is>
      </c>
      <c r="B524" s="76" t="inlineStr">
        <is>
          <t>Nuclear</t>
        </is>
      </c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76" t="n"/>
      <c r="AC524" s="76" t="n"/>
      <c r="AD524" s="76" t="n"/>
      <c r="AE524" s="76" t="n"/>
      <c r="AF524" s="76" t="n"/>
      <c r="AG524" s="76" t="n"/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</row>
    <row r="525">
      <c r="A525" s="76" t="inlineStr">
        <is>
          <t>OK</t>
        </is>
      </c>
      <c r="B525" s="76" t="inlineStr">
        <is>
          <t>Other</t>
        </is>
      </c>
      <c r="C525" s="76" t="n">
        <v>0</v>
      </c>
      <c r="D525" s="76" t="n">
        <v>0</v>
      </c>
      <c r="E525" s="76" t="n">
        <v>0</v>
      </c>
      <c r="F525" s="76" t="n">
        <v>0</v>
      </c>
      <c r="G525" s="76" t="n">
        <v>0</v>
      </c>
      <c r="H525" s="76" t="n">
        <v>0.016</v>
      </c>
      <c r="I525" s="76" t="n">
        <v>0.032</v>
      </c>
      <c r="J525" s="76" t="n">
        <v>0.019</v>
      </c>
      <c r="K525" s="76" t="n">
        <v>0.0055</v>
      </c>
      <c r="L525" s="76" t="n">
        <v>0.027</v>
      </c>
      <c r="M525" s="76" t="n">
        <v>0.0495</v>
      </c>
      <c r="N525" s="76" t="n">
        <v>0.033</v>
      </c>
      <c r="O525" s="76" t="n">
        <v>0.0165</v>
      </c>
      <c r="P525" s="76" t="n">
        <v>0.0115</v>
      </c>
      <c r="Q525" s="76" t="n">
        <v>0.0065</v>
      </c>
      <c r="R525" s="76" t="n">
        <v>0.003</v>
      </c>
      <c r="S525" s="76" t="n">
        <v>0</v>
      </c>
      <c r="T525" s="76" t="n">
        <v>0</v>
      </c>
      <c r="U525" s="76" t="n">
        <v>0</v>
      </c>
      <c r="V525" s="76" t="n">
        <v>0</v>
      </c>
      <c r="W525" s="76" t="n">
        <v>0</v>
      </c>
      <c r="X525" s="76" t="n">
        <v>0</v>
      </c>
      <c r="Y525" s="76" t="n">
        <v>0</v>
      </c>
      <c r="Z525" s="76" t="n">
        <v>0</v>
      </c>
      <c r="AA525" s="76" t="n">
        <v>0</v>
      </c>
      <c r="AB525" s="76" t="n">
        <v>0</v>
      </c>
      <c r="AC525" s="76" t="n">
        <v>0</v>
      </c>
      <c r="AD525" s="76" t="n">
        <v>0</v>
      </c>
      <c r="AE525" s="76" t="n">
        <v>0</v>
      </c>
      <c r="AF525" s="76" t="n">
        <v>0</v>
      </c>
      <c r="AG525" s="76" t="n">
        <v>0</v>
      </c>
      <c r="AH525" s="76" t="n">
        <v>0</v>
      </c>
      <c r="AI525" s="76" t="n">
        <v>0</v>
      </c>
      <c r="AJ525" s="76" t="n">
        <v>0</v>
      </c>
      <c r="AK525" s="76" t="n">
        <v>0</v>
      </c>
      <c r="AL525" s="76" t="n">
        <v>0</v>
      </c>
      <c r="AM525" s="76" t="n">
        <v>0</v>
      </c>
      <c r="AN525" s="76" t="n">
        <v>0</v>
      </c>
      <c r="AO525" s="76" t="n">
        <v>0</v>
      </c>
      <c r="AP525" s="76" t="n">
        <v>0</v>
      </c>
      <c r="AQ525" s="76" t="n">
        <v>0</v>
      </c>
      <c r="AR525" s="76" t="n">
        <v>0.005353658536585366</v>
      </c>
    </row>
    <row r="526">
      <c r="A526" s="76" t="inlineStr">
        <is>
          <t>OK</t>
        </is>
      </c>
      <c r="B526" s="76" t="inlineStr">
        <is>
          <t>Utility PV</t>
        </is>
      </c>
      <c r="C526" s="76" t="n"/>
      <c r="D526" s="76" t="n"/>
      <c r="E526" s="76" t="n"/>
      <c r="F526" s="76" t="n"/>
      <c r="G526" s="76" t="n"/>
      <c r="H526" s="76" t="n">
        <v>0.282</v>
      </c>
      <c r="I526" s="76" t="n">
        <v>0.282</v>
      </c>
      <c r="J526" s="76" t="n">
        <v>0.274</v>
      </c>
      <c r="K526" s="76" t="n">
        <v>0.273</v>
      </c>
      <c r="L526" s="76" t="n">
        <v>0.2815</v>
      </c>
      <c r="M526" s="76" t="n">
        <v>0.281</v>
      </c>
      <c r="N526" s="76" t="n">
        <v>0.284</v>
      </c>
      <c r="O526" s="76" t="n">
        <v>0.2845</v>
      </c>
      <c r="P526" s="76" t="n">
        <v>0.2733333333333334</v>
      </c>
      <c r="Q526" s="76" t="n">
        <v>0.2726666666666667</v>
      </c>
      <c r="R526" s="76" t="n">
        <v>0.2726666666666667</v>
      </c>
      <c r="S526" s="76" t="n">
        <v>0.272</v>
      </c>
      <c r="T526" s="76" t="n">
        <v>0.2703333333333333</v>
      </c>
      <c r="U526" s="76" t="n">
        <v>0.269</v>
      </c>
      <c r="V526" s="76" t="n">
        <v>0.2676666666666667</v>
      </c>
      <c r="W526" s="76" t="n">
        <v>0.2663333333333334</v>
      </c>
      <c r="X526" s="76" t="n">
        <v>0.265</v>
      </c>
      <c r="Y526" s="76" t="n">
        <v>0.2633333333333334</v>
      </c>
      <c r="Z526" s="76" t="n">
        <v>0.2616666666666667</v>
      </c>
      <c r="AA526" s="76" t="n">
        <v>0.2606666666666667</v>
      </c>
      <c r="AB526" s="76" t="n">
        <v>0.2593333333333334</v>
      </c>
      <c r="AC526" s="76" t="n">
        <v>0.258</v>
      </c>
      <c r="AD526" s="76" t="n">
        <v>0.2563333333333334</v>
      </c>
      <c r="AE526" s="76" t="n">
        <v>0.2553333333333334</v>
      </c>
      <c r="AF526" s="76" t="n">
        <v>0.254</v>
      </c>
      <c r="AG526" s="76" t="n">
        <v>0.2526666666666667</v>
      </c>
      <c r="AH526" s="76" t="n">
        <v>0.2533333333333334</v>
      </c>
      <c r="AI526" s="76" t="n">
        <v>0.253</v>
      </c>
      <c r="AJ526" s="76" t="n">
        <v>0.2526666666666667</v>
      </c>
      <c r="AK526" s="76" t="n">
        <v>0.2526666666666667</v>
      </c>
      <c r="AL526" s="76" t="n">
        <v>0.252</v>
      </c>
      <c r="AM526" s="76" t="n">
        <v>0.2513333333333334</v>
      </c>
      <c r="AN526" s="76" t="n">
        <v>0.2503333333333334</v>
      </c>
      <c r="AO526" s="76" t="n">
        <v>0.2496666666666667</v>
      </c>
      <c r="AP526" s="76" t="n">
        <v>0.249</v>
      </c>
      <c r="AQ526" s="76" t="n">
        <v>0.248</v>
      </c>
      <c r="AR526" s="76" t="n">
        <v>0.2620833333333333</v>
      </c>
    </row>
    <row r="527">
      <c r="A527" s="76" t="inlineStr">
        <is>
          <t>OK</t>
        </is>
      </c>
      <c r="B527" s="76" t="inlineStr">
        <is>
          <t>Wind offshore</t>
        </is>
      </c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  <c r="AA527" s="76" t="n"/>
      <c r="AB527" s="76" t="n"/>
      <c r="AC527" s="76" t="n"/>
      <c r="AD527" s="76" t="n"/>
      <c r="AE527" s="76" t="n"/>
      <c r="AF527" s="76" t="n"/>
      <c r="AG527" s="76" t="n"/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</row>
    <row r="528">
      <c r="A528" s="76" t="inlineStr">
        <is>
          <t>OK</t>
        </is>
      </c>
      <c r="B528" s="76" t="inlineStr">
        <is>
          <t>Wind onshore</t>
        </is>
      </c>
      <c r="C528" s="76" t="n">
        <v>0.326</v>
      </c>
      <c r="D528" s="76" t="n">
        <v>0.3815</v>
      </c>
      <c r="E528" s="76" t="n">
        <v>0.3885</v>
      </c>
      <c r="F528" s="76" t="n">
        <v>0.3905</v>
      </c>
      <c r="G528" s="76" t="n">
        <v>0.3925</v>
      </c>
      <c r="H528" s="76" t="n">
        <v>0.3913333333333333</v>
      </c>
      <c r="I528" s="76" t="n">
        <v>0.3920000000000001</v>
      </c>
      <c r="J528" s="76" t="n">
        <v>0.3926666666666667</v>
      </c>
      <c r="K528" s="76" t="n">
        <v>0.3926666666666667</v>
      </c>
      <c r="L528" s="76" t="n">
        <v>0.3920000000000001</v>
      </c>
      <c r="M528" s="76" t="n">
        <v>0.3913333333333333</v>
      </c>
      <c r="N528" s="76" t="n">
        <v>0.4033333333333333</v>
      </c>
      <c r="O528" s="76" t="n">
        <v>0.4013333333333333</v>
      </c>
      <c r="P528" s="76" t="n">
        <v>0.3963333333333334</v>
      </c>
      <c r="Q528" s="76" t="n">
        <v>0.3913333333333333</v>
      </c>
      <c r="R528" s="76" t="n">
        <v>0.3926666666666667</v>
      </c>
      <c r="S528" s="76" t="n">
        <v>0.395</v>
      </c>
      <c r="T528" s="76" t="n">
        <v>0.395</v>
      </c>
      <c r="U528" s="76" t="n">
        <v>0.3953333333333333</v>
      </c>
      <c r="V528" s="76" t="n">
        <v>0.3976666666666667</v>
      </c>
      <c r="W528" s="76" t="n">
        <v>0.3996666666666667</v>
      </c>
      <c r="X528" s="76" t="n">
        <v>0.3953333333333333</v>
      </c>
      <c r="Y528" s="76" t="n">
        <v>0.3913333333333333</v>
      </c>
      <c r="Z528" s="76" t="n">
        <v>0.3793333333333334</v>
      </c>
      <c r="AA528" s="76" t="n">
        <v>0.3713333333333333</v>
      </c>
      <c r="AB528" s="76" t="n">
        <v>0.3653333333333333</v>
      </c>
      <c r="AC528" s="76" t="n">
        <v>0.3693333333333333</v>
      </c>
      <c r="AD528" s="76" t="n">
        <v>0.3736666666666666</v>
      </c>
      <c r="AE528" s="76" t="n">
        <v>0.3776666666666667</v>
      </c>
      <c r="AF528" s="76" t="n">
        <v>0.3816666666666667</v>
      </c>
      <c r="AG528" s="76" t="n">
        <v>0.386</v>
      </c>
      <c r="AH528" s="76" t="n">
        <v>0.387</v>
      </c>
      <c r="AI528" s="76" t="n">
        <v>0.388</v>
      </c>
      <c r="AJ528" s="76" t="n">
        <v>0.389</v>
      </c>
      <c r="AK528" s="76" t="n">
        <v>0.39</v>
      </c>
      <c r="AL528" s="76" t="n">
        <v>0.3906666666666667</v>
      </c>
      <c r="AM528" s="76" t="n">
        <v>0.3996666666666667</v>
      </c>
      <c r="AN528" s="76" t="n">
        <v>0.4086666666666667</v>
      </c>
      <c r="AO528" s="76" t="n">
        <v>0.417</v>
      </c>
      <c r="AP528" s="76" t="n">
        <v>0.426</v>
      </c>
      <c r="AQ528" s="76" t="n">
        <v>0.4343333333333333</v>
      </c>
      <c r="AR528" s="76" t="n">
        <v>0.3919230769230767</v>
      </c>
    </row>
    <row r="529">
      <c r="A529" s="76" t="inlineStr">
        <is>
          <t>OR</t>
        </is>
      </c>
      <c r="B529" s="76" t="inlineStr">
        <is>
          <t>OR</t>
        </is>
      </c>
      <c r="C529" s="76" t="n">
        <v>0.3455</v>
      </c>
      <c r="D529" s="76" t="n">
        <v>0.3277058823529412</v>
      </c>
      <c r="E529" s="76" t="n">
        <v>0.323764705882353</v>
      </c>
      <c r="F529" s="76" t="n">
        <v>0.3002105263157895</v>
      </c>
      <c r="G529" s="76" t="n">
        <v>0.2982105263157894</v>
      </c>
      <c r="H529" s="76" t="n">
        <v>0.2856315789473685</v>
      </c>
      <c r="I529" s="76" t="n">
        <v>0.2725263157894737</v>
      </c>
      <c r="J529" s="76" t="n">
        <v>0.2827368421052632</v>
      </c>
      <c r="K529" s="76" t="n">
        <v>0.2927894736842105</v>
      </c>
      <c r="L529" s="76" t="n">
        <v>0.2505714285714286</v>
      </c>
      <c r="M529" s="76" t="n">
        <v>0.2387142857142857</v>
      </c>
      <c r="N529" s="76" t="n">
        <v>0.2489090909090909</v>
      </c>
      <c r="O529" s="76" t="n">
        <v>0.2583333333333333</v>
      </c>
      <c r="P529" s="76" t="n">
        <v>0.2577142857142857</v>
      </c>
      <c r="Q529" s="76" t="n">
        <v>0.2570952380952381</v>
      </c>
      <c r="R529" s="76" t="n">
        <v>0.2525714285714286</v>
      </c>
      <c r="S529" s="76" t="n">
        <v>0.2473809523809524</v>
      </c>
      <c r="T529" s="76" t="n">
        <v>0.2428571428571429</v>
      </c>
      <c r="U529" s="76" t="n">
        <v>0.238952380952381</v>
      </c>
      <c r="V529" s="76" t="n">
        <v>0.2357142857142858</v>
      </c>
      <c r="W529" s="76" t="n">
        <v>0.2323809523809524</v>
      </c>
      <c r="X529" s="76" t="n">
        <v>0.2304761904761905</v>
      </c>
      <c r="Y529" s="76" t="n">
        <v>0.2287619047619048</v>
      </c>
      <c r="Z529" s="76" t="n">
        <v>0.2350909090909091</v>
      </c>
      <c r="AA529" s="76" t="n">
        <v>0.2313181818181818</v>
      </c>
      <c r="AB529" s="76" t="n">
        <v>0.2274090909090909</v>
      </c>
      <c r="AC529" s="76" t="n">
        <v>0.2307391304347826</v>
      </c>
      <c r="AD529" s="76" t="n">
        <v>0.2264347826086957</v>
      </c>
      <c r="AE529" s="76" t="n">
        <v>0.2221739130434782</v>
      </c>
      <c r="AF529" s="76" t="n">
        <v>0.2178260869565217</v>
      </c>
      <c r="AG529" s="76" t="n">
        <v>0.213695652173913</v>
      </c>
      <c r="AH529" s="76" t="n">
        <v>0.2131739130434783</v>
      </c>
      <c r="AI529" s="76" t="n">
        <v>0.2123043478260869</v>
      </c>
      <c r="AJ529" s="76" t="n">
        <v>0.2114347826086957</v>
      </c>
      <c r="AK529" s="76" t="n">
        <v>0.2104347826086956</v>
      </c>
      <c r="AL529" s="76" t="n">
        <v>0.2093478260869565</v>
      </c>
      <c r="AM529" s="76" t="n">
        <v>0.2058695652173913</v>
      </c>
      <c r="AN529" s="76" t="n">
        <v>0.2024347826086956</v>
      </c>
      <c r="AO529" s="76" t="n">
        <v>0.199</v>
      </c>
      <c r="AP529" s="76" t="n">
        <v>0.1953478260869566</v>
      </c>
      <c r="AQ529" s="76" t="n">
        <v>0.1916086956521739</v>
      </c>
      <c r="AR529" s="76" t="n">
        <v>0.240652073732719</v>
      </c>
    </row>
    <row r="530">
      <c r="A530" s="76" t="inlineStr">
        <is>
          <t>OR</t>
        </is>
      </c>
      <c r="B530" s="76" t="inlineStr">
        <is>
          <t>Battery</t>
        </is>
      </c>
      <c r="C530" s="76" t="n"/>
      <c r="D530" s="76" t="n"/>
      <c r="E530" s="76" t="n"/>
      <c r="F530" s="76" t="n">
        <v>-0.019</v>
      </c>
      <c r="G530" s="76" t="n">
        <v>-0.019</v>
      </c>
      <c r="H530" s="76" t="n">
        <v>-0.029</v>
      </c>
      <c r="I530" s="76" t="n">
        <v>-0.039</v>
      </c>
      <c r="J530" s="76" t="n">
        <v>-0.036</v>
      </c>
      <c r="K530" s="76" t="n">
        <v>-0.033</v>
      </c>
      <c r="L530" s="76" t="n">
        <v>-0.02833333333333334</v>
      </c>
      <c r="M530" s="76" t="n">
        <v>-0.02833333333333334</v>
      </c>
      <c r="N530" s="76" t="n">
        <v>-0.01966666666666667</v>
      </c>
      <c r="O530" s="76" t="n">
        <v>-0.01633333333333334</v>
      </c>
      <c r="P530" s="76" t="n">
        <v>-0.01766666666666666</v>
      </c>
      <c r="Q530" s="76" t="n">
        <v>-0.019</v>
      </c>
      <c r="R530" s="76" t="n">
        <v>-0.01633333333333334</v>
      </c>
      <c r="S530" s="76" t="n">
        <v>-0.015</v>
      </c>
      <c r="T530" s="76" t="n">
        <v>-0.02233333333333333</v>
      </c>
      <c r="U530" s="76" t="n">
        <v>-0.027</v>
      </c>
      <c r="V530" s="76" t="n">
        <v>-0.03</v>
      </c>
      <c r="W530" s="76" t="n">
        <v>-0.03366666666666667</v>
      </c>
      <c r="X530" s="76" t="n">
        <v>-0.03766666666666667</v>
      </c>
      <c r="Y530" s="76" t="n">
        <v>-0.04033333333333333</v>
      </c>
      <c r="Z530" s="76" t="n">
        <v>-0.042</v>
      </c>
      <c r="AA530" s="76" t="n">
        <v>-0.043</v>
      </c>
      <c r="AB530" s="76" t="n">
        <v>-0.044</v>
      </c>
      <c r="AC530" s="76" t="n">
        <v>-0.04433333333333334</v>
      </c>
      <c r="AD530" s="76" t="n">
        <v>-0.04433333333333334</v>
      </c>
      <c r="AE530" s="76" t="n">
        <v>-0.044</v>
      </c>
      <c r="AF530" s="76" t="n">
        <v>-0.044</v>
      </c>
      <c r="AG530" s="76" t="n">
        <v>-0.04333333333333333</v>
      </c>
      <c r="AH530" s="76" t="n">
        <v>-0.04266666666666667</v>
      </c>
      <c r="AI530" s="76" t="n">
        <v>-0.04266666666666667</v>
      </c>
      <c r="AJ530" s="76" t="n">
        <v>-0.04233333333333333</v>
      </c>
      <c r="AK530" s="76" t="n">
        <v>-0.04266666666666667</v>
      </c>
      <c r="AL530" s="76" t="n">
        <v>-0.043</v>
      </c>
      <c r="AM530" s="76" t="n">
        <v>-0.04600000000000001</v>
      </c>
      <c r="AN530" s="76" t="n">
        <v>-0.04866666666666666</v>
      </c>
      <c r="AO530" s="76" t="n">
        <v>-0.052</v>
      </c>
      <c r="AP530" s="76" t="n">
        <v>-0.05533333333333334</v>
      </c>
      <c r="AQ530" s="76" t="n">
        <v>-0.06</v>
      </c>
      <c r="AR530" s="76" t="n">
        <v>-0.03630392156862744</v>
      </c>
    </row>
    <row r="531">
      <c r="A531" s="76" t="inlineStr">
        <is>
          <t>OR</t>
        </is>
      </c>
      <c r="B531" s="76" t="inlineStr">
        <is>
          <t>Biopower</t>
        </is>
      </c>
      <c r="C531" s="76" t="n">
        <v>0.2165</v>
      </c>
      <c r="D531" s="76" t="n">
        <v>0.206</v>
      </c>
      <c r="E531" s="76" t="n">
        <v>0.1975</v>
      </c>
      <c r="F531" s="76" t="n">
        <v>0.214</v>
      </c>
      <c r="G531" s="76" t="n">
        <v>0.228</v>
      </c>
      <c r="H531" s="76" t="n">
        <v>0.2155</v>
      </c>
      <c r="I531" s="76" t="n">
        <v>0.2025</v>
      </c>
      <c r="J531" s="76" t="n">
        <v>0.2025</v>
      </c>
      <c r="K531" s="76" t="n">
        <v>0.2025</v>
      </c>
      <c r="L531" s="76" t="n">
        <v>0.2025</v>
      </c>
      <c r="M531" s="76" t="n">
        <v>0.2025</v>
      </c>
      <c r="N531" s="76" t="n">
        <v>0.2025</v>
      </c>
      <c r="O531" s="76" t="n">
        <v>0.2025</v>
      </c>
      <c r="P531" s="76" t="n">
        <v>0.2025</v>
      </c>
      <c r="Q531" s="76" t="n">
        <v>0.2025</v>
      </c>
      <c r="R531" s="76" t="n">
        <v>0.2025</v>
      </c>
      <c r="S531" s="76" t="n">
        <v>0.2025</v>
      </c>
      <c r="T531" s="76" t="n">
        <v>0.2025</v>
      </c>
      <c r="U531" s="76" t="n">
        <v>0.2025</v>
      </c>
      <c r="V531" s="76" t="n">
        <v>0.2025</v>
      </c>
      <c r="W531" s="76" t="n">
        <v>0.2025</v>
      </c>
      <c r="X531" s="76" t="n">
        <v>0.207</v>
      </c>
      <c r="Y531" s="76" t="n">
        <v>0.211</v>
      </c>
      <c r="Z531" s="76" t="n">
        <v>0.2145</v>
      </c>
      <c r="AA531" s="76" t="n">
        <v>0.2185</v>
      </c>
      <c r="AB531" s="76" t="n">
        <v>0.224</v>
      </c>
      <c r="AC531" s="76" t="n">
        <v>0.226</v>
      </c>
      <c r="AD531" s="76" t="n">
        <v>0.2285</v>
      </c>
      <c r="AE531" s="76" t="n">
        <v>0.231</v>
      </c>
      <c r="AF531" s="76" t="n">
        <v>0.234</v>
      </c>
      <c r="AG531" s="76" t="n">
        <v>0.238</v>
      </c>
      <c r="AH531" s="76" t="n">
        <v>0.2345</v>
      </c>
      <c r="AI531" s="76" t="n">
        <v>0.2305</v>
      </c>
      <c r="AJ531" s="76" t="n">
        <v>0.2265</v>
      </c>
      <c r="AK531" s="76" t="n">
        <v>0.2225</v>
      </c>
      <c r="AL531" s="76" t="n">
        <v>0.218</v>
      </c>
      <c r="AM531" s="76" t="n">
        <v>0.209</v>
      </c>
      <c r="AN531" s="76" t="n">
        <v>0.1995</v>
      </c>
      <c r="AO531" s="76" t="n">
        <v>0.1905</v>
      </c>
      <c r="AP531" s="76" t="n">
        <v>0.1815</v>
      </c>
      <c r="AQ531" s="76" t="n">
        <v>0.172</v>
      </c>
      <c r="AR531" s="76" t="n">
        <v>0.2105365853658535</v>
      </c>
    </row>
    <row r="532">
      <c r="A532" s="76" t="inlineStr">
        <is>
          <t>OR</t>
        </is>
      </c>
      <c r="B532" s="76" t="inlineStr">
        <is>
          <t>Coal</t>
        </is>
      </c>
      <c r="C532" s="76" t="n">
        <v>0.846</v>
      </c>
      <c r="D532" s="76" t="n">
        <v>0.844</v>
      </c>
      <c r="E532" s="76" t="n">
        <v>0.841</v>
      </c>
      <c r="F532" s="76" t="n">
        <v>0.843</v>
      </c>
      <c r="G532" s="76" t="n">
        <v>0.846</v>
      </c>
      <c r="H532" s="76" t="n">
        <v>0.509</v>
      </c>
      <c r="I532" s="76" t="n">
        <v>0.172</v>
      </c>
      <c r="J532" s="76" t="n">
        <v>0.398</v>
      </c>
      <c r="K532" s="76" t="n">
        <v>0.624</v>
      </c>
      <c r="L532" s="76" t="n">
        <v>0.332</v>
      </c>
      <c r="M532" s="76" t="n">
        <v>0.04</v>
      </c>
      <c r="N532" s="76" t="n">
        <v>0.04</v>
      </c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  <c r="AA532" s="76" t="n"/>
      <c r="AB532" s="76" t="n"/>
      <c r="AC532" s="76" t="n"/>
      <c r="AD532" s="76" t="n"/>
      <c r="AE532" s="76" t="n"/>
      <c r="AF532" s="76" t="n"/>
      <c r="AG532" s="76" t="n"/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>
        <v>0.5279166666666666</v>
      </c>
    </row>
    <row r="533">
      <c r="A533" s="76" t="inlineStr">
        <is>
          <t>OR</t>
        </is>
      </c>
      <c r="B533" s="76" t="inlineStr">
        <is>
          <t>CSP</t>
        </is>
      </c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6" t="n"/>
      <c r="AC533" s="76" t="n"/>
      <c r="AD533" s="76" t="n"/>
      <c r="AE533" s="76" t="n"/>
      <c r="AF533" s="76" t="n"/>
      <c r="AG533" s="76" t="n"/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</row>
    <row r="534">
      <c r="A534" s="76" t="inlineStr">
        <is>
          <t>OR</t>
        </is>
      </c>
      <c r="B534" s="76" t="inlineStr">
        <is>
          <t>Dist PV</t>
        </is>
      </c>
      <c r="C534" s="76" t="n">
        <v>0.1676666666666667</v>
      </c>
      <c r="D534" s="76" t="n">
        <v>0.1676666666666667</v>
      </c>
      <c r="E534" s="76" t="n">
        <v>0.1676666666666667</v>
      </c>
      <c r="F534" s="76" t="n">
        <v>0.1676666666666667</v>
      </c>
      <c r="G534" s="76" t="n">
        <v>0.1676666666666667</v>
      </c>
      <c r="H534" s="76" t="n">
        <v>0.1676666666666667</v>
      </c>
      <c r="I534" s="76" t="n">
        <v>0.1676666666666667</v>
      </c>
      <c r="J534" s="76" t="n">
        <v>0.1676666666666667</v>
      </c>
      <c r="K534" s="76" t="n">
        <v>0.1676666666666667</v>
      </c>
      <c r="L534" s="76" t="n">
        <v>0.1676666666666667</v>
      </c>
      <c r="M534" s="76" t="n">
        <v>0.1676666666666667</v>
      </c>
      <c r="N534" s="76" t="n">
        <v>0.1676666666666667</v>
      </c>
      <c r="O534" s="76" t="n">
        <v>0.1676666666666667</v>
      </c>
      <c r="P534" s="76" t="n">
        <v>0.1676666666666667</v>
      </c>
      <c r="Q534" s="76" t="n">
        <v>0.1676666666666667</v>
      </c>
      <c r="R534" s="76" t="n">
        <v>0.1676666666666667</v>
      </c>
      <c r="S534" s="76" t="n">
        <v>0.1676666666666667</v>
      </c>
      <c r="T534" s="76" t="n">
        <v>0.1676666666666667</v>
      </c>
      <c r="U534" s="76" t="n">
        <v>0.1676666666666667</v>
      </c>
      <c r="V534" s="76" t="n">
        <v>0.1676666666666667</v>
      </c>
      <c r="W534" s="76" t="n">
        <v>0.1676666666666667</v>
      </c>
      <c r="X534" s="76" t="n">
        <v>0.166</v>
      </c>
      <c r="Y534" s="76" t="n">
        <v>0.165</v>
      </c>
      <c r="Z534" s="76" t="n">
        <v>0.166</v>
      </c>
      <c r="AA534" s="76" t="n">
        <v>0.167</v>
      </c>
      <c r="AB534" s="76" t="n">
        <v>0.1676666666666667</v>
      </c>
      <c r="AC534" s="76" t="n">
        <v>0.1676666666666667</v>
      </c>
      <c r="AD534" s="76" t="n">
        <v>0.1676666666666667</v>
      </c>
      <c r="AE534" s="76" t="n">
        <v>0.1676666666666667</v>
      </c>
      <c r="AF534" s="76" t="n">
        <v>0.1676666666666667</v>
      </c>
      <c r="AG534" s="76" t="n">
        <v>0.1676666666666667</v>
      </c>
      <c r="AH534" s="76" t="n">
        <v>0.1676666666666667</v>
      </c>
      <c r="AI534" s="76" t="n">
        <v>0.1676666666666667</v>
      </c>
      <c r="AJ534" s="76" t="n">
        <v>0.1676666666666667</v>
      </c>
      <c r="AK534" s="76" t="n">
        <v>0.1676666666666667</v>
      </c>
      <c r="AL534" s="76" t="n">
        <v>0.1676666666666667</v>
      </c>
      <c r="AM534" s="76" t="n">
        <v>0.1676666666666667</v>
      </c>
      <c r="AN534" s="76" t="n">
        <v>0.1676666666666667</v>
      </c>
      <c r="AO534" s="76" t="n">
        <v>0.1676666666666667</v>
      </c>
      <c r="AP534" s="76" t="n">
        <v>0.1676666666666667</v>
      </c>
      <c r="AQ534" s="76" t="n">
        <v>0.1676666666666667</v>
      </c>
      <c r="AR534" s="76" t="n">
        <v>0.1675040650406504</v>
      </c>
    </row>
    <row r="535">
      <c r="A535" s="76" t="inlineStr">
        <is>
          <t>OR</t>
        </is>
      </c>
      <c r="B535" s="76" t="inlineStr">
        <is>
          <t>Gas CCGT</t>
        </is>
      </c>
      <c r="C535" s="76" t="n">
        <v>0.7290000000000001</v>
      </c>
      <c r="D535" s="76" t="n">
        <v>0.6295000000000001</v>
      </c>
      <c r="E535" s="76" t="n">
        <v>0.53</v>
      </c>
      <c r="F535" s="76" t="n">
        <v>0.593</v>
      </c>
      <c r="G535" s="76" t="n">
        <v>0.6559999999999999</v>
      </c>
      <c r="H535" s="76" t="n">
        <v>0.6885</v>
      </c>
      <c r="I535" s="76" t="n">
        <v>0.7190000000000001</v>
      </c>
      <c r="J535" s="76" t="n">
        <v>0.6990000000000001</v>
      </c>
      <c r="K535" s="76" t="n">
        <v>0.679</v>
      </c>
      <c r="L535" s="76" t="n">
        <v>0.6995</v>
      </c>
      <c r="M535" s="76" t="n">
        <v>0.72</v>
      </c>
      <c r="N535" s="76" t="n">
        <v>0.71</v>
      </c>
      <c r="O535" s="76" t="n">
        <v>0.7</v>
      </c>
      <c r="P535" s="76" t="n">
        <v>0.6995</v>
      </c>
      <c r="Q535" s="76" t="n">
        <v>0.6990000000000001</v>
      </c>
      <c r="R535" s="76" t="n">
        <v>0.6415</v>
      </c>
      <c r="S535" s="76" t="n">
        <v>0.5840000000000001</v>
      </c>
      <c r="T535" s="76" t="n">
        <v>0.5565</v>
      </c>
      <c r="U535" s="76" t="n">
        <v>0.529</v>
      </c>
      <c r="V535" s="76" t="n">
        <v>0.513</v>
      </c>
      <c r="W535" s="76" t="n">
        <v>0.4975</v>
      </c>
      <c r="X535" s="76" t="n">
        <v>0.4855</v>
      </c>
      <c r="Y535" s="76" t="n">
        <v>0.474</v>
      </c>
      <c r="Z535" s="76" t="n">
        <v>0.424</v>
      </c>
      <c r="AA535" s="76" t="n">
        <v>0.3725</v>
      </c>
      <c r="AB535" s="76" t="n">
        <v>0.318</v>
      </c>
      <c r="AC535" s="76" t="n">
        <v>0.2655</v>
      </c>
      <c r="AD535" s="76" t="n">
        <v>0.2125</v>
      </c>
      <c r="AE535" s="76" t="n">
        <v>0.159</v>
      </c>
      <c r="AF535" s="76" t="n">
        <v>0.105</v>
      </c>
      <c r="AG535" s="76" t="n">
        <v>0.051</v>
      </c>
      <c r="AH535" s="76" t="n">
        <v>0.0495</v>
      </c>
      <c r="AI535" s="76" t="n">
        <v>0.048</v>
      </c>
      <c r="AJ535" s="76" t="n">
        <v>0.047</v>
      </c>
      <c r="AK535" s="76" t="n">
        <v>0.0455</v>
      </c>
      <c r="AL535" s="76" t="n">
        <v>0.044</v>
      </c>
      <c r="AM535" s="76" t="n">
        <v>0.041</v>
      </c>
      <c r="AN535" s="76" t="n">
        <v>0.0375</v>
      </c>
      <c r="AO535" s="76" t="n">
        <v>0.034</v>
      </c>
      <c r="AP535" s="76" t="n">
        <v>0.0305</v>
      </c>
      <c r="AQ535" s="76" t="n">
        <v>0.0275</v>
      </c>
      <c r="AR535" s="76" t="n">
        <v>0.4083902439024392</v>
      </c>
    </row>
    <row r="536">
      <c r="A536" s="76" t="inlineStr">
        <is>
          <t>OR</t>
        </is>
      </c>
      <c r="B536" s="76" t="inlineStr">
        <is>
          <t>Gas CT</t>
        </is>
      </c>
      <c r="C536" s="76" t="n">
        <v>0.002</v>
      </c>
      <c r="D536" s="76" t="n">
        <v>0.001</v>
      </c>
      <c r="E536" s="76" t="n">
        <v>0</v>
      </c>
      <c r="F536" s="76" t="n">
        <v>0.001</v>
      </c>
      <c r="G536" s="76" t="n">
        <v>0.0025</v>
      </c>
      <c r="H536" s="76" t="n">
        <v>0.0015</v>
      </c>
      <c r="I536" s="76" t="n">
        <v>0.0005</v>
      </c>
      <c r="J536" s="76" t="n">
        <v>0.001</v>
      </c>
      <c r="K536" s="76" t="n">
        <v>0.001</v>
      </c>
      <c r="L536" s="76" t="n">
        <v>0.0005</v>
      </c>
      <c r="M536" s="76" t="n">
        <v>0.0005</v>
      </c>
      <c r="N536" s="76" t="n">
        <v>0</v>
      </c>
      <c r="O536" s="76" t="n">
        <v>0</v>
      </c>
      <c r="P536" s="76" t="n">
        <v>0</v>
      </c>
      <c r="Q536" s="76" t="n">
        <v>0</v>
      </c>
      <c r="R536" s="76" t="n">
        <v>0</v>
      </c>
      <c r="S536" s="76" t="n">
        <v>0</v>
      </c>
      <c r="T536" s="76" t="n">
        <v>0</v>
      </c>
      <c r="U536" s="76" t="n">
        <v>0</v>
      </c>
      <c r="V536" s="76" t="n">
        <v>0</v>
      </c>
      <c r="W536" s="76" t="n">
        <v>0</v>
      </c>
      <c r="X536" s="76" t="n">
        <v>0</v>
      </c>
      <c r="Y536" s="76" t="n">
        <v>0</v>
      </c>
      <c r="Z536" s="76" t="n">
        <v>0</v>
      </c>
      <c r="AA536" s="76" t="n">
        <v>0</v>
      </c>
      <c r="AB536" s="76" t="n">
        <v>0</v>
      </c>
      <c r="AC536" s="76" t="n">
        <v>0</v>
      </c>
      <c r="AD536" s="76" t="n">
        <v>0</v>
      </c>
      <c r="AE536" s="76" t="n">
        <v>0</v>
      </c>
      <c r="AF536" s="76" t="n">
        <v>0</v>
      </c>
      <c r="AG536" s="76" t="n">
        <v>0</v>
      </c>
      <c r="AH536" s="76" t="n">
        <v>0</v>
      </c>
      <c r="AI536" s="76" t="n">
        <v>0</v>
      </c>
      <c r="AJ536" s="76" t="n">
        <v>0</v>
      </c>
      <c r="AK536" s="76" t="n">
        <v>0</v>
      </c>
      <c r="AL536" s="76" t="n">
        <v>0</v>
      </c>
      <c r="AM536" s="76" t="n">
        <v>0</v>
      </c>
      <c r="AN536" s="76" t="n">
        <v>0</v>
      </c>
      <c r="AO536" s="76" t="n">
        <v>0</v>
      </c>
      <c r="AP536" s="76" t="n">
        <v>0</v>
      </c>
      <c r="AQ536" s="76" t="n">
        <v>0</v>
      </c>
      <c r="AR536" s="76" t="n">
        <v>0.0002804878048780489</v>
      </c>
    </row>
    <row r="537">
      <c r="A537" s="76" t="inlineStr">
        <is>
          <t>OR</t>
        </is>
      </c>
      <c r="B537" s="76" t="inlineStr">
        <is>
          <t>Geothermal</t>
        </is>
      </c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  <c r="AA537" s="76" t="n"/>
      <c r="AB537" s="76" t="n"/>
      <c r="AC537" s="76" t="n"/>
      <c r="AD537" s="76" t="n"/>
      <c r="AE537" s="76" t="n"/>
      <c r="AF537" s="76" t="n"/>
      <c r="AG537" s="76" t="n"/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</row>
    <row r="538">
      <c r="A538" s="76" t="inlineStr">
        <is>
          <t>OR</t>
        </is>
      </c>
      <c r="B538" s="76" t="inlineStr">
        <is>
          <t>Hydro</t>
        </is>
      </c>
      <c r="C538" s="76" t="n">
        <v>0.4303333333333333</v>
      </c>
      <c r="D538" s="76" t="n">
        <v>0.482</v>
      </c>
      <c r="E538" s="76" t="n">
        <v>0.5333333333333333</v>
      </c>
      <c r="F538" s="76" t="n">
        <v>0.4676666666666667</v>
      </c>
      <c r="G538" s="76" t="n">
        <v>0.4013333333333334</v>
      </c>
      <c r="H538" s="76" t="n">
        <v>0.4253333333333333</v>
      </c>
      <c r="I538" s="76" t="n">
        <v>0.449</v>
      </c>
      <c r="J538" s="76" t="n">
        <v>0.449</v>
      </c>
      <c r="K538" s="76" t="n">
        <v>0.449</v>
      </c>
      <c r="L538" s="76" t="n">
        <v>0.4496666666666667</v>
      </c>
      <c r="M538" s="76" t="n">
        <v>0.45</v>
      </c>
      <c r="N538" s="76" t="n">
        <v>0.45</v>
      </c>
      <c r="O538" s="76" t="n">
        <v>0.45</v>
      </c>
      <c r="P538" s="76" t="n">
        <v>0.45</v>
      </c>
      <c r="Q538" s="76" t="n">
        <v>0.45</v>
      </c>
      <c r="R538" s="76" t="n">
        <v>0.45</v>
      </c>
      <c r="S538" s="76" t="n">
        <v>0.45</v>
      </c>
      <c r="T538" s="76" t="n">
        <v>0.45</v>
      </c>
      <c r="U538" s="76" t="n">
        <v>0.45</v>
      </c>
      <c r="V538" s="76" t="n">
        <v>0.45</v>
      </c>
      <c r="W538" s="76" t="n">
        <v>0.45</v>
      </c>
      <c r="X538" s="76" t="n">
        <v>0.4503333333333333</v>
      </c>
      <c r="Y538" s="76" t="n">
        <v>0.4506666666666667</v>
      </c>
      <c r="Z538" s="76" t="n">
        <v>0.4506666666666667</v>
      </c>
      <c r="AA538" s="76" t="n">
        <v>0.4506666666666667</v>
      </c>
      <c r="AB538" s="76" t="n">
        <v>0.4506666666666667</v>
      </c>
      <c r="AC538" s="76" t="n">
        <v>0.4506666666666667</v>
      </c>
      <c r="AD538" s="76" t="n">
        <v>0.4506666666666667</v>
      </c>
      <c r="AE538" s="76" t="n">
        <v>0.4506666666666667</v>
      </c>
      <c r="AF538" s="76" t="n">
        <v>0.4506666666666667</v>
      </c>
      <c r="AG538" s="76" t="n">
        <v>0.4506666666666667</v>
      </c>
      <c r="AH538" s="76" t="n">
        <v>0.444</v>
      </c>
      <c r="AI538" s="76" t="n">
        <v>0.437</v>
      </c>
      <c r="AJ538" s="76" t="n">
        <v>0.4303333333333333</v>
      </c>
      <c r="AK538" s="76" t="n">
        <v>0.4233333333333333</v>
      </c>
      <c r="AL538" s="76" t="n">
        <v>0.4166666666666667</v>
      </c>
      <c r="AM538" s="76" t="n">
        <v>0.402</v>
      </c>
      <c r="AN538" s="76" t="n">
        <v>0.3873333333333333</v>
      </c>
      <c r="AO538" s="76" t="n">
        <v>0.373</v>
      </c>
      <c r="AP538" s="76" t="n">
        <v>0.3579999999999999</v>
      </c>
      <c r="AQ538" s="76" t="n">
        <v>0.3436666666666666</v>
      </c>
      <c r="AR538" s="76" t="n">
        <v>0.439227642276423</v>
      </c>
    </row>
    <row r="539">
      <c r="A539" s="76" t="inlineStr">
        <is>
          <t>OR</t>
        </is>
      </c>
      <c r="B539" s="76" t="inlineStr">
        <is>
          <t>Nuclear</t>
        </is>
      </c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  <c r="AA539" s="76" t="n"/>
      <c r="AB539" s="76" t="n"/>
      <c r="AC539" s="76" t="n"/>
      <c r="AD539" s="76" t="n"/>
      <c r="AE539" s="76" t="n"/>
      <c r="AF539" s="76" t="n"/>
      <c r="AG539" s="76" t="n"/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</row>
    <row r="540">
      <c r="A540" s="76" t="inlineStr">
        <is>
          <t>OR</t>
        </is>
      </c>
      <c r="B540" s="76" t="inlineStr">
        <is>
          <t>Other</t>
        </is>
      </c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  <c r="AA540" s="76" t="n"/>
      <c r="AB540" s="76" t="n"/>
      <c r="AC540" s="76" t="n"/>
      <c r="AD540" s="76" t="n"/>
      <c r="AE540" s="76" t="n"/>
      <c r="AF540" s="76" t="n"/>
      <c r="AG540" s="76" t="n"/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</row>
    <row r="541">
      <c r="A541" s="76" t="inlineStr">
        <is>
          <t>OR</t>
        </is>
      </c>
      <c r="B541" s="76" t="inlineStr">
        <is>
          <t>Utility PV</t>
        </is>
      </c>
      <c r="C541" s="76" t="n"/>
      <c r="D541" s="76" t="n">
        <v>0.2475</v>
      </c>
      <c r="E541" s="76" t="n">
        <v>0.2475</v>
      </c>
      <c r="F541" s="76" t="n">
        <v>0.2483333333333333</v>
      </c>
      <c r="G541" s="76" t="n">
        <v>0.2476666666666667</v>
      </c>
      <c r="H541" s="76" t="n">
        <v>0.2483333333333333</v>
      </c>
      <c r="I541" s="76" t="n">
        <v>0.2483333333333333</v>
      </c>
      <c r="J541" s="76" t="n">
        <v>0.2483333333333333</v>
      </c>
      <c r="K541" s="76" t="n">
        <v>0.248</v>
      </c>
      <c r="L541" s="76" t="n">
        <v>0.2473333333333333</v>
      </c>
      <c r="M541" s="76" t="n">
        <v>0.2466666666666667</v>
      </c>
      <c r="N541" s="76" t="n">
        <v>0.2456666666666667</v>
      </c>
      <c r="O541" s="76" t="n">
        <v>0.2446666666666667</v>
      </c>
      <c r="P541" s="76" t="n">
        <v>0.2436666666666667</v>
      </c>
      <c r="Q541" s="76" t="n">
        <v>0.242</v>
      </c>
      <c r="R541" s="76" t="n">
        <v>0.2406666666666667</v>
      </c>
      <c r="S541" s="76" t="n">
        <v>0.2396666666666667</v>
      </c>
      <c r="T541" s="76" t="n">
        <v>0.242</v>
      </c>
      <c r="U541" s="76" t="n">
        <v>0.2413333333333333</v>
      </c>
      <c r="V541" s="76" t="n">
        <v>0.2396666666666667</v>
      </c>
      <c r="W541" s="76" t="n">
        <v>0.2376666666666667</v>
      </c>
      <c r="X541" s="76" t="n">
        <v>0.237</v>
      </c>
      <c r="Y541" s="76" t="n">
        <v>0.2363333333333333</v>
      </c>
      <c r="Z541" s="76" t="n">
        <v>0.2403333333333333</v>
      </c>
      <c r="AA541" s="76" t="n">
        <v>0.24</v>
      </c>
      <c r="AB541" s="76" t="n">
        <v>0.239</v>
      </c>
      <c r="AC541" s="76" t="n">
        <v>0.238</v>
      </c>
      <c r="AD541" s="76" t="n">
        <v>0.237</v>
      </c>
      <c r="AE541" s="76" t="n">
        <v>0.236</v>
      </c>
      <c r="AF541" s="76" t="n">
        <v>0.2346666666666667</v>
      </c>
      <c r="AG541" s="76" t="n">
        <v>0.233</v>
      </c>
      <c r="AH541" s="76" t="n">
        <v>0.232</v>
      </c>
      <c r="AI541" s="76" t="n">
        <v>0.231</v>
      </c>
      <c r="AJ541" s="76" t="n">
        <v>0.23</v>
      </c>
      <c r="AK541" s="76" t="n">
        <v>0.229</v>
      </c>
      <c r="AL541" s="76" t="n">
        <v>0.228</v>
      </c>
      <c r="AM541" s="76" t="n">
        <v>0.225</v>
      </c>
      <c r="AN541" s="76" t="n">
        <v>0.2226666666666667</v>
      </c>
      <c r="AO541" s="76" t="n">
        <v>0.2196666666666667</v>
      </c>
      <c r="AP541" s="76" t="n">
        <v>0.216</v>
      </c>
      <c r="AQ541" s="76" t="n">
        <v>0.2116666666666667</v>
      </c>
      <c r="AR541" s="76" t="n">
        <v>0.2376186440677966</v>
      </c>
    </row>
    <row r="542">
      <c r="A542" s="76" t="inlineStr">
        <is>
          <t>OR</t>
        </is>
      </c>
      <c r="B542" s="76" t="inlineStr">
        <is>
          <t>Wind offshore</t>
        </is>
      </c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>
        <v>0.453</v>
      </c>
      <c r="AA542" s="76" t="n">
        <v>0.453</v>
      </c>
      <c r="AB542" s="76" t="n">
        <v>0.453</v>
      </c>
      <c r="AC542" s="76" t="n">
        <v>0.4265</v>
      </c>
      <c r="AD542" s="76" t="n">
        <v>0.425</v>
      </c>
      <c r="AE542" s="76" t="n">
        <v>0.424</v>
      </c>
      <c r="AF542" s="76" t="n">
        <v>0.423</v>
      </c>
      <c r="AG542" s="76" t="n">
        <v>0.4225</v>
      </c>
      <c r="AH542" s="76" t="n">
        <v>0.429</v>
      </c>
      <c r="AI542" s="76" t="n">
        <v>0.434</v>
      </c>
      <c r="AJ542" s="76" t="n">
        <v>0.437</v>
      </c>
      <c r="AK542" s="76" t="n">
        <v>0.4405</v>
      </c>
      <c r="AL542" s="76" t="n">
        <v>0.443</v>
      </c>
      <c r="AM542" s="76" t="n">
        <v>0.442</v>
      </c>
      <c r="AN542" s="76" t="n">
        <v>0.441</v>
      </c>
      <c r="AO542" s="76" t="n">
        <v>0.4405</v>
      </c>
      <c r="AP542" s="76" t="n">
        <v>0.44</v>
      </c>
      <c r="AQ542" s="76" t="n">
        <v>0.4395</v>
      </c>
      <c r="AR542" s="76" t="n">
        <v>0.4355757575757576</v>
      </c>
    </row>
    <row r="543">
      <c r="A543" s="76" t="inlineStr">
        <is>
          <t>OR</t>
        </is>
      </c>
      <c r="B543" s="76" t="inlineStr">
        <is>
          <t>Wind onshore</t>
        </is>
      </c>
      <c r="C543" s="76" t="n">
        <v>0.302</v>
      </c>
      <c r="D543" s="76" t="n">
        <v>0.305</v>
      </c>
      <c r="E543" s="76" t="n">
        <v>0.305</v>
      </c>
      <c r="F543" s="76" t="n">
        <v>0.3065</v>
      </c>
      <c r="G543" s="76" t="n">
        <v>0.308</v>
      </c>
      <c r="H543" s="76" t="n">
        <v>0.306</v>
      </c>
      <c r="I543" s="76" t="n">
        <v>0.303</v>
      </c>
      <c r="J543" s="76" t="n">
        <v>0.305</v>
      </c>
      <c r="K543" s="76" t="n">
        <v>0.3065</v>
      </c>
      <c r="L543" s="76" t="n">
        <v>0.308</v>
      </c>
      <c r="M543" s="76" t="n">
        <v>0.3095</v>
      </c>
      <c r="N543" s="76" t="n">
        <v>0.36</v>
      </c>
      <c r="O543" s="76" t="n">
        <v>0.3606666666666667</v>
      </c>
      <c r="P543" s="76" t="n">
        <v>0.359</v>
      </c>
      <c r="Q543" s="76" t="n">
        <v>0.358</v>
      </c>
      <c r="R543" s="76" t="n">
        <v>0.3633333333333333</v>
      </c>
      <c r="S543" s="76" t="n">
        <v>0.365</v>
      </c>
      <c r="T543" s="76" t="n">
        <v>0.3566666666666666</v>
      </c>
      <c r="U543" s="76" t="n">
        <v>0.353</v>
      </c>
      <c r="V543" s="76" t="n">
        <v>0.3456666666666666</v>
      </c>
      <c r="W543" s="76" t="n">
        <v>0.3383333333333333</v>
      </c>
      <c r="X543" s="76" t="n">
        <v>0.336</v>
      </c>
      <c r="Y543" s="76" t="n">
        <v>0.333</v>
      </c>
      <c r="Z543" s="76" t="n">
        <v>0.3323333333333333</v>
      </c>
      <c r="AA543" s="76" t="n">
        <v>0.3366666666666667</v>
      </c>
      <c r="AB543" s="76" t="n">
        <v>0.342</v>
      </c>
      <c r="AC543" s="76" t="n">
        <v>0.345</v>
      </c>
      <c r="AD543" s="76" t="n">
        <v>0.3476666666666666</v>
      </c>
      <c r="AE543" s="76" t="n">
        <v>0.3503333333333333</v>
      </c>
      <c r="AF543" s="76" t="n">
        <v>0.353</v>
      </c>
      <c r="AG543" s="76" t="n">
        <v>0.356</v>
      </c>
      <c r="AH543" s="76" t="n">
        <v>0.358</v>
      </c>
      <c r="AI543" s="76" t="n">
        <v>0.3596666666666666</v>
      </c>
      <c r="AJ543" s="76" t="n">
        <v>0.3616666666666666</v>
      </c>
      <c r="AK543" s="76" t="n">
        <v>0.3636666666666666</v>
      </c>
      <c r="AL543" s="76" t="n">
        <v>0.3656666666666666</v>
      </c>
      <c r="AM543" s="76" t="n">
        <v>0.3683333333333333</v>
      </c>
      <c r="AN543" s="76" t="n">
        <v>0.371</v>
      </c>
      <c r="AO543" s="76" t="n">
        <v>0.3740000000000001</v>
      </c>
      <c r="AP543" s="76" t="n">
        <v>0.3766666666666667</v>
      </c>
      <c r="AQ543" s="76" t="n">
        <v>0.3800000000000001</v>
      </c>
      <c r="AR543" s="76" t="n">
        <v>0.3462882882882884</v>
      </c>
    </row>
    <row r="544">
      <c r="A544" s="76" t="inlineStr">
        <is>
          <t>PA</t>
        </is>
      </c>
      <c r="B544" s="76" t="inlineStr">
        <is>
          <t>PA</t>
        </is>
      </c>
      <c r="C544" s="76" t="n">
        <v>0.3057199999999999</v>
      </c>
      <c r="D544" s="76" t="n">
        <v>0.3211923076923077</v>
      </c>
      <c r="E544" s="76" t="n">
        <v>0.3371923076923077</v>
      </c>
      <c r="F544" s="76" t="n">
        <v>0.3234814814814815</v>
      </c>
      <c r="G544" s="76" t="n">
        <v>0.3232592592592592</v>
      </c>
      <c r="H544" s="76" t="n">
        <v>0.3324444444444445</v>
      </c>
      <c r="I544" s="76" t="n">
        <v>0.340074074074074</v>
      </c>
      <c r="J544" s="76" t="n">
        <v>0.3324814814814815</v>
      </c>
      <c r="K544" s="76" t="n">
        <v>0.3248148148148148</v>
      </c>
      <c r="L544" s="76" t="n">
        <v>0.3169642857142858</v>
      </c>
      <c r="M544" s="76" t="n">
        <v>0.3122592592592592</v>
      </c>
      <c r="N544" s="76" t="n">
        <v>0.3256071428571428</v>
      </c>
      <c r="O544" s="76" t="n">
        <v>0.3244230769230769</v>
      </c>
      <c r="P544" s="76" t="n">
        <v>0.3231538461538461</v>
      </c>
      <c r="Q544" s="76" t="n">
        <v>0.3218076923076923</v>
      </c>
      <c r="R544" s="76" t="n">
        <v>0.3236153846153846</v>
      </c>
      <c r="S544" s="76" t="n">
        <v>0.3255384615384616</v>
      </c>
      <c r="T544" s="76" t="n">
        <v>0.3088518518518519</v>
      </c>
      <c r="U544" s="76" t="n">
        <v>0.3068888888888889</v>
      </c>
      <c r="V544" s="76" t="n">
        <v>0.2797586206896552</v>
      </c>
      <c r="W544" s="76" t="n">
        <v>0.2791034482758621</v>
      </c>
      <c r="X544" s="76" t="n">
        <v>0.2716551724137931</v>
      </c>
      <c r="Y544" s="76" t="n">
        <v>0.2753571428571429</v>
      </c>
      <c r="Z544" s="76" t="n">
        <v>0.2585862068965517</v>
      </c>
      <c r="AA544" s="76" t="n">
        <v>0.2532413793103448</v>
      </c>
      <c r="AB544" s="76" t="n">
        <v>0.2234074074074074</v>
      </c>
      <c r="AC544" s="76" t="n">
        <v>0.2317857142857143</v>
      </c>
      <c r="AD544" s="76" t="n">
        <v>0.2320357142857143</v>
      </c>
      <c r="AE544" s="76" t="n">
        <v>0.23225</v>
      </c>
      <c r="AF544" s="76" t="n">
        <v>0.2326071428571428</v>
      </c>
      <c r="AG544" s="76" t="n">
        <v>0.233</v>
      </c>
      <c r="AH544" s="76" t="n">
        <v>0.2315</v>
      </c>
      <c r="AI544" s="76" t="n">
        <v>0.2310714285714286</v>
      </c>
      <c r="AJ544" s="76" t="n">
        <v>0.2309285714285714</v>
      </c>
      <c r="AK544" s="76" t="n">
        <v>0.2309285714285714</v>
      </c>
      <c r="AL544" s="76" t="n">
        <v>0.2396666666666666</v>
      </c>
      <c r="AM544" s="76" t="n">
        <v>0.2405555555555555</v>
      </c>
      <c r="AN544" s="76" t="n">
        <v>0.2409259259259259</v>
      </c>
      <c r="AO544" s="76" t="n">
        <v>0.241</v>
      </c>
      <c r="AP544" s="76" t="n">
        <v>0.240925925925926</v>
      </c>
      <c r="AQ544" s="76" t="n">
        <v>0.2407777777777778</v>
      </c>
      <c r="AR544" s="76" t="n">
        <v>0.2797526785714285</v>
      </c>
    </row>
    <row r="545">
      <c r="A545" s="76" t="inlineStr">
        <is>
          <t>PA</t>
        </is>
      </c>
      <c r="B545" s="76" t="inlineStr">
        <is>
          <t>Battery</t>
        </is>
      </c>
      <c r="C545" s="76" t="n"/>
      <c r="D545" s="76" t="n"/>
      <c r="E545" s="76" t="n"/>
      <c r="F545" s="76" t="n">
        <v>0</v>
      </c>
      <c r="G545" s="76" t="n">
        <v>0</v>
      </c>
      <c r="H545" s="76" t="n">
        <v>0</v>
      </c>
      <c r="I545" s="76" t="n">
        <v>0</v>
      </c>
      <c r="J545" s="76" t="n">
        <v>0</v>
      </c>
      <c r="K545" s="76" t="n">
        <v>0</v>
      </c>
      <c r="L545" s="76" t="n">
        <v>-0.011</v>
      </c>
      <c r="M545" s="76" t="n">
        <v>-0.022</v>
      </c>
      <c r="N545" s="76" t="n">
        <v>-0.026</v>
      </c>
      <c r="O545" s="76" t="n">
        <v>-0.029</v>
      </c>
      <c r="P545" s="76" t="n">
        <v>-0.029</v>
      </c>
      <c r="Q545" s="76" t="n">
        <v>-0.028</v>
      </c>
      <c r="R545" s="76" t="n">
        <v>-0.019</v>
      </c>
      <c r="S545" s="76" t="n">
        <v>-0.01</v>
      </c>
      <c r="T545" s="76" t="n">
        <v>-0.0445</v>
      </c>
      <c r="U545" s="76" t="n">
        <v>-0.0495</v>
      </c>
      <c r="V545" s="76" t="n">
        <v>-0.059</v>
      </c>
      <c r="W545" s="76" t="n">
        <v>-0.06125</v>
      </c>
      <c r="X545" s="76" t="n">
        <v>-0.0595</v>
      </c>
      <c r="Y545" s="76" t="n">
        <v>-0.062</v>
      </c>
      <c r="Z545" s="76" t="n">
        <v>-0.06</v>
      </c>
      <c r="AA545" s="76" t="n">
        <v>-0.0595</v>
      </c>
      <c r="AB545" s="76" t="n">
        <v>-0.05925</v>
      </c>
      <c r="AC545" s="76" t="n">
        <v>-0.06175</v>
      </c>
      <c r="AD545" s="76" t="n">
        <v>-0.0635</v>
      </c>
      <c r="AE545" s="76" t="n">
        <v>-0.06525</v>
      </c>
      <c r="AF545" s="76" t="n">
        <v>-0.0665</v>
      </c>
      <c r="AG545" s="76" t="n">
        <v>-0.06725</v>
      </c>
      <c r="AH545" s="76" t="n">
        <v>-0.066</v>
      </c>
      <c r="AI545" s="76" t="n">
        <v>-0.065</v>
      </c>
      <c r="AJ545" s="76" t="n">
        <v>-0.064</v>
      </c>
      <c r="AK545" s="76" t="n">
        <v>-0.06325</v>
      </c>
      <c r="AL545" s="76" t="n">
        <v>-0.0625</v>
      </c>
      <c r="AM545" s="76" t="n">
        <v>-0.06175</v>
      </c>
      <c r="AN545" s="76" t="n">
        <v>-0.06075</v>
      </c>
      <c r="AO545" s="76" t="n">
        <v>-0.06025</v>
      </c>
      <c r="AP545" s="76" t="n">
        <v>-0.05975</v>
      </c>
      <c r="AQ545" s="76" t="n">
        <v>-0.059</v>
      </c>
      <c r="AR545" s="76" t="n">
        <v>-0.05493333333333332</v>
      </c>
    </row>
    <row r="546">
      <c r="A546" s="76" t="inlineStr">
        <is>
          <t>PA</t>
        </is>
      </c>
      <c r="B546" s="76" t="inlineStr">
        <is>
          <t>Biopower</t>
        </is>
      </c>
      <c r="C546" s="76" t="n">
        <v>0.512</v>
      </c>
      <c r="D546" s="76" t="n">
        <v>0.511</v>
      </c>
      <c r="E546" s="76" t="n">
        <v>0.51</v>
      </c>
      <c r="F546" s="76" t="n">
        <v>0.5163333333333333</v>
      </c>
      <c r="G546" s="76" t="n">
        <v>0.5226666666666667</v>
      </c>
      <c r="H546" s="76" t="n">
        <v>0.5103333333333334</v>
      </c>
      <c r="I546" s="76" t="n">
        <v>0.4976666666666666</v>
      </c>
      <c r="J546" s="76" t="n">
        <v>0.4976666666666666</v>
      </c>
      <c r="K546" s="76" t="n">
        <v>0.4973333333333333</v>
      </c>
      <c r="L546" s="76" t="n">
        <v>0.4550000000000001</v>
      </c>
      <c r="M546" s="76" t="n">
        <v>0.413</v>
      </c>
      <c r="N546" s="76" t="n">
        <v>0.4493333333333333</v>
      </c>
      <c r="O546" s="76" t="n">
        <v>0.4853333333333333</v>
      </c>
      <c r="P546" s="76" t="n">
        <v>0.5033333333333333</v>
      </c>
      <c r="Q546" s="76" t="n">
        <v>0.521</v>
      </c>
      <c r="R546" s="76" t="n">
        <v>0.521</v>
      </c>
      <c r="S546" s="76" t="n">
        <v>0.521</v>
      </c>
      <c r="T546" s="76" t="n">
        <v>0.521</v>
      </c>
      <c r="U546" s="76" t="n">
        <v>0.521</v>
      </c>
      <c r="V546" s="76" t="n">
        <v>0.5186666666666667</v>
      </c>
      <c r="W546" s="76" t="n">
        <v>0.5163333333333333</v>
      </c>
      <c r="X546" s="76" t="n">
        <v>0.5163333333333333</v>
      </c>
      <c r="Y546" s="76" t="n">
        <v>0.5163333333333333</v>
      </c>
      <c r="Z546" s="76" t="n">
        <v>0.5083333333333333</v>
      </c>
      <c r="AA546" s="76" t="n">
        <v>0.5003333333333333</v>
      </c>
      <c r="AB546" s="76" t="n">
        <v>0.4923333333333333</v>
      </c>
      <c r="AC546" s="76" t="n">
        <v>0.4923333333333333</v>
      </c>
      <c r="AD546" s="76" t="n">
        <v>0.4923333333333333</v>
      </c>
      <c r="AE546" s="76" t="n">
        <v>0.4923333333333333</v>
      </c>
      <c r="AF546" s="76" t="n">
        <v>0.4923333333333333</v>
      </c>
      <c r="AG546" s="76" t="n">
        <v>0.4926666666666668</v>
      </c>
      <c r="AH546" s="76" t="n">
        <v>0.4923333333333333</v>
      </c>
      <c r="AI546" s="76" t="n">
        <v>0.492</v>
      </c>
      <c r="AJ546" s="76" t="n">
        <v>0.4913333333333334</v>
      </c>
      <c r="AK546" s="76" t="n">
        <v>0.491</v>
      </c>
      <c r="AL546" s="76" t="n">
        <v>0.49</v>
      </c>
      <c r="AM546" s="76" t="n">
        <v>0.481</v>
      </c>
      <c r="AN546" s="76" t="n">
        <v>0.472</v>
      </c>
      <c r="AO546" s="76" t="n">
        <v>0.4616666666666666</v>
      </c>
      <c r="AP546" s="76" t="n">
        <v>0.4503333333333333</v>
      </c>
      <c r="AQ546" s="76" t="n">
        <v>0.438</v>
      </c>
      <c r="AR546" s="76" t="n">
        <v>0.4945447154471538</v>
      </c>
    </row>
    <row r="547">
      <c r="A547" s="76" t="inlineStr">
        <is>
          <t>PA</t>
        </is>
      </c>
      <c r="B547" s="76" t="inlineStr">
        <is>
          <t>Coal</t>
        </is>
      </c>
      <c r="C547" s="76" t="n">
        <v>0.8294999999999999</v>
      </c>
      <c r="D547" s="76" t="n">
        <v>0.7795000000000001</v>
      </c>
      <c r="E547" s="76" t="n">
        <v>0.723</v>
      </c>
      <c r="F547" s="76" t="n">
        <v>0.775</v>
      </c>
      <c r="G547" s="76" t="n">
        <v>0.8414999999999999</v>
      </c>
      <c r="H547" s="76" t="n">
        <v>0.7909999999999999</v>
      </c>
      <c r="I547" s="76" t="n">
        <v>0.7215</v>
      </c>
      <c r="J547" s="76" t="n">
        <v>0.752</v>
      </c>
      <c r="K547" s="76" t="n">
        <v>0.7829999999999999</v>
      </c>
      <c r="L547" s="76" t="n">
        <v>0.6459999999999999</v>
      </c>
      <c r="M547" s="76" t="n">
        <v>0.4845</v>
      </c>
      <c r="N547" s="76" t="n">
        <v>0.5355</v>
      </c>
      <c r="O547" s="76" t="n">
        <v>0.586</v>
      </c>
      <c r="P547" s="76" t="n">
        <v>0.5650000000000001</v>
      </c>
      <c r="Q547" s="76" t="n">
        <v>0.544</v>
      </c>
      <c r="R547" s="76" t="n">
        <v>0.5875</v>
      </c>
      <c r="S547" s="76" t="n">
        <v>0.631</v>
      </c>
      <c r="T547" s="76" t="n">
        <v>0.6375</v>
      </c>
      <c r="U547" s="76" t="n">
        <v>0.644</v>
      </c>
      <c r="V547" s="76" t="n">
        <v>0.666</v>
      </c>
      <c r="W547" s="76" t="n">
        <v>0.6984999999999999</v>
      </c>
      <c r="X547" s="76" t="n">
        <v>0.6395</v>
      </c>
      <c r="Y547" s="76" t="n">
        <v>0.579</v>
      </c>
      <c r="Z547" s="76" t="n">
        <v>0.579</v>
      </c>
      <c r="AA547" s="76" t="n">
        <v>0.579</v>
      </c>
      <c r="AB547" s="76" t="n"/>
      <c r="AC547" s="76" t="n"/>
      <c r="AD547" s="76" t="n"/>
      <c r="AE547" s="76" t="n"/>
      <c r="AF547" s="76" t="n"/>
      <c r="AG547" s="76" t="n"/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>
        <v>0.6639200000000003</v>
      </c>
    </row>
    <row r="548">
      <c r="A548" s="76" t="inlineStr">
        <is>
          <t>PA</t>
        </is>
      </c>
      <c r="B548" s="76" t="inlineStr">
        <is>
          <t>CSP</t>
        </is>
      </c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76" t="n"/>
      <c r="AC548" s="76" t="n"/>
      <c r="AD548" s="76" t="n"/>
      <c r="AE548" s="76" t="n"/>
      <c r="AF548" s="76" t="n"/>
      <c r="AG548" s="76" t="n"/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</row>
    <row r="549">
      <c r="A549" s="76" t="inlineStr">
        <is>
          <t>PA</t>
        </is>
      </c>
      <c r="B549" s="76" t="inlineStr">
        <is>
          <t>Dist PV</t>
        </is>
      </c>
      <c r="C549" s="76" t="n">
        <v>0.15575</v>
      </c>
      <c r="D549" s="76" t="n">
        <v>0.15575</v>
      </c>
      <c r="E549" s="76" t="n">
        <v>0.15575</v>
      </c>
      <c r="F549" s="76" t="n">
        <v>0.15575</v>
      </c>
      <c r="G549" s="76" t="n">
        <v>0.15575</v>
      </c>
      <c r="H549" s="76" t="n">
        <v>0.15575</v>
      </c>
      <c r="I549" s="76" t="n">
        <v>0.15575</v>
      </c>
      <c r="J549" s="76" t="n">
        <v>0.15575</v>
      </c>
      <c r="K549" s="76" t="n">
        <v>0.15575</v>
      </c>
      <c r="L549" s="76" t="n">
        <v>0.15575</v>
      </c>
      <c r="M549" s="76" t="n">
        <v>0.15575</v>
      </c>
      <c r="N549" s="76" t="n">
        <v>0.15575</v>
      </c>
      <c r="O549" s="76" t="n">
        <v>0.15575</v>
      </c>
      <c r="P549" s="76" t="n">
        <v>0.15575</v>
      </c>
      <c r="Q549" s="76" t="n">
        <v>0.15575</v>
      </c>
      <c r="R549" s="76" t="n">
        <v>0.15575</v>
      </c>
      <c r="S549" s="76" t="n">
        <v>0.15575</v>
      </c>
      <c r="T549" s="76" t="n">
        <v>0.15575</v>
      </c>
      <c r="U549" s="76" t="n">
        <v>0.15575</v>
      </c>
      <c r="V549" s="76" t="n">
        <v>0.15575</v>
      </c>
      <c r="W549" s="76" t="n">
        <v>0.15575</v>
      </c>
      <c r="X549" s="76" t="n">
        <v>0.15325</v>
      </c>
      <c r="Y549" s="76" t="n">
        <v>0.1515</v>
      </c>
      <c r="Z549" s="76" t="n">
        <v>0.15325</v>
      </c>
      <c r="AA549" s="76" t="n">
        <v>0.1545</v>
      </c>
      <c r="AB549" s="76" t="n">
        <v>0.15575</v>
      </c>
      <c r="AC549" s="76" t="n">
        <v>0.15575</v>
      </c>
      <c r="AD549" s="76" t="n">
        <v>0.15575</v>
      </c>
      <c r="AE549" s="76" t="n">
        <v>0.15575</v>
      </c>
      <c r="AF549" s="76" t="n">
        <v>0.15575</v>
      </c>
      <c r="AG549" s="76" t="n">
        <v>0.15575</v>
      </c>
      <c r="AH549" s="76" t="n">
        <v>0.15575</v>
      </c>
      <c r="AI549" s="76" t="n">
        <v>0.15575</v>
      </c>
      <c r="AJ549" s="76" t="n">
        <v>0.15575</v>
      </c>
      <c r="AK549" s="76" t="n">
        <v>0.15575</v>
      </c>
      <c r="AL549" s="76" t="n">
        <v>0.15575</v>
      </c>
      <c r="AM549" s="76" t="n">
        <v>0.15575</v>
      </c>
      <c r="AN549" s="76" t="n">
        <v>0.15575</v>
      </c>
      <c r="AO549" s="76" t="n">
        <v>0.15575</v>
      </c>
      <c r="AP549" s="76" t="n">
        <v>0.15575</v>
      </c>
      <c r="AQ549" s="76" t="n">
        <v>0.15575</v>
      </c>
      <c r="AR549" s="76" t="n">
        <v>0.1554939024390244</v>
      </c>
    </row>
    <row r="550">
      <c r="A550" s="76" t="inlineStr">
        <is>
          <t>PA</t>
        </is>
      </c>
      <c r="B550" s="76" t="inlineStr">
        <is>
          <t>Gas CCGT</t>
        </is>
      </c>
      <c r="C550" s="76" t="n">
        <v>0.3375</v>
      </c>
      <c r="D550" s="76" t="n">
        <v>0.5669999999999999</v>
      </c>
      <c r="E550" s="76" t="n">
        <v>0.7915</v>
      </c>
      <c r="F550" s="76" t="n">
        <v>0.7015</v>
      </c>
      <c r="G550" s="76" t="n">
        <v>0.612</v>
      </c>
      <c r="H550" s="76" t="n">
        <v>0.706</v>
      </c>
      <c r="I550" s="76" t="n">
        <v>0.7989999999999999</v>
      </c>
      <c r="J550" s="76" t="n">
        <v>0.7875</v>
      </c>
      <c r="K550" s="76" t="n">
        <v>0.7809999999999999</v>
      </c>
      <c r="L550" s="76" t="n">
        <v>0.806</v>
      </c>
      <c r="M550" s="76" t="n">
        <v>0.8245</v>
      </c>
      <c r="N550" s="76" t="n">
        <v>0.8160000000000001</v>
      </c>
      <c r="O550" s="76" t="n">
        <v>0.8075</v>
      </c>
      <c r="P550" s="76" t="n">
        <v>0.7865</v>
      </c>
      <c r="Q550" s="76" t="n">
        <v>0.765</v>
      </c>
      <c r="R550" s="76" t="n">
        <v>0.743</v>
      </c>
      <c r="S550" s="76" t="n">
        <v>0.722</v>
      </c>
      <c r="T550" s="76" t="n">
        <v>0.6955</v>
      </c>
      <c r="U550" s="76" t="n">
        <v>0.669</v>
      </c>
      <c r="V550" s="76" t="n">
        <v>0.6445000000000001</v>
      </c>
      <c r="W550" s="76" t="n">
        <v>0.62</v>
      </c>
      <c r="X550" s="76" t="n">
        <v>0.591</v>
      </c>
      <c r="Y550" s="76" t="n">
        <v>0.5629999999999999</v>
      </c>
      <c r="Z550" s="76" t="n">
        <v>0.501</v>
      </c>
      <c r="AA550" s="76" t="n">
        <v>0.4385</v>
      </c>
      <c r="AB550" s="76" t="n">
        <v>0.3745</v>
      </c>
      <c r="AC550" s="76" t="n">
        <v>0.385</v>
      </c>
      <c r="AD550" s="76" t="n">
        <v>0.3955</v>
      </c>
      <c r="AE550" s="76" t="n">
        <v>0.406</v>
      </c>
      <c r="AF550" s="76" t="n">
        <v>0.417</v>
      </c>
      <c r="AG550" s="76" t="n">
        <v>0.4275</v>
      </c>
      <c r="AH550" s="76" t="n">
        <v>0.424</v>
      </c>
      <c r="AI550" s="76" t="n">
        <v>0.4205</v>
      </c>
      <c r="AJ550" s="76" t="n">
        <v>0.417</v>
      </c>
      <c r="AK550" s="76" t="n">
        <v>0.413</v>
      </c>
      <c r="AL550" s="76" t="n">
        <v>0.41</v>
      </c>
      <c r="AM550" s="76" t="n">
        <v>0.4175</v>
      </c>
      <c r="AN550" s="76" t="n">
        <v>0.425</v>
      </c>
      <c r="AO550" s="76" t="n">
        <v>0.4325</v>
      </c>
      <c r="AP550" s="76" t="n">
        <v>0.44</v>
      </c>
      <c r="AQ550" s="76" t="n">
        <v>0.448</v>
      </c>
      <c r="AR550" s="76" t="n">
        <v>0.5787560975609757</v>
      </c>
    </row>
    <row r="551">
      <c r="A551" s="76" t="inlineStr">
        <is>
          <t>PA</t>
        </is>
      </c>
      <c r="B551" s="76" t="inlineStr">
        <is>
          <t>Gas CT</t>
        </is>
      </c>
      <c r="C551" s="76" t="n">
        <v>0.00575</v>
      </c>
      <c r="D551" s="76" t="n">
        <v>0.0075</v>
      </c>
      <c r="E551" s="76" t="n">
        <v>0.009000000000000001</v>
      </c>
      <c r="F551" s="76" t="n">
        <v>0.02575</v>
      </c>
      <c r="G551" s="76" t="n">
        <v>0.04225</v>
      </c>
      <c r="H551" s="76" t="n">
        <v>0.05425000000000001</v>
      </c>
      <c r="I551" s="76" t="n">
        <v>0.06625</v>
      </c>
      <c r="J551" s="76" t="n">
        <v>0.042</v>
      </c>
      <c r="K551" s="76" t="n">
        <v>0.0175</v>
      </c>
      <c r="L551" s="76" t="n">
        <v>0.0115</v>
      </c>
      <c r="M551" s="76" t="n">
        <v>0.005</v>
      </c>
      <c r="N551" s="76" t="n">
        <v>0.005500000000000001</v>
      </c>
      <c r="O551" s="76" t="n">
        <v>0.005750000000000001</v>
      </c>
      <c r="P551" s="76" t="n">
        <v>0.00525</v>
      </c>
      <c r="Q551" s="76" t="n">
        <v>0.00475</v>
      </c>
      <c r="R551" s="76" t="n">
        <v>0.00475</v>
      </c>
      <c r="S551" s="76" t="n">
        <v>0.004</v>
      </c>
      <c r="T551" s="76" t="n">
        <v>0.003500000000000001</v>
      </c>
      <c r="U551" s="76" t="n">
        <v>0.003</v>
      </c>
      <c r="V551" s="76" t="n">
        <v>0.00175</v>
      </c>
      <c r="W551" s="76" t="n">
        <v>0.00075</v>
      </c>
      <c r="X551" s="76" t="n">
        <v>0.0005</v>
      </c>
      <c r="Y551" s="76" t="n">
        <v>0.00025</v>
      </c>
      <c r="Z551" s="76" t="n">
        <v>0.00025</v>
      </c>
      <c r="AA551" s="76" t="n">
        <v>0</v>
      </c>
      <c r="AB551" s="76" t="n">
        <v>0</v>
      </c>
      <c r="AC551" s="76" t="n">
        <v>0</v>
      </c>
      <c r="AD551" s="76" t="n">
        <v>0</v>
      </c>
      <c r="AE551" s="76" t="n">
        <v>0</v>
      </c>
      <c r="AF551" s="76" t="n">
        <v>0</v>
      </c>
      <c r="AG551" s="76" t="n">
        <v>0</v>
      </c>
      <c r="AH551" s="76" t="n">
        <v>0</v>
      </c>
      <c r="AI551" s="76" t="n">
        <v>0</v>
      </c>
      <c r="AJ551" s="76" t="n">
        <v>0</v>
      </c>
      <c r="AK551" s="76" t="n">
        <v>0</v>
      </c>
      <c r="AL551" s="76" t="n">
        <v>0</v>
      </c>
      <c r="AM551" s="76" t="n">
        <v>0</v>
      </c>
      <c r="AN551" s="76" t="n">
        <v>0</v>
      </c>
      <c r="AO551" s="76" t="n">
        <v>0</v>
      </c>
      <c r="AP551" s="76" t="n">
        <v>0</v>
      </c>
      <c r="AQ551" s="76" t="n">
        <v>0</v>
      </c>
      <c r="AR551" s="76" t="n">
        <v>0.007969512195121936</v>
      </c>
    </row>
    <row r="552">
      <c r="A552" s="76" t="inlineStr">
        <is>
          <t>PA</t>
        </is>
      </c>
      <c r="B552" s="76" t="inlineStr">
        <is>
          <t>Geothermal</t>
        </is>
      </c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  <c r="AA552" s="76" t="n"/>
      <c r="AB552" s="76" t="n"/>
      <c r="AC552" s="76" t="n"/>
      <c r="AD552" s="76" t="n"/>
      <c r="AE552" s="76" t="n"/>
      <c r="AF552" s="76" t="n"/>
      <c r="AG552" s="76" t="n"/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</row>
    <row r="553">
      <c r="A553" s="76" t="inlineStr">
        <is>
          <t>PA</t>
        </is>
      </c>
      <c r="B553" s="76" t="inlineStr">
        <is>
          <t>Hydro</t>
        </is>
      </c>
      <c r="C553" s="76" t="n">
        <v>0.2535</v>
      </c>
      <c r="D553" s="76" t="n">
        <v>0.261</v>
      </c>
      <c r="E553" s="76" t="n">
        <v>0.268</v>
      </c>
      <c r="F553" s="76" t="n">
        <v>0.2475</v>
      </c>
      <c r="G553" s="76" t="n">
        <v>0.2265</v>
      </c>
      <c r="H553" s="76" t="n">
        <v>0.2415</v>
      </c>
      <c r="I553" s="76" t="n">
        <v>0.256</v>
      </c>
      <c r="J553" s="76" t="n">
        <v>0.2525</v>
      </c>
      <c r="K553" s="76" t="n">
        <v>0.249</v>
      </c>
      <c r="L553" s="76" t="n">
        <v>0.253</v>
      </c>
      <c r="M553" s="76" t="n">
        <v>0.2565</v>
      </c>
      <c r="N553" s="76" t="n">
        <v>0.2575</v>
      </c>
      <c r="O553" s="76" t="n">
        <v>0.258</v>
      </c>
      <c r="P553" s="76" t="n">
        <v>0.258</v>
      </c>
      <c r="Q553" s="76" t="n">
        <v>0.2575</v>
      </c>
      <c r="R553" s="76" t="n">
        <v>0.259</v>
      </c>
      <c r="S553" s="76" t="n">
        <v>0.2605</v>
      </c>
      <c r="T553" s="76" t="n">
        <v>0.2605</v>
      </c>
      <c r="U553" s="76" t="n">
        <v>0.26</v>
      </c>
      <c r="V553" s="76" t="n">
        <v>0.2585</v>
      </c>
      <c r="W553" s="76" t="n">
        <v>0.257</v>
      </c>
      <c r="X553" s="76" t="n">
        <v>0.248</v>
      </c>
      <c r="Y553" s="76" t="n">
        <v>0.2385</v>
      </c>
      <c r="Z553" s="76" t="n">
        <v>0.24</v>
      </c>
      <c r="AA553" s="76" t="n">
        <v>0.2415</v>
      </c>
      <c r="AB553" s="76" t="n">
        <v>0.243</v>
      </c>
      <c r="AC553" s="76" t="n">
        <v>0.242</v>
      </c>
      <c r="AD553" s="76" t="n">
        <v>0.241</v>
      </c>
      <c r="AE553" s="76" t="n">
        <v>0.24</v>
      </c>
      <c r="AF553" s="76" t="n">
        <v>0.239</v>
      </c>
      <c r="AG553" s="76" t="n">
        <v>0.238</v>
      </c>
      <c r="AH553" s="76" t="n">
        <v>0.238</v>
      </c>
      <c r="AI553" s="76" t="n">
        <v>0.238</v>
      </c>
      <c r="AJ553" s="76" t="n">
        <v>0.2385</v>
      </c>
      <c r="AK553" s="76" t="n">
        <v>0.2385</v>
      </c>
      <c r="AL553" s="76" t="n">
        <v>0.2385</v>
      </c>
      <c r="AM553" s="76" t="n">
        <v>0.24</v>
      </c>
      <c r="AN553" s="76" t="n">
        <v>0.2415</v>
      </c>
      <c r="AO553" s="76" t="n">
        <v>0.2425</v>
      </c>
      <c r="AP553" s="76" t="n">
        <v>0.244</v>
      </c>
      <c r="AQ553" s="76" t="n">
        <v>0.2455</v>
      </c>
      <c r="AR553" s="76" t="n">
        <v>0.2479878048780489</v>
      </c>
    </row>
    <row r="554">
      <c r="A554" s="76" t="inlineStr">
        <is>
          <t>PA</t>
        </is>
      </c>
      <c r="B554" s="76" t="inlineStr">
        <is>
          <t>Nuclear</t>
        </is>
      </c>
      <c r="C554" s="76" t="n">
        <v>0.902</v>
      </c>
      <c r="D554" s="76" t="n">
        <v>0.902</v>
      </c>
      <c r="E554" s="76" t="n">
        <v>0.902</v>
      </c>
      <c r="F554" s="76" t="n">
        <v>0.902</v>
      </c>
      <c r="G554" s="76" t="n">
        <v>0.902</v>
      </c>
      <c r="H554" s="76" t="n">
        <v>0.902</v>
      </c>
      <c r="I554" s="76" t="n">
        <v>0.902</v>
      </c>
      <c r="J554" s="76" t="n">
        <v>0.902</v>
      </c>
      <c r="K554" s="76" t="n">
        <v>0.902</v>
      </c>
      <c r="L554" s="76" t="n">
        <v>0.902</v>
      </c>
      <c r="M554" s="76" t="n">
        <v>0.902</v>
      </c>
      <c r="N554" s="76" t="n">
        <v>0.902</v>
      </c>
      <c r="O554" s="76" t="n">
        <v>0.902</v>
      </c>
      <c r="P554" s="76" t="n">
        <v>0.902</v>
      </c>
      <c r="Q554" s="76" t="n">
        <v>0.902</v>
      </c>
      <c r="R554" s="76" t="n">
        <v>0.902</v>
      </c>
      <c r="S554" s="76" t="n">
        <v>0.902</v>
      </c>
      <c r="T554" s="76" t="n">
        <v>0.902</v>
      </c>
      <c r="U554" s="76" t="n">
        <v>0.902</v>
      </c>
      <c r="V554" s="76" t="n">
        <v>0.902</v>
      </c>
      <c r="W554" s="76" t="n">
        <v>0.902</v>
      </c>
      <c r="X554" s="76" t="n">
        <v>0.902</v>
      </c>
      <c r="Y554" s="76" t="n">
        <v>0.902</v>
      </c>
      <c r="Z554" s="76" t="n">
        <v>0.902</v>
      </c>
      <c r="AA554" s="76" t="n">
        <v>0.902</v>
      </c>
      <c r="AB554" s="76" t="n">
        <v>0.902</v>
      </c>
      <c r="AC554" s="76" t="n">
        <v>0.902</v>
      </c>
      <c r="AD554" s="76" t="n">
        <v>0.902</v>
      </c>
      <c r="AE554" s="76" t="n">
        <v>0.902</v>
      </c>
      <c r="AF554" s="76" t="n">
        <v>0.902</v>
      </c>
      <c r="AG554" s="76" t="n">
        <v>0.902</v>
      </c>
      <c r="AH554" s="76" t="n">
        <v>0.902</v>
      </c>
      <c r="AI554" s="76" t="n">
        <v>0.902</v>
      </c>
      <c r="AJ554" s="76" t="n">
        <v>0.902</v>
      </c>
      <c r="AK554" s="76" t="n">
        <v>0.902</v>
      </c>
      <c r="AL554" s="76" t="n">
        <v>0.902</v>
      </c>
      <c r="AM554" s="76" t="n">
        <v>0.902</v>
      </c>
      <c r="AN554" s="76" t="n">
        <v>0.902</v>
      </c>
      <c r="AO554" s="76" t="n">
        <v>0.902</v>
      </c>
      <c r="AP554" s="76" t="n">
        <v>0.902</v>
      </c>
      <c r="AQ554" s="76" t="n">
        <v>0.902</v>
      </c>
      <c r="AR554" s="76" t="n">
        <v>0.9020000000000005</v>
      </c>
    </row>
    <row r="555">
      <c r="A555" s="76" t="inlineStr">
        <is>
          <t>PA</t>
        </is>
      </c>
      <c r="B555" s="76" t="inlineStr">
        <is>
          <t>Other</t>
        </is>
      </c>
      <c r="C555" s="76" t="n">
        <v>0</v>
      </c>
      <c r="D555" s="76" t="n">
        <v>0.009333333333333334</v>
      </c>
      <c r="E555" s="76" t="n">
        <v>0.02</v>
      </c>
      <c r="F555" s="76" t="n">
        <v>0.02</v>
      </c>
      <c r="G555" s="76" t="n">
        <v>0.02</v>
      </c>
      <c r="H555" s="76" t="n">
        <v>0.06033333333333333</v>
      </c>
      <c r="I555" s="76" t="n">
        <v>0.1006666666666667</v>
      </c>
      <c r="J555" s="76" t="n">
        <v>0.055</v>
      </c>
      <c r="K555" s="76" t="n">
        <v>0.005666666666666667</v>
      </c>
      <c r="L555" s="76" t="n">
        <v>0.003</v>
      </c>
      <c r="M555" s="76" t="n">
        <v>0</v>
      </c>
      <c r="N555" s="76" t="n">
        <v>0</v>
      </c>
      <c r="O555" s="76" t="n">
        <v>0</v>
      </c>
      <c r="P555" s="76" t="n">
        <v>0</v>
      </c>
      <c r="Q555" s="76" t="n">
        <v>0</v>
      </c>
      <c r="R555" s="76" t="n">
        <v>0</v>
      </c>
      <c r="S555" s="76" t="n">
        <v>0</v>
      </c>
      <c r="T555" s="76" t="n">
        <v>0</v>
      </c>
      <c r="U555" s="76" t="n">
        <v>0</v>
      </c>
      <c r="V555" s="76" t="n">
        <v>0</v>
      </c>
      <c r="W555" s="76" t="n">
        <v>0</v>
      </c>
      <c r="X555" s="76" t="n">
        <v>0</v>
      </c>
      <c r="Y555" s="76" t="n">
        <v>0</v>
      </c>
      <c r="Z555" s="76" t="n">
        <v>0</v>
      </c>
      <c r="AA555" s="76" t="n">
        <v>0</v>
      </c>
      <c r="AB555" s="76" t="n">
        <v>0</v>
      </c>
      <c r="AC555" s="76" t="n">
        <v>0</v>
      </c>
      <c r="AD555" s="76" t="n">
        <v>0</v>
      </c>
      <c r="AE555" s="76" t="n">
        <v>0</v>
      </c>
      <c r="AF555" s="76" t="n">
        <v>0</v>
      </c>
      <c r="AG555" s="76" t="n">
        <v>0</v>
      </c>
      <c r="AH555" s="76" t="n">
        <v>0</v>
      </c>
      <c r="AI555" s="76" t="n">
        <v>0</v>
      </c>
      <c r="AJ555" s="76" t="n">
        <v>0</v>
      </c>
      <c r="AK555" s="76" t="n">
        <v>0</v>
      </c>
      <c r="AL555" s="76" t="n"/>
      <c r="AM555" s="76" t="n"/>
      <c r="AN555" s="76" t="n"/>
      <c r="AO555" s="76" t="n"/>
      <c r="AP555" s="76" t="n"/>
      <c r="AQ555" s="76" t="n"/>
      <c r="AR555" s="76" t="n">
        <v>0.01547368421052632</v>
      </c>
    </row>
    <row r="556">
      <c r="A556" s="76" t="inlineStr">
        <is>
          <t>PA</t>
        </is>
      </c>
      <c r="B556" s="76" t="inlineStr">
        <is>
          <t>Utility PV</t>
        </is>
      </c>
      <c r="C556" s="76" t="n">
        <v>0.214</v>
      </c>
      <c r="D556" s="76" t="n">
        <v>0.2145</v>
      </c>
      <c r="E556" s="76" t="n">
        <v>0.2145</v>
      </c>
      <c r="F556" s="76" t="n">
        <v>0.2135</v>
      </c>
      <c r="G556" s="76" t="n">
        <v>0.212</v>
      </c>
      <c r="H556" s="76" t="n">
        <v>0.211</v>
      </c>
      <c r="I556" s="76" t="n">
        <v>0.21</v>
      </c>
      <c r="J556" s="76" t="n">
        <v>0.209</v>
      </c>
      <c r="K556" s="76" t="n">
        <v>0.208</v>
      </c>
      <c r="L556" s="76" t="n">
        <v>0.207</v>
      </c>
      <c r="M556" s="76" t="n">
        <v>0.206</v>
      </c>
      <c r="N556" s="76" t="n">
        <v>0.205</v>
      </c>
      <c r="O556" s="76" t="n">
        <v>0.204</v>
      </c>
      <c r="P556" s="76" t="n">
        <v>0.203</v>
      </c>
      <c r="Q556" s="76" t="n">
        <v>0.202</v>
      </c>
      <c r="R556" s="76" t="n">
        <v>0.201</v>
      </c>
      <c r="S556" s="76" t="n">
        <v>0.2</v>
      </c>
      <c r="T556" s="76" t="n">
        <v>0.199</v>
      </c>
      <c r="U556" s="76" t="n">
        <v>0.198</v>
      </c>
      <c r="V556" s="76" t="n">
        <v>0.197</v>
      </c>
      <c r="W556" s="76" t="n">
        <v>0.196</v>
      </c>
      <c r="X556" s="76" t="n">
        <v>0.192</v>
      </c>
      <c r="Y556" s="76" t="n">
        <v>0.188</v>
      </c>
      <c r="Z556" s="76" t="n">
        <v>0.189</v>
      </c>
      <c r="AA556" s="76" t="n">
        <v>0.19</v>
      </c>
      <c r="AB556" s="76" t="n">
        <v>0.191</v>
      </c>
      <c r="AC556" s="76" t="n">
        <v>0.19</v>
      </c>
      <c r="AD556" s="76" t="n">
        <v>0.1895</v>
      </c>
      <c r="AE556" s="76" t="n">
        <v>0.1885</v>
      </c>
      <c r="AF556" s="76" t="n">
        <v>0.1875</v>
      </c>
      <c r="AG556" s="76" t="n">
        <v>0.1865</v>
      </c>
      <c r="AH556" s="76" t="n">
        <v>0.1875</v>
      </c>
      <c r="AI556" s="76" t="n">
        <v>0.189</v>
      </c>
      <c r="AJ556" s="76" t="n">
        <v>0.1905</v>
      </c>
      <c r="AK556" s="76" t="n">
        <v>0.193</v>
      </c>
      <c r="AL556" s="76" t="n">
        <v>0.1965</v>
      </c>
      <c r="AM556" s="76" t="n">
        <v>0.2015</v>
      </c>
      <c r="AN556" s="76" t="n">
        <v>0.2015</v>
      </c>
      <c r="AO556" s="76" t="n">
        <v>0.201</v>
      </c>
      <c r="AP556" s="76" t="n">
        <v>0.201</v>
      </c>
      <c r="AQ556" s="76" t="n">
        <v>0.2005</v>
      </c>
      <c r="AR556" s="76" t="n">
        <v>0.1992962962962963</v>
      </c>
    </row>
    <row r="557">
      <c r="A557" s="76" t="inlineStr">
        <is>
          <t>PA</t>
        </is>
      </c>
      <c r="B557" s="76" t="inlineStr">
        <is>
          <t>Wind offshore</t>
        </is>
      </c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>
        <v>0.454</v>
      </c>
      <c r="AD557" s="76" t="n">
        <v>0.454</v>
      </c>
      <c r="AE557" s="76" t="n">
        <v>0.454</v>
      </c>
      <c r="AF557" s="76" t="n">
        <v>0.454</v>
      </c>
      <c r="AG557" s="76" t="n">
        <v>0.454</v>
      </c>
      <c r="AH557" s="76" t="n">
        <v>0.404</v>
      </c>
      <c r="AI557" s="76" t="n">
        <v>0.382</v>
      </c>
      <c r="AJ557" s="76" t="n">
        <v>0.369</v>
      </c>
      <c r="AK557" s="76" t="n">
        <v>0.361</v>
      </c>
      <c r="AL557" s="76" t="n">
        <v>0.355</v>
      </c>
      <c r="AM557" s="76" t="n">
        <v>0.372</v>
      </c>
      <c r="AN557" s="76" t="n">
        <v>0.387</v>
      </c>
      <c r="AO557" s="76" t="n">
        <v>0.4</v>
      </c>
      <c r="AP557" s="76" t="n">
        <v>0.412</v>
      </c>
      <c r="AQ557" s="76" t="n">
        <v>0.422</v>
      </c>
      <c r="AR557" s="76" t="n">
        <v>0.4089333333333334</v>
      </c>
    </row>
    <row r="558">
      <c r="A558" s="76" t="inlineStr">
        <is>
          <t>PA</t>
        </is>
      </c>
      <c r="B558" s="76" t="inlineStr">
        <is>
          <t>Wind onshore</t>
        </is>
      </c>
      <c r="C558" s="76" t="n">
        <v>0.301</v>
      </c>
      <c r="D558" s="76" t="n">
        <v>0.3445</v>
      </c>
      <c r="E558" s="76" t="n">
        <v>0.36</v>
      </c>
      <c r="F558" s="76" t="n">
        <v>0.36</v>
      </c>
      <c r="G558" s="76" t="n">
        <v>0.36</v>
      </c>
      <c r="H558" s="76" t="n">
        <v>0.3605</v>
      </c>
      <c r="I558" s="76" t="n">
        <v>0.361</v>
      </c>
      <c r="J558" s="76" t="n">
        <v>0.361</v>
      </c>
      <c r="K558" s="76" t="n">
        <v>0.361</v>
      </c>
      <c r="L558" s="76" t="n">
        <v>0.405</v>
      </c>
      <c r="M558" s="76" t="n">
        <v>0.408</v>
      </c>
      <c r="N558" s="76" t="n">
        <v>0.4295</v>
      </c>
      <c r="O558" s="76" t="n">
        <v>0.43725</v>
      </c>
      <c r="P558" s="76" t="n">
        <v>0.4375</v>
      </c>
      <c r="Q558" s="76" t="n">
        <v>0.43775</v>
      </c>
      <c r="R558" s="76" t="n">
        <v>0.43625</v>
      </c>
      <c r="S558" s="76" t="n">
        <v>0.43575</v>
      </c>
      <c r="T558" s="76" t="n">
        <v>0.43525</v>
      </c>
      <c r="U558" s="76" t="n">
        <v>0.43575</v>
      </c>
      <c r="V558" s="76" t="n">
        <v>0.43225</v>
      </c>
      <c r="W558" s="76" t="n">
        <v>0.42975</v>
      </c>
      <c r="X558" s="76" t="n">
        <v>0.42725</v>
      </c>
      <c r="Y558" s="76" t="n">
        <v>0.42525</v>
      </c>
      <c r="Z558" s="76" t="n">
        <v>0.42</v>
      </c>
      <c r="AA558" s="76" t="n">
        <v>0.41575</v>
      </c>
      <c r="AB558" s="76" t="n">
        <v>0.4125</v>
      </c>
      <c r="AC558" s="76" t="n">
        <v>0.41175</v>
      </c>
      <c r="AD558" s="76" t="n">
        <v>0.41075</v>
      </c>
      <c r="AE558" s="76" t="n">
        <v>0.40975</v>
      </c>
      <c r="AF558" s="76" t="n">
        <v>0.409</v>
      </c>
      <c r="AG558" s="76" t="n">
        <v>0.408</v>
      </c>
      <c r="AH558" s="76" t="n">
        <v>0.4102499999999999</v>
      </c>
      <c r="AI558" s="76" t="n">
        <v>0.413</v>
      </c>
      <c r="AJ558" s="76" t="n">
        <v>0.4155</v>
      </c>
      <c r="AK558" s="76" t="n">
        <v>0.41775</v>
      </c>
      <c r="AL558" s="76" t="n">
        <v>0.42025</v>
      </c>
      <c r="AM558" s="76" t="n">
        <v>0.421</v>
      </c>
      <c r="AN558" s="76" t="n">
        <v>0.421</v>
      </c>
      <c r="AO558" s="76" t="n">
        <v>0.4215</v>
      </c>
      <c r="AP558" s="76" t="n">
        <v>0.4215</v>
      </c>
      <c r="AQ558" s="76" t="n">
        <v>0.422</v>
      </c>
      <c r="AR558" s="76" t="n">
        <v>0.4131944444444444</v>
      </c>
    </row>
    <row r="559">
      <c r="A559" s="76" t="inlineStr">
        <is>
          <t>RI</t>
        </is>
      </c>
      <c r="B559" s="76" t="inlineStr">
        <is>
          <t>RI</t>
        </is>
      </c>
      <c r="C559" s="76" t="n">
        <v>0.292</v>
      </c>
      <c r="D559" s="76" t="n">
        <v>0.328</v>
      </c>
      <c r="E559" s="76" t="n">
        <v>0.3604</v>
      </c>
      <c r="F559" s="76" t="n">
        <v>0.2834285714285714</v>
      </c>
      <c r="G559" s="76" t="n">
        <v>0.2562857142857143</v>
      </c>
      <c r="H559" s="76" t="n">
        <v>0.27475</v>
      </c>
      <c r="I559" s="76" t="n">
        <v>0.276375</v>
      </c>
      <c r="J559" s="76" t="n">
        <v>0.2725</v>
      </c>
      <c r="K559" s="76" t="n">
        <v>0.26875</v>
      </c>
      <c r="L559" s="76" t="n">
        <v>0.266625</v>
      </c>
      <c r="M559" s="76" t="n">
        <v>0.264625</v>
      </c>
      <c r="N559" s="76" t="n">
        <v>0.271</v>
      </c>
      <c r="O559" s="76" t="n">
        <v>0.27325</v>
      </c>
      <c r="P559" s="76" t="n">
        <v>0.284</v>
      </c>
      <c r="Q559" s="76" t="n">
        <v>0.286125</v>
      </c>
      <c r="R559" s="76" t="n">
        <v>0.2845</v>
      </c>
      <c r="S559" s="76" t="n">
        <v>0.283125</v>
      </c>
      <c r="T559" s="76" t="n">
        <v>0.280875</v>
      </c>
      <c r="U559" s="76" t="n">
        <v>0.2787500000000001</v>
      </c>
      <c r="V559" s="76" t="n">
        <v>0.275875</v>
      </c>
      <c r="W559" s="76" t="n">
        <v>0.273</v>
      </c>
      <c r="X559" s="76" t="n">
        <v>0.2705</v>
      </c>
      <c r="Y559" s="76" t="n">
        <v>0.267625</v>
      </c>
      <c r="Z559" s="76" t="n">
        <v>0.23</v>
      </c>
      <c r="AA559" s="76" t="n">
        <v>0.229</v>
      </c>
      <c r="AB559" s="76" t="n">
        <v>0.2281111111111111</v>
      </c>
      <c r="AC559" s="76" t="n">
        <v>0.2271111111111111</v>
      </c>
      <c r="AD559" s="76" t="n">
        <v>0.2263333333333333</v>
      </c>
      <c r="AE559" s="76" t="n">
        <v>0.2256666666666667</v>
      </c>
      <c r="AF559" s="76" t="n">
        <v>0.2248888888888889</v>
      </c>
      <c r="AG559" s="76" t="n">
        <v>0.2241111111111111</v>
      </c>
      <c r="AH559" s="76" t="n">
        <v>0.2262222222222222</v>
      </c>
      <c r="AI559" s="76" t="n">
        <v>0.2277777777777777</v>
      </c>
      <c r="AJ559" s="76" t="n">
        <v>0.2291111111111111</v>
      </c>
      <c r="AK559" s="76" t="n">
        <v>0.2304444444444445</v>
      </c>
      <c r="AL559" s="76" t="n">
        <v>0.2317777777777777</v>
      </c>
      <c r="AM559" s="76" t="n">
        <v>0.2338888888888889</v>
      </c>
      <c r="AN559" s="76" t="n">
        <v>0.2355555555555556</v>
      </c>
      <c r="AO559" s="76" t="n">
        <v>0.2368888888888889</v>
      </c>
      <c r="AP559" s="76" t="n">
        <v>0.238</v>
      </c>
      <c r="AQ559" s="76" t="n">
        <v>0.2387777777777778</v>
      </c>
      <c r="AR559" s="76" t="n">
        <v>0.2554955223880596</v>
      </c>
    </row>
    <row r="560">
      <c r="A560" s="76" t="inlineStr">
        <is>
          <t>RI</t>
        </is>
      </c>
      <c r="B560" s="76" t="inlineStr">
        <is>
          <t>Battery</t>
        </is>
      </c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>
        <v>-0.062</v>
      </c>
      <c r="AA560" s="76" t="n">
        <v>-0.062</v>
      </c>
      <c r="AB560" s="76" t="n">
        <v>-0.062</v>
      </c>
      <c r="AC560" s="76" t="n">
        <v>-0.065</v>
      </c>
      <c r="AD560" s="76" t="n">
        <v>-0.068</v>
      </c>
      <c r="AE560" s="76" t="n">
        <v>-0.06900000000000001</v>
      </c>
      <c r="AF560" s="76" t="n">
        <v>-0.07099999999999999</v>
      </c>
      <c r="AG560" s="76" t="n">
        <v>-0.07199999999999999</v>
      </c>
      <c r="AH560" s="76" t="n">
        <v>-0.068</v>
      </c>
      <c r="AI560" s="76" t="n">
        <v>-0.067</v>
      </c>
      <c r="AJ560" s="76" t="n">
        <v>-0.067</v>
      </c>
      <c r="AK560" s="76" t="n">
        <v>-0.067</v>
      </c>
      <c r="AL560" s="76" t="n">
        <v>-0.067</v>
      </c>
      <c r="AM560" s="76" t="n">
        <v>-0.065</v>
      </c>
      <c r="AN560" s="76" t="n">
        <v>-0.063</v>
      </c>
      <c r="AO560" s="76" t="n">
        <v>-0.062</v>
      </c>
      <c r="AP560" s="76" t="n">
        <v>-0.061</v>
      </c>
      <c r="AQ560" s="76" t="n">
        <v>-0.061</v>
      </c>
      <c r="AR560" s="76" t="n">
        <v>-0.06549999999999997</v>
      </c>
    </row>
    <row r="561">
      <c r="A561" s="76" t="inlineStr">
        <is>
          <t>RI</t>
        </is>
      </c>
      <c r="B561" s="76" t="inlineStr">
        <is>
          <t>Biopower</t>
        </is>
      </c>
      <c r="C561" s="76" t="n">
        <v>0.522</v>
      </c>
      <c r="D561" s="76" t="n">
        <v>0.522</v>
      </c>
      <c r="E561" s="76" t="n">
        <v>0.522</v>
      </c>
      <c r="F561" s="76" t="n">
        <v>0.522</v>
      </c>
      <c r="G561" s="76" t="n">
        <v>0.522</v>
      </c>
      <c r="H561" s="76" t="n">
        <v>0.522</v>
      </c>
      <c r="I561" s="76" t="n">
        <v>0.522</v>
      </c>
      <c r="J561" s="76" t="n">
        <v>0.519</v>
      </c>
      <c r="K561" s="76" t="n">
        <v>0.516</v>
      </c>
      <c r="L561" s="76" t="n">
        <v>0.498</v>
      </c>
      <c r="M561" s="76" t="n">
        <v>0.481</v>
      </c>
      <c r="N561" s="76" t="n">
        <v>0.498</v>
      </c>
      <c r="O561" s="76" t="n">
        <v>0.516</v>
      </c>
      <c r="P561" s="76" t="n">
        <v>0.516</v>
      </c>
      <c r="Q561" s="76" t="n">
        <v>0.516</v>
      </c>
      <c r="R561" s="76" t="n">
        <v>0.516</v>
      </c>
      <c r="S561" s="76" t="n">
        <v>0.516</v>
      </c>
      <c r="T561" s="76" t="n">
        <v>0.516</v>
      </c>
      <c r="U561" s="76" t="n">
        <v>0.516</v>
      </c>
      <c r="V561" s="76" t="n">
        <v>0.516</v>
      </c>
      <c r="W561" s="76" t="n">
        <v>0.516</v>
      </c>
      <c r="X561" s="76" t="n">
        <v>0.516</v>
      </c>
      <c r="Y561" s="76" t="n">
        <v>0.516</v>
      </c>
      <c r="Z561" s="76" t="n">
        <v>0.516</v>
      </c>
      <c r="AA561" s="76" t="n">
        <v>0.516</v>
      </c>
      <c r="AB561" s="76" t="n">
        <v>0.516</v>
      </c>
      <c r="AC561" s="76" t="n">
        <v>0.516</v>
      </c>
      <c r="AD561" s="76" t="n">
        <v>0.516</v>
      </c>
      <c r="AE561" s="76" t="n">
        <v>0.516</v>
      </c>
      <c r="AF561" s="76" t="n">
        <v>0.516</v>
      </c>
      <c r="AG561" s="76" t="n">
        <v>0.516</v>
      </c>
      <c r="AH561" s="76" t="n">
        <v>0.516</v>
      </c>
      <c r="AI561" s="76" t="n">
        <v>0.516</v>
      </c>
      <c r="AJ561" s="76" t="n">
        <v>0.516</v>
      </c>
      <c r="AK561" s="76" t="n">
        <v>0.516</v>
      </c>
      <c r="AL561" s="76" t="n">
        <v>0.516</v>
      </c>
      <c r="AM561" s="76" t="n">
        <v>0.516</v>
      </c>
      <c r="AN561" s="76" t="n">
        <v>0.516</v>
      </c>
      <c r="AO561" s="76" t="n">
        <v>0.516</v>
      </c>
      <c r="AP561" s="76" t="n">
        <v>0.516</v>
      </c>
      <c r="AQ561" s="76" t="n">
        <v>0.516</v>
      </c>
      <c r="AR561" s="76" t="n">
        <v>0.5153658536585363</v>
      </c>
    </row>
    <row r="562">
      <c r="A562" s="76" t="inlineStr">
        <is>
          <t>RI</t>
        </is>
      </c>
      <c r="B562" s="76" t="inlineStr">
        <is>
          <t>Coal</t>
        </is>
      </c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  <c r="AA562" s="76" t="n"/>
      <c r="AB562" s="76" t="n"/>
      <c r="AC562" s="76" t="n"/>
      <c r="AD562" s="76" t="n"/>
      <c r="AE562" s="76" t="n"/>
      <c r="AF562" s="76" t="n"/>
      <c r="AG562" s="76" t="n"/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</row>
    <row r="563">
      <c r="A563" s="76" t="inlineStr">
        <is>
          <t>RI</t>
        </is>
      </c>
      <c r="B563" s="76" t="inlineStr">
        <is>
          <t>CSP</t>
        </is>
      </c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  <c r="AE563" s="76" t="n"/>
      <c r="AF563" s="76" t="n"/>
      <c r="AG563" s="76" t="n"/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</row>
    <row r="564">
      <c r="A564" s="76" t="inlineStr">
        <is>
          <t>RI</t>
        </is>
      </c>
      <c r="B564" s="76" t="inlineStr">
        <is>
          <t>Dist PV</t>
        </is>
      </c>
      <c r="C564" s="76" t="n"/>
      <c r="D564" s="76" t="n"/>
      <c r="E564" s="76" t="n"/>
      <c r="F564" s="76" t="n">
        <v>0.157</v>
      </c>
      <c r="G564" s="76" t="n">
        <v>0.157</v>
      </c>
      <c r="H564" s="76" t="n">
        <v>0.157</v>
      </c>
      <c r="I564" s="76" t="n">
        <v>0.157</v>
      </c>
      <c r="J564" s="76" t="n">
        <v>0.157</v>
      </c>
      <c r="K564" s="76" t="n">
        <v>0.157</v>
      </c>
      <c r="L564" s="76" t="n">
        <v>0.157</v>
      </c>
      <c r="M564" s="76" t="n">
        <v>0.157</v>
      </c>
      <c r="N564" s="76" t="n">
        <v>0.157</v>
      </c>
      <c r="O564" s="76" t="n">
        <v>0.157</v>
      </c>
      <c r="P564" s="76" t="n">
        <v>0.157</v>
      </c>
      <c r="Q564" s="76" t="n">
        <v>0.157</v>
      </c>
      <c r="R564" s="76" t="n">
        <v>0.157</v>
      </c>
      <c r="S564" s="76" t="n">
        <v>0.157</v>
      </c>
      <c r="T564" s="76" t="n">
        <v>0.157</v>
      </c>
      <c r="U564" s="76" t="n">
        <v>0.157</v>
      </c>
      <c r="V564" s="76" t="n">
        <v>0.157</v>
      </c>
      <c r="W564" s="76" t="n">
        <v>0.157</v>
      </c>
      <c r="X564" s="76" t="n">
        <v>0.157</v>
      </c>
      <c r="Y564" s="76" t="n">
        <v>0.157</v>
      </c>
      <c r="Z564" s="76" t="n">
        <v>0.157</v>
      </c>
      <c r="AA564" s="76" t="n">
        <v>0.157</v>
      </c>
      <c r="AB564" s="76" t="n">
        <v>0.157</v>
      </c>
      <c r="AC564" s="76" t="n">
        <v>0.157</v>
      </c>
      <c r="AD564" s="76" t="n">
        <v>0.157</v>
      </c>
      <c r="AE564" s="76" t="n">
        <v>0.157</v>
      </c>
      <c r="AF564" s="76" t="n">
        <v>0.157</v>
      </c>
      <c r="AG564" s="76" t="n">
        <v>0.157</v>
      </c>
      <c r="AH564" s="76" t="n">
        <v>0.157</v>
      </c>
      <c r="AI564" s="76" t="n">
        <v>0.157</v>
      </c>
      <c r="AJ564" s="76" t="n">
        <v>0.157</v>
      </c>
      <c r="AK564" s="76" t="n">
        <v>0.157</v>
      </c>
      <c r="AL564" s="76" t="n">
        <v>0.157</v>
      </c>
      <c r="AM564" s="76" t="n">
        <v>0.157</v>
      </c>
      <c r="AN564" s="76" t="n">
        <v>0.157</v>
      </c>
      <c r="AO564" s="76" t="n">
        <v>0.157</v>
      </c>
      <c r="AP564" s="76" t="n">
        <v>0.157</v>
      </c>
      <c r="AQ564" s="76" t="n">
        <v>0.157</v>
      </c>
      <c r="AR564" s="76" t="n">
        <v>0.157</v>
      </c>
    </row>
    <row r="565">
      <c r="A565" s="76" t="inlineStr">
        <is>
          <t>RI</t>
        </is>
      </c>
      <c r="B565" s="76" t="inlineStr">
        <is>
          <t>Gas CCGT</t>
        </is>
      </c>
      <c r="C565" s="76" t="n">
        <v>0.327</v>
      </c>
      <c r="D565" s="76" t="n">
        <v>0.415</v>
      </c>
      <c r="E565" s="76" t="n">
        <v>0.502</v>
      </c>
      <c r="F565" s="76" t="n">
        <v>0.371</v>
      </c>
      <c r="G565" s="76" t="n">
        <v>0.24</v>
      </c>
      <c r="H565" s="76" t="n">
        <v>0.22</v>
      </c>
      <c r="I565" s="76" t="n">
        <v>0.2</v>
      </c>
      <c r="J565" s="76" t="n">
        <v>0.172</v>
      </c>
      <c r="K565" s="76" t="n">
        <v>0.145</v>
      </c>
      <c r="L565" s="76" t="n">
        <v>0.145</v>
      </c>
      <c r="M565" s="76" t="n">
        <v>0.145</v>
      </c>
      <c r="N565" s="76" t="n">
        <v>0.139</v>
      </c>
      <c r="O565" s="76" t="n">
        <v>0.132</v>
      </c>
      <c r="P565" s="76" t="n">
        <v>0.145</v>
      </c>
      <c r="Q565" s="76" t="n">
        <v>0.158</v>
      </c>
      <c r="R565" s="76" t="n">
        <v>0.146</v>
      </c>
      <c r="S565" s="76" t="n">
        <v>0.134</v>
      </c>
      <c r="T565" s="76" t="n">
        <v>0.115</v>
      </c>
      <c r="U565" s="76" t="n">
        <v>0.097</v>
      </c>
      <c r="V565" s="76" t="n">
        <v>0.08</v>
      </c>
      <c r="W565" s="76" t="n">
        <v>0.063</v>
      </c>
      <c r="X565" s="76" t="n">
        <v>0.054</v>
      </c>
      <c r="Y565" s="76" t="n">
        <v>0.044</v>
      </c>
      <c r="Z565" s="76" t="n">
        <v>0.04</v>
      </c>
      <c r="AA565" s="76" t="n">
        <v>0.036</v>
      </c>
      <c r="AB565" s="76" t="n">
        <v>0.032</v>
      </c>
      <c r="AC565" s="76" t="n">
        <v>0.031</v>
      </c>
      <c r="AD565" s="76" t="n">
        <v>0.03</v>
      </c>
      <c r="AE565" s="76" t="n">
        <v>0.029</v>
      </c>
      <c r="AF565" s="76" t="n">
        <v>0.028</v>
      </c>
      <c r="AG565" s="76" t="n">
        <v>0.026</v>
      </c>
      <c r="AH565" s="76" t="n">
        <v>0.027</v>
      </c>
      <c r="AI565" s="76" t="n">
        <v>0.028</v>
      </c>
      <c r="AJ565" s="76" t="n">
        <v>0.029</v>
      </c>
      <c r="AK565" s="76" t="n">
        <v>0.03</v>
      </c>
      <c r="AL565" s="76" t="n">
        <v>0.031</v>
      </c>
      <c r="AM565" s="76" t="n">
        <v>0.031</v>
      </c>
      <c r="AN565" s="76" t="n">
        <v>0.03</v>
      </c>
      <c r="AO565" s="76" t="n">
        <v>0.03</v>
      </c>
      <c r="AP565" s="76" t="n">
        <v>0.029</v>
      </c>
      <c r="AQ565" s="76" t="n">
        <v>0.028</v>
      </c>
      <c r="AR565" s="76" t="n">
        <v>0.1154634146341463</v>
      </c>
    </row>
    <row r="566">
      <c r="A566" s="76" t="inlineStr">
        <is>
          <t>RI</t>
        </is>
      </c>
      <c r="B566" s="76" t="inlineStr">
        <is>
          <t>Gas CT</t>
        </is>
      </c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  <c r="AA566" s="76" t="n"/>
      <c r="AB566" s="76" t="n"/>
      <c r="AC566" s="76" t="n"/>
      <c r="AD566" s="76" t="n"/>
      <c r="AE566" s="76" t="n"/>
      <c r="AF566" s="76" t="n"/>
      <c r="AG566" s="76" t="n"/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</row>
    <row r="567">
      <c r="A567" s="76" t="inlineStr">
        <is>
          <t>RI</t>
        </is>
      </c>
      <c r="B567" s="76" t="inlineStr">
        <is>
          <t>Geothermal</t>
        </is>
      </c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  <c r="AA567" s="76" t="n"/>
      <c r="AB567" s="76" t="n"/>
      <c r="AC567" s="76" t="n"/>
      <c r="AD567" s="76" t="n"/>
      <c r="AE567" s="76" t="n"/>
      <c r="AF567" s="76" t="n"/>
      <c r="AG567" s="76" t="n"/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</row>
    <row r="568">
      <c r="A568" s="76" t="inlineStr">
        <is>
          <t>RI</t>
        </is>
      </c>
      <c r="B568" s="76" t="inlineStr">
        <is>
          <t>Hydro</t>
        </is>
      </c>
      <c r="C568" s="76" t="n">
        <v>0.311</v>
      </c>
      <c r="D568" s="76" t="n">
        <v>0.371</v>
      </c>
      <c r="E568" s="76" t="n">
        <v>0.43</v>
      </c>
      <c r="F568" s="76" t="n">
        <v>0.37</v>
      </c>
      <c r="G568" s="76" t="n">
        <v>0.311</v>
      </c>
      <c r="H568" s="76" t="n">
        <v>0.34</v>
      </c>
      <c r="I568" s="76" t="n">
        <v>0.37</v>
      </c>
      <c r="J568" s="76" t="n">
        <v>0.37</v>
      </c>
      <c r="K568" s="76" t="n">
        <v>0.37</v>
      </c>
      <c r="L568" s="76" t="n">
        <v>0.37</v>
      </c>
      <c r="M568" s="76" t="n">
        <v>0.37</v>
      </c>
      <c r="N568" s="76" t="n">
        <v>0.37</v>
      </c>
      <c r="O568" s="76" t="n">
        <v>0.37</v>
      </c>
      <c r="P568" s="76" t="n">
        <v>0.37</v>
      </c>
      <c r="Q568" s="76" t="n">
        <v>0.37</v>
      </c>
      <c r="R568" s="76" t="n">
        <v>0.37</v>
      </c>
      <c r="S568" s="76" t="n">
        <v>0.37</v>
      </c>
      <c r="T568" s="76" t="n">
        <v>0.37</v>
      </c>
      <c r="U568" s="76" t="n">
        <v>0.37</v>
      </c>
      <c r="V568" s="76" t="n">
        <v>0.37</v>
      </c>
      <c r="W568" s="76" t="n">
        <v>0.37</v>
      </c>
      <c r="X568" s="76" t="n">
        <v>0.37</v>
      </c>
      <c r="Y568" s="76" t="n">
        <v>0.37</v>
      </c>
      <c r="Z568" s="76" t="n">
        <v>0.37</v>
      </c>
      <c r="AA568" s="76" t="n">
        <v>0.37</v>
      </c>
      <c r="AB568" s="76" t="n">
        <v>0.37</v>
      </c>
      <c r="AC568" s="76" t="n">
        <v>0.37</v>
      </c>
      <c r="AD568" s="76" t="n">
        <v>0.37</v>
      </c>
      <c r="AE568" s="76" t="n">
        <v>0.37</v>
      </c>
      <c r="AF568" s="76" t="n">
        <v>0.37</v>
      </c>
      <c r="AG568" s="76" t="n">
        <v>0.37</v>
      </c>
      <c r="AH568" s="76" t="n">
        <v>0.37</v>
      </c>
      <c r="AI568" s="76" t="n">
        <v>0.37</v>
      </c>
      <c r="AJ568" s="76" t="n">
        <v>0.37</v>
      </c>
      <c r="AK568" s="76" t="n">
        <v>0.37</v>
      </c>
      <c r="AL568" s="76" t="n">
        <v>0.37</v>
      </c>
      <c r="AM568" s="76" t="n">
        <v>0.37</v>
      </c>
      <c r="AN568" s="76" t="n">
        <v>0.37</v>
      </c>
      <c r="AO568" s="76" t="n">
        <v>0.37</v>
      </c>
      <c r="AP568" s="76" t="n">
        <v>0.37</v>
      </c>
      <c r="AQ568" s="76" t="n">
        <v>0.37</v>
      </c>
      <c r="AR568" s="76" t="n">
        <v>0.3678780487804875</v>
      </c>
    </row>
    <row r="569">
      <c r="A569" s="76" t="inlineStr">
        <is>
          <t>RI</t>
        </is>
      </c>
      <c r="B569" s="76" t="inlineStr">
        <is>
          <t>Nuclear</t>
        </is>
      </c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  <c r="AA569" s="76" t="n"/>
      <c r="AB569" s="76" t="n"/>
      <c r="AC569" s="76" t="n"/>
      <c r="AD569" s="76" t="n"/>
      <c r="AE569" s="76" t="n"/>
      <c r="AF569" s="76" t="n"/>
      <c r="AG569" s="76" t="n"/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</row>
    <row r="570">
      <c r="A570" s="76" t="inlineStr">
        <is>
          <t>RI</t>
        </is>
      </c>
      <c r="B570" s="76" t="inlineStr">
        <is>
          <t>Other</t>
        </is>
      </c>
      <c r="C570" s="76" t="n">
        <v>0</v>
      </c>
      <c r="D570" s="76" t="n">
        <v>0</v>
      </c>
      <c r="E570" s="76" t="n">
        <v>0</v>
      </c>
      <c r="F570" s="76" t="n">
        <v>0</v>
      </c>
      <c r="G570" s="76" t="n">
        <v>0</v>
      </c>
      <c r="H570" s="76" t="n">
        <v>0</v>
      </c>
      <c r="I570" s="76" t="n">
        <v>0</v>
      </c>
      <c r="J570" s="76" t="n">
        <v>0</v>
      </c>
      <c r="K570" s="76" t="n">
        <v>0</v>
      </c>
      <c r="L570" s="76" t="n">
        <v>0</v>
      </c>
      <c r="M570" s="76" t="n">
        <v>0</v>
      </c>
      <c r="N570" s="76" t="n">
        <v>0</v>
      </c>
      <c r="O570" s="76" t="n">
        <v>0</v>
      </c>
      <c r="P570" s="76" t="n">
        <v>0</v>
      </c>
      <c r="Q570" s="76" t="n">
        <v>0</v>
      </c>
      <c r="R570" s="76" t="n">
        <v>0</v>
      </c>
      <c r="S570" s="76" t="n">
        <v>0</v>
      </c>
      <c r="T570" s="76" t="n">
        <v>0</v>
      </c>
      <c r="U570" s="76" t="n">
        <v>0</v>
      </c>
      <c r="V570" s="76" t="n">
        <v>0</v>
      </c>
      <c r="W570" s="76" t="n">
        <v>0</v>
      </c>
      <c r="X570" s="76" t="n">
        <v>0</v>
      </c>
      <c r="Y570" s="76" t="n">
        <v>0</v>
      </c>
      <c r="Z570" s="76" t="n">
        <v>0</v>
      </c>
      <c r="AA570" s="76" t="n">
        <v>0</v>
      </c>
      <c r="AB570" s="76" t="n">
        <v>0</v>
      </c>
      <c r="AC570" s="76" t="n">
        <v>0</v>
      </c>
      <c r="AD570" s="76" t="n">
        <v>0</v>
      </c>
      <c r="AE570" s="76" t="n">
        <v>0</v>
      </c>
      <c r="AF570" s="76" t="n">
        <v>0</v>
      </c>
      <c r="AG570" s="76" t="n">
        <v>0</v>
      </c>
      <c r="AH570" s="76" t="n">
        <v>0</v>
      </c>
      <c r="AI570" s="76" t="n">
        <v>0</v>
      </c>
      <c r="AJ570" s="76" t="n">
        <v>0</v>
      </c>
      <c r="AK570" s="76" t="n">
        <v>0</v>
      </c>
      <c r="AL570" s="76" t="n">
        <v>0</v>
      </c>
      <c r="AM570" s="76" t="n">
        <v>0</v>
      </c>
      <c r="AN570" s="76" t="n">
        <v>0</v>
      </c>
      <c r="AO570" s="76" t="n">
        <v>0</v>
      </c>
      <c r="AP570" s="76" t="n">
        <v>0</v>
      </c>
      <c r="AQ570" s="76" t="n">
        <v>0</v>
      </c>
      <c r="AR570" s="76" t="n">
        <v>0</v>
      </c>
    </row>
    <row r="571">
      <c r="A571" s="76" t="inlineStr">
        <is>
          <t>RI</t>
        </is>
      </c>
      <c r="B571" s="76" t="inlineStr">
        <is>
          <t>Utility PV</t>
        </is>
      </c>
      <c r="C571" s="76" t="n"/>
      <c r="D571" s="76" t="n"/>
      <c r="E571" s="76" t="n"/>
      <c r="F571" s="76" t="n">
        <v>0.216</v>
      </c>
      <c r="G571" s="76" t="n">
        <v>0.216</v>
      </c>
      <c r="H571" s="76" t="n">
        <v>0.215</v>
      </c>
      <c r="I571" s="76" t="n">
        <v>0.214</v>
      </c>
      <c r="J571" s="76" t="n">
        <v>0.214</v>
      </c>
      <c r="K571" s="76" t="n">
        <v>0.214</v>
      </c>
      <c r="L571" s="76" t="n">
        <v>0.214</v>
      </c>
      <c r="M571" s="76" t="n">
        <v>0.214</v>
      </c>
      <c r="N571" s="76" t="n">
        <v>0.213</v>
      </c>
      <c r="O571" s="76" t="n">
        <v>0.212</v>
      </c>
      <c r="P571" s="76" t="n">
        <v>0.211</v>
      </c>
      <c r="Q571" s="76" t="n">
        <v>0.21</v>
      </c>
      <c r="R571" s="76" t="n">
        <v>0.209</v>
      </c>
      <c r="S571" s="76" t="n">
        <v>0.208</v>
      </c>
      <c r="T571" s="76" t="n">
        <v>0.206</v>
      </c>
      <c r="U571" s="76" t="n">
        <v>0.205</v>
      </c>
      <c r="V571" s="76" t="n">
        <v>0.204</v>
      </c>
      <c r="W571" s="76" t="n">
        <v>0.203</v>
      </c>
      <c r="X571" s="76" t="n">
        <v>0.202</v>
      </c>
      <c r="Y571" s="76" t="n">
        <v>0.201</v>
      </c>
      <c r="Z571" s="76" t="n">
        <v>0.2</v>
      </c>
      <c r="AA571" s="76" t="n">
        <v>0.199</v>
      </c>
      <c r="AB571" s="76" t="n">
        <v>0.198</v>
      </c>
      <c r="AC571" s="76" t="n">
        <v>0.197</v>
      </c>
      <c r="AD571" s="76" t="n">
        <v>0.196</v>
      </c>
      <c r="AE571" s="76" t="n">
        <v>0.195</v>
      </c>
      <c r="AF571" s="76" t="n">
        <v>0.194</v>
      </c>
      <c r="AG571" s="76" t="n">
        <v>0.193</v>
      </c>
      <c r="AH571" s="76" t="n">
        <v>0.193</v>
      </c>
      <c r="AI571" s="76" t="n">
        <v>0.192</v>
      </c>
      <c r="AJ571" s="76" t="n">
        <v>0.191</v>
      </c>
      <c r="AK571" s="76" t="n">
        <v>0.191</v>
      </c>
      <c r="AL571" s="76" t="n">
        <v>0.19</v>
      </c>
      <c r="AM571" s="76" t="n">
        <v>0.19</v>
      </c>
      <c r="AN571" s="76" t="n">
        <v>0.19</v>
      </c>
      <c r="AO571" s="76" t="n">
        <v>0.19</v>
      </c>
      <c r="AP571" s="76" t="n">
        <v>0.19</v>
      </c>
      <c r="AQ571" s="76" t="n">
        <v>0.188</v>
      </c>
      <c r="AR571" s="76" t="n">
        <v>0.2020526315789474</v>
      </c>
    </row>
    <row r="572">
      <c r="A572" s="76" t="inlineStr">
        <is>
          <t>RI</t>
        </is>
      </c>
      <c r="B572" s="76" t="inlineStr">
        <is>
          <t>Wind offshore</t>
        </is>
      </c>
      <c r="C572" s="76" t="n"/>
      <c r="D572" s="76" t="n"/>
      <c r="E572" s="76" t="n"/>
      <c r="F572" s="76" t="n"/>
      <c r="G572" s="76" t="n"/>
      <c r="H572" s="76" t="n">
        <v>0.373</v>
      </c>
      <c r="I572" s="76" t="n">
        <v>0.373</v>
      </c>
      <c r="J572" s="76" t="n">
        <v>0.373</v>
      </c>
      <c r="K572" s="76" t="n">
        <v>0.373</v>
      </c>
      <c r="L572" s="76" t="n">
        <v>0.374</v>
      </c>
      <c r="M572" s="76" t="n">
        <v>0.375</v>
      </c>
      <c r="N572" s="76" t="n">
        <v>0.375</v>
      </c>
      <c r="O572" s="76" t="n">
        <v>0.375</v>
      </c>
      <c r="P572" s="76" t="n">
        <v>0.45</v>
      </c>
      <c r="Q572" s="76" t="n">
        <v>0.456</v>
      </c>
      <c r="R572" s="76" t="n">
        <v>0.456</v>
      </c>
      <c r="S572" s="76" t="n">
        <v>0.457</v>
      </c>
      <c r="T572" s="76" t="n">
        <v>0.457</v>
      </c>
      <c r="U572" s="76" t="n">
        <v>0.457</v>
      </c>
      <c r="V572" s="76" t="n">
        <v>0.457</v>
      </c>
      <c r="W572" s="76" t="n">
        <v>0.457</v>
      </c>
      <c r="X572" s="76" t="n">
        <v>0.457</v>
      </c>
      <c r="Y572" s="76" t="n">
        <v>0.456</v>
      </c>
      <c r="Z572" s="76" t="n">
        <v>0.454</v>
      </c>
      <c r="AA572" s="76" t="n">
        <v>0.452</v>
      </c>
      <c r="AB572" s="76" t="n">
        <v>0.45</v>
      </c>
      <c r="AC572" s="76" t="n">
        <v>0.451</v>
      </c>
      <c r="AD572" s="76" t="n">
        <v>0.453</v>
      </c>
      <c r="AE572" s="76" t="n">
        <v>0.454</v>
      </c>
      <c r="AF572" s="76" t="n">
        <v>0.455</v>
      </c>
      <c r="AG572" s="76" t="n">
        <v>0.456</v>
      </c>
      <c r="AH572" s="76" t="n">
        <v>0.459</v>
      </c>
      <c r="AI572" s="76" t="n">
        <v>0.461</v>
      </c>
      <c r="AJ572" s="76" t="n">
        <v>0.462</v>
      </c>
      <c r="AK572" s="76" t="n">
        <v>0.463</v>
      </c>
      <c r="AL572" s="76" t="n">
        <v>0.464</v>
      </c>
      <c r="AM572" s="76" t="n">
        <v>0.476</v>
      </c>
      <c r="AN572" s="76" t="n">
        <v>0.486</v>
      </c>
      <c r="AO572" s="76" t="n">
        <v>0.493</v>
      </c>
      <c r="AP572" s="76" t="n">
        <v>0.499</v>
      </c>
      <c r="AQ572" s="76" t="n">
        <v>0.504</v>
      </c>
      <c r="AR572" s="76" t="n">
        <v>0.4428611111111111</v>
      </c>
    </row>
    <row r="573">
      <c r="A573" s="76" t="inlineStr">
        <is>
          <t>RI</t>
        </is>
      </c>
      <c r="B573" s="76" t="inlineStr">
        <is>
          <t>Wind onshore</t>
        </is>
      </c>
      <c r="C573" s="76" t="n">
        <v>0.3</v>
      </c>
      <c r="D573" s="76" t="n">
        <v>0.332</v>
      </c>
      <c r="E573" s="76" t="n">
        <v>0.348</v>
      </c>
      <c r="F573" s="76" t="n">
        <v>0.348</v>
      </c>
      <c r="G573" s="76" t="n">
        <v>0.348</v>
      </c>
      <c r="H573" s="76" t="n">
        <v>0.371</v>
      </c>
      <c r="I573" s="76" t="n">
        <v>0.375</v>
      </c>
      <c r="J573" s="76" t="n">
        <v>0.375</v>
      </c>
      <c r="K573" s="76" t="n">
        <v>0.375</v>
      </c>
      <c r="L573" s="76" t="n">
        <v>0.375</v>
      </c>
      <c r="M573" s="76" t="n">
        <v>0.375</v>
      </c>
      <c r="N573" s="76" t="n">
        <v>0.416</v>
      </c>
      <c r="O573" s="76" t="n">
        <v>0.424</v>
      </c>
      <c r="P573" s="76" t="n">
        <v>0.423</v>
      </c>
      <c r="Q573" s="76" t="n">
        <v>0.422</v>
      </c>
      <c r="R573" s="76" t="n">
        <v>0.422</v>
      </c>
      <c r="S573" s="76" t="n">
        <v>0.423</v>
      </c>
      <c r="T573" s="76" t="n">
        <v>0.426</v>
      </c>
      <c r="U573" s="76" t="n">
        <v>0.428</v>
      </c>
      <c r="V573" s="76" t="n">
        <v>0.423</v>
      </c>
      <c r="W573" s="76" t="n">
        <v>0.418</v>
      </c>
      <c r="X573" s="76" t="n">
        <v>0.408</v>
      </c>
      <c r="Y573" s="76" t="n">
        <v>0.397</v>
      </c>
      <c r="Z573" s="76" t="n">
        <v>0.395</v>
      </c>
      <c r="AA573" s="76" t="n">
        <v>0.393</v>
      </c>
      <c r="AB573" s="76" t="n">
        <v>0.392</v>
      </c>
      <c r="AC573" s="76" t="n">
        <v>0.387</v>
      </c>
      <c r="AD573" s="76" t="n">
        <v>0.383</v>
      </c>
      <c r="AE573" s="76" t="n">
        <v>0.379</v>
      </c>
      <c r="AF573" s="76" t="n">
        <v>0.375</v>
      </c>
      <c r="AG573" s="76" t="n">
        <v>0.371</v>
      </c>
      <c r="AH573" s="76" t="n">
        <v>0.382</v>
      </c>
      <c r="AI573" s="76" t="n">
        <v>0.393</v>
      </c>
      <c r="AJ573" s="76" t="n">
        <v>0.404</v>
      </c>
      <c r="AK573" s="76" t="n">
        <v>0.414</v>
      </c>
      <c r="AL573" s="76" t="n">
        <v>0.425</v>
      </c>
      <c r="AM573" s="76" t="n">
        <v>0.43</v>
      </c>
      <c r="AN573" s="76" t="n">
        <v>0.434</v>
      </c>
      <c r="AO573" s="76" t="n">
        <v>0.438</v>
      </c>
      <c r="AP573" s="76" t="n">
        <v>0.442</v>
      </c>
      <c r="AQ573" s="76" t="n">
        <v>0.447</v>
      </c>
      <c r="AR573" s="76" t="n">
        <v>0.396</v>
      </c>
    </row>
    <row r="574">
      <c r="A574" s="76" t="inlineStr">
        <is>
          <t>SC</t>
        </is>
      </c>
      <c r="B574" s="76" t="inlineStr">
        <is>
          <t>SC</t>
        </is>
      </c>
      <c r="C574" s="76" t="n">
        <v>0.3161428571428572</v>
      </c>
      <c r="D574" s="76" t="n">
        <v>0.3312857142857143</v>
      </c>
      <c r="E574" s="76" t="n">
        <v>0.3455</v>
      </c>
      <c r="F574" s="76" t="n">
        <v>0.3036470588235294</v>
      </c>
      <c r="G574" s="76" t="n">
        <v>0.2907647058823529</v>
      </c>
      <c r="H574" s="76" t="n">
        <v>0.3018823529411764</v>
      </c>
      <c r="I574" s="76" t="n">
        <v>0.3211875</v>
      </c>
      <c r="J574" s="76" t="n">
        <v>0.3048823529411764</v>
      </c>
      <c r="K574" s="76" t="n">
        <v>0.3064705882352941</v>
      </c>
      <c r="L574" s="76" t="n">
        <v>0.3014444444444445</v>
      </c>
      <c r="M574" s="76" t="n">
        <v>0.2998333333333333</v>
      </c>
      <c r="N574" s="76" t="n">
        <v>0.301</v>
      </c>
      <c r="O574" s="76" t="n">
        <v>0.2966315789473685</v>
      </c>
      <c r="P574" s="76" t="n">
        <v>0.2825789473684211</v>
      </c>
      <c r="Q574" s="76" t="n">
        <v>0.2685789473684211</v>
      </c>
      <c r="R574" s="76" t="n">
        <v>0.2582631578947369</v>
      </c>
      <c r="S574" s="76" t="n">
        <v>0.2510526315789474</v>
      </c>
      <c r="T574" s="76" t="n">
        <v>0.2425263157894737</v>
      </c>
      <c r="U574" s="76" t="n">
        <v>0.2343157894736842</v>
      </c>
      <c r="V574" s="76" t="n">
        <v>0.21805</v>
      </c>
      <c r="W574" s="76" t="n">
        <v>0.21535</v>
      </c>
      <c r="X574" s="76" t="n">
        <v>0.21175</v>
      </c>
      <c r="Y574" s="76" t="n">
        <v>0.21005</v>
      </c>
      <c r="Z574" s="76" t="n">
        <v>0.2189545454545455</v>
      </c>
      <c r="AA574" s="76" t="n">
        <v>0.2199545454545455</v>
      </c>
      <c r="AB574" s="76" t="n">
        <v>0.2070476190476191</v>
      </c>
      <c r="AC574" s="76" t="n">
        <v>0.2073333333333333</v>
      </c>
      <c r="AD574" s="76" t="n">
        <v>0.2075238095238095</v>
      </c>
      <c r="AE574" s="76" t="n">
        <v>0.2077619047619048</v>
      </c>
      <c r="AF574" s="76" t="n">
        <v>0.2080476190476191</v>
      </c>
      <c r="AG574" s="76" t="n">
        <v>0.21865</v>
      </c>
      <c r="AH574" s="76" t="n">
        <v>0.22065</v>
      </c>
      <c r="AI574" s="76" t="n">
        <v>0.2222</v>
      </c>
      <c r="AJ574" s="76" t="n">
        <v>0.2237</v>
      </c>
      <c r="AK574" s="76" t="n">
        <v>0.22505</v>
      </c>
      <c r="AL574" s="76" t="n">
        <v>0.1906842105263158</v>
      </c>
      <c r="AM574" s="76" t="n">
        <v>0.1915789473684211</v>
      </c>
      <c r="AN574" s="76" t="n">
        <v>0.1923684210526316</v>
      </c>
      <c r="AO574" s="76" t="n">
        <v>0.1932631578947369</v>
      </c>
      <c r="AP574" s="76" t="n">
        <v>0.1943157894736842</v>
      </c>
      <c r="AQ574" s="76" t="n">
        <v>0.1955263157894737</v>
      </c>
      <c r="AR574" s="76" t="n">
        <v>0.2439418604651163</v>
      </c>
    </row>
    <row r="575">
      <c r="A575" s="76" t="inlineStr">
        <is>
          <t>SC</t>
        </is>
      </c>
      <c r="B575" s="76" t="inlineStr">
        <is>
          <t>Battery</t>
        </is>
      </c>
      <c r="C575" s="76" t="n"/>
      <c r="D575" s="76" t="n"/>
      <c r="E575" s="76" t="n"/>
      <c r="F575" s="76" t="n"/>
      <c r="G575" s="76" t="n"/>
      <c r="H575" s="76" t="n"/>
      <c r="I575" s="76" t="n"/>
      <c r="J575" s="76" t="n">
        <v>0</v>
      </c>
      <c r="K575" s="76" t="n">
        <v>0</v>
      </c>
      <c r="L575" s="76" t="n">
        <v>0</v>
      </c>
      <c r="M575" s="76" t="n">
        <v>0</v>
      </c>
      <c r="N575" s="76" t="n">
        <v>0</v>
      </c>
      <c r="O575" s="76" t="n">
        <v>0</v>
      </c>
      <c r="P575" s="76" t="n">
        <v>0</v>
      </c>
      <c r="Q575" s="76" t="n">
        <v>0</v>
      </c>
      <c r="R575" s="76" t="n">
        <v>-0.004</v>
      </c>
      <c r="S575" s="76" t="n">
        <v>-0.007</v>
      </c>
      <c r="T575" s="76" t="n">
        <v>-0.018</v>
      </c>
      <c r="U575" s="76" t="n">
        <v>-0.029</v>
      </c>
      <c r="V575" s="76" t="n">
        <v>-0.03999999999999999</v>
      </c>
      <c r="W575" s="76" t="n">
        <v>-0.044</v>
      </c>
      <c r="X575" s="76" t="n">
        <v>-0.0505</v>
      </c>
      <c r="Y575" s="76" t="n">
        <v>-0.0505</v>
      </c>
      <c r="Z575" s="76" t="n">
        <v>-0.051</v>
      </c>
      <c r="AA575" s="76" t="n">
        <v>-0.052</v>
      </c>
      <c r="AB575" s="76" t="n">
        <v>-0.0535</v>
      </c>
      <c r="AC575" s="76" t="n">
        <v>-0.0565</v>
      </c>
      <c r="AD575" s="76" t="n">
        <v>-0.059</v>
      </c>
      <c r="AE575" s="76" t="n">
        <v>-0.061</v>
      </c>
      <c r="AF575" s="76" t="n">
        <v>-0.063</v>
      </c>
      <c r="AG575" s="76" t="n">
        <v>-0.0645</v>
      </c>
      <c r="AH575" s="76" t="n">
        <v>-0.0625</v>
      </c>
      <c r="AI575" s="76" t="n">
        <v>-0.0615</v>
      </c>
      <c r="AJ575" s="76" t="n">
        <v>-0.0605</v>
      </c>
      <c r="AK575" s="76" t="n">
        <v>-0.0595</v>
      </c>
      <c r="AL575" s="76" t="n">
        <v>-0.0585</v>
      </c>
      <c r="AM575" s="76" t="n">
        <v>-0.05599999999999999</v>
      </c>
      <c r="AN575" s="76" t="n">
        <v>-0.054</v>
      </c>
      <c r="AO575" s="76" t="n">
        <v>-0.053</v>
      </c>
      <c r="AP575" s="76" t="n">
        <v>-0.052</v>
      </c>
      <c r="AQ575" s="76" t="n">
        <v>-0.051</v>
      </c>
      <c r="AR575" s="76" t="n">
        <v>-0.04439285714285714</v>
      </c>
    </row>
    <row r="576">
      <c r="A576" s="76" t="inlineStr">
        <is>
          <t>SC</t>
        </is>
      </c>
      <c r="B576" s="76" t="inlineStr">
        <is>
          <t>Biopower</t>
        </is>
      </c>
      <c r="C576" s="76" t="n">
        <v>0.6475</v>
      </c>
      <c r="D576" s="76" t="n">
        <v>0.603</v>
      </c>
      <c r="E576" s="76" t="n">
        <v>0.5665</v>
      </c>
      <c r="F576" s="76" t="n">
        <v>0.445</v>
      </c>
      <c r="G576" s="76" t="n">
        <v>0.3525</v>
      </c>
      <c r="H576" s="76" t="n">
        <v>0.327</v>
      </c>
      <c r="I576" s="76" t="n">
        <v>0.301</v>
      </c>
      <c r="J576" s="76" t="n">
        <v>0.301</v>
      </c>
      <c r="K576" s="76" t="n">
        <v>0.301</v>
      </c>
      <c r="L576" s="76" t="n">
        <v>0.301</v>
      </c>
      <c r="M576" s="76" t="n">
        <v>0.301</v>
      </c>
      <c r="N576" s="76" t="n">
        <v>0.301</v>
      </c>
      <c r="O576" s="76" t="n">
        <v>0.301</v>
      </c>
      <c r="P576" s="76" t="n">
        <v>0.301</v>
      </c>
      <c r="Q576" s="76" t="n">
        <v>0.301</v>
      </c>
      <c r="R576" s="76" t="n">
        <v>0.301</v>
      </c>
      <c r="S576" s="76" t="n">
        <v>0.301</v>
      </c>
      <c r="T576" s="76" t="n">
        <v>0.301</v>
      </c>
      <c r="U576" s="76" t="n">
        <v>0.301</v>
      </c>
      <c r="V576" s="76" t="n">
        <v>0.301</v>
      </c>
      <c r="W576" s="76" t="n">
        <v>0.301</v>
      </c>
      <c r="X576" s="76" t="n">
        <v>0.301</v>
      </c>
      <c r="Y576" s="76" t="n">
        <v>0.301</v>
      </c>
      <c r="Z576" s="76" t="n">
        <v>0.296</v>
      </c>
      <c r="AA576" s="76" t="n">
        <v>0.2905</v>
      </c>
      <c r="AB576" s="76" t="n">
        <v>0.285</v>
      </c>
      <c r="AC576" s="76" t="n">
        <v>0.2885</v>
      </c>
      <c r="AD576" s="76" t="n">
        <v>0.2915</v>
      </c>
      <c r="AE576" s="76" t="n">
        <v>0.2945</v>
      </c>
      <c r="AF576" s="76" t="n">
        <v>0.298</v>
      </c>
      <c r="AG576" s="76" t="n">
        <v>0.301</v>
      </c>
      <c r="AH576" s="76" t="n">
        <v>0.301</v>
      </c>
      <c r="AI576" s="76" t="n">
        <v>0.301</v>
      </c>
      <c r="AJ576" s="76" t="n">
        <v>0.301</v>
      </c>
      <c r="AK576" s="76" t="n">
        <v>0.301</v>
      </c>
      <c r="AL576" s="76" t="n">
        <v>0.3005</v>
      </c>
      <c r="AM576" s="76" t="n">
        <v>0.303</v>
      </c>
      <c r="AN576" s="76" t="n">
        <v>0.306</v>
      </c>
      <c r="AO576" s="76" t="n">
        <v>0.3105</v>
      </c>
      <c r="AP576" s="76" t="n">
        <v>0.3175</v>
      </c>
      <c r="AQ576" s="76" t="n">
        <v>0.3275</v>
      </c>
      <c r="AR576" s="76" t="n">
        <v>0.3285975609756096</v>
      </c>
    </row>
    <row r="577">
      <c r="A577" s="76" t="inlineStr">
        <is>
          <t>SC</t>
        </is>
      </c>
      <c r="B577" s="76" t="inlineStr">
        <is>
          <t>Coal</t>
        </is>
      </c>
      <c r="C577" s="76" t="n">
        <v>0.4665</v>
      </c>
      <c r="D577" s="76" t="n">
        <v>0.3205</v>
      </c>
      <c r="E577" s="76" t="n">
        <v>0.1595</v>
      </c>
      <c r="F577" s="76" t="n">
        <v>0.3275</v>
      </c>
      <c r="G577" s="76" t="n">
        <v>0.503</v>
      </c>
      <c r="H577" s="76" t="n">
        <v>0.4405</v>
      </c>
      <c r="I577" s="76" t="n">
        <v>0.576</v>
      </c>
      <c r="J577" s="76" t="n">
        <v>0.616</v>
      </c>
      <c r="K577" s="76" t="n">
        <v>0.656</v>
      </c>
      <c r="L577" s="76" t="n">
        <v>0.59</v>
      </c>
      <c r="M577" s="76" t="n">
        <v>0.516</v>
      </c>
      <c r="N577" s="76" t="n">
        <v>0.481</v>
      </c>
      <c r="O577" s="76" t="n">
        <v>0.44</v>
      </c>
      <c r="P577" s="76" t="n">
        <v>0.482</v>
      </c>
      <c r="Q577" s="76" t="n">
        <v>0.528</v>
      </c>
      <c r="R577" s="76" t="n">
        <v>0.546</v>
      </c>
      <c r="S577" s="76" t="n">
        <v>0.5679999999999999</v>
      </c>
      <c r="T577" s="76" t="n">
        <v>0.549</v>
      </c>
      <c r="U577" s="76" t="n">
        <v>0.53</v>
      </c>
      <c r="V577" s="76" t="n">
        <v>0.489</v>
      </c>
      <c r="W577" s="76" t="n">
        <v>0.419</v>
      </c>
      <c r="X577" s="76" t="n">
        <v>0.442</v>
      </c>
      <c r="Y577" s="76" t="n">
        <v>0.509</v>
      </c>
      <c r="Z577" s="76" t="n">
        <v>0.509</v>
      </c>
      <c r="AA577" s="76" t="n">
        <v>0.509</v>
      </c>
      <c r="AB577" s="76" t="n"/>
      <c r="AC577" s="76" t="n"/>
      <c r="AD577" s="76" t="n"/>
      <c r="AE577" s="76" t="n"/>
      <c r="AF577" s="76" t="n"/>
      <c r="AG577" s="76" t="n"/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>
        <v>0.4641935483870968</v>
      </c>
    </row>
    <row r="578">
      <c r="A578" s="76" t="inlineStr">
        <is>
          <t>SC</t>
        </is>
      </c>
      <c r="B578" s="76" t="inlineStr">
        <is>
          <t>CSP</t>
        </is>
      </c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  <c r="AA578" s="76" t="n"/>
      <c r="AB578" s="76" t="n"/>
      <c r="AC578" s="76" t="n"/>
      <c r="AD578" s="76" t="n"/>
      <c r="AE578" s="76" t="n"/>
      <c r="AF578" s="76" t="n"/>
      <c r="AG578" s="76" t="n"/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</row>
    <row r="579">
      <c r="A579" s="76" t="inlineStr">
        <is>
          <t>SC</t>
        </is>
      </c>
      <c r="B579" s="76" t="inlineStr">
        <is>
          <t>Dist PV</t>
        </is>
      </c>
      <c r="C579" s="76" t="n"/>
      <c r="D579" s="76" t="n"/>
      <c r="E579" s="76" t="n"/>
      <c r="F579" s="76" t="n">
        <v>0.179</v>
      </c>
      <c r="G579" s="76" t="n">
        <v>0.179</v>
      </c>
      <c r="H579" s="76" t="n">
        <v>0.179</v>
      </c>
      <c r="I579" s="76" t="n">
        <v>0.179</v>
      </c>
      <c r="J579" s="76" t="n">
        <v>0.179</v>
      </c>
      <c r="K579" s="76" t="n">
        <v>0.179</v>
      </c>
      <c r="L579" s="76" t="n">
        <v>0.179</v>
      </c>
      <c r="M579" s="76" t="n">
        <v>0.179</v>
      </c>
      <c r="N579" s="76" t="n">
        <v>0.179</v>
      </c>
      <c r="O579" s="76" t="n">
        <v>0.179</v>
      </c>
      <c r="P579" s="76" t="n">
        <v>0.179</v>
      </c>
      <c r="Q579" s="76" t="n">
        <v>0.179</v>
      </c>
      <c r="R579" s="76" t="n">
        <v>0.1775</v>
      </c>
      <c r="S579" s="76" t="n">
        <v>0.1765</v>
      </c>
      <c r="T579" s="76" t="n">
        <v>0.1575</v>
      </c>
      <c r="U579" s="76" t="n">
        <v>0.1405</v>
      </c>
      <c r="V579" s="76" t="n">
        <v>0.161</v>
      </c>
      <c r="W579" s="76" t="n">
        <v>0.179</v>
      </c>
      <c r="X579" s="76" t="n">
        <v>0.174</v>
      </c>
      <c r="Y579" s="76" t="n">
        <v>0.1695</v>
      </c>
      <c r="Z579" s="76" t="n">
        <v>0.173</v>
      </c>
      <c r="AA579" s="76" t="n">
        <v>0.1765</v>
      </c>
      <c r="AB579" s="76" t="n">
        <v>0.179</v>
      </c>
      <c r="AC579" s="76" t="n">
        <v>0.179</v>
      </c>
      <c r="AD579" s="76" t="n">
        <v>0.179</v>
      </c>
      <c r="AE579" s="76" t="n">
        <v>0.179</v>
      </c>
      <c r="AF579" s="76" t="n">
        <v>0.179</v>
      </c>
      <c r="AG579" s="76" t="n">
        <v>0.179</v>
      </c>
      <c r="AH579" s="76" t="n">
        <v>0.179</v>
      </c>
      <c r="AI579" s="76" t="n">
        <v>0.179</v>
      </c>
      <c r="AJ579" s="76" t="n">
        <v>0.179</v>
      </c>
      <c r="AK579" s="76" t="n">
        <v>0.179</v>
      </c>
      <c r="AL579" s="76" t="n">
        <v>0.179</v>
      </c>
      <c r="AM579" s="76" t="n">
        <v>0.179</v>
      </c>
      <c r="AN579" s="76" t="n">
        <v>0.179</v>
      </c>
      <c r="AO579" s="76" t="n">
        <v>0.179</v>
      </c>
      <c r="AP579" s="76" t="n">
        <v>0.179</v>
      </c>
      <c r="AQ579" s="76" t="n">
        <v>0.179</v>
      </c>
      <c r="AR579" s="76" t="n">
        <v>0.1762368421052632</v>
      </c>
    </row>
    <row r="580">
      <c r="A580" s="76" t="inlineStr">
        <is>
          <t>SC</t>
        </is>
      </c>
      <c r="B580" s="76" t="inlineStr">
        <is>
          <t>Gas CCGT</t>
        </is>
      </c>
      <c r="C580" s="76" t="n">
        <v>0.1255</v>
      </c>
      <c r="D580" s="76" t="n">
        <v>0.4385</v>
      </c>
      <c r="E580" s="76" t="n">
        <v>0.7515000000000001</v>
      </c>
      <c r="F580" s="76" t="n">
        <v>0.5455</v>
      </c>
      <c r="G580" s="76" t="n">
        <v>0.331</v>
      </c>
      <c r="H580" s="76" t="n">
        <v>0.5265</v>
      </c>
      <c r="I580" s="76" t="n">
        <v>0.722</v>
      </c>
      <c r="J580" s="76" t="n">
        <v>0.724</v>
      </c>
      <c r="K580" s="76" t="n">
        <v>0.718</v>
      </c>
      <c r="L580" s="76" t="n">
        <v>0.739</v>
      </c>
      <c r="M580" s="76" t="n">
        <v>0.759</v>
      </c>
      <c r="N580" s="76" t="n">
        <v>0.7384999999999999</v>
      </c>
      <c r="O580" s="76" t="n">
        <v>0.7175</v>
      </c>
      <c r="P580" s="76" t="n">
        <v>0.573</v>
      </c>
      <c r="Q580" s="76" t="n">
        <v>0.428</v>
      </c>
      <c r="R580" s="76" t="n">
        <v>0.3595</v>
      </c>
      <c r="S580" s="76" t="n">
        <v>0.29</v>
      </c>
      <c r="T580" s="76" t="n">
        <v>0.2595</v>
      </c>
      <c r="U580" s="76" t="n">
        <v>0.2295</v>
      </c>
      <c r="V580" s="76" t="n">
        <v>0.2265</v>
      </c>
      <c r="W580" s="76" t="n">
        <v>0.223</v>
      </c>
      <c r="X580" s="76" t="n">
        <v>0.1745</v>
      </c>
      <c r="Y580" s="76" t="n">
        <v>0.126</v>
      </c>
      <c r="Z580" s="76" t="n">
        <v>0.1435</v>
      </c>
      <c r="AA580" s="76" t="n">
        <v>0.1605</v>
      </c>
      <c r="AB580" s="76" t="n">
        <v>0.1775</v>
      </c>
      <c r="AC580" s="76" t="n">
        <v>0.1775</v>
      </c>
      <c r="AD580" s="76" t="n">
        <v>0.1775</v>
      </c>
      <c r="AE580" s="76" t="n">
        <v>0.178</v>
      </c>
      <c r="AF580" s="76" t="n">
        <v>0.1785</v>
      </c>
      <c r="AG580" s="76" t="n">
        <v>0.1785</v>
      </c>
      <c r="AH580" s="76" t="n">
        <v>0.184</v>
      </c>
      <c r="AI580" s="76" t="n">
        <v>0.19</v>
      </c>
      <c r="AJ580" s="76" t="n">
        <v>0.1955</v>
      </c>
      <c r="AK580" s="76" t="n">
        <v>0.2005</v>
      </c>
      <c r="AL580" s="76" t="n">
        <v>0.206</v>
      </c>
      <c r="AM580" s="76" t="n">
        <v>0.202</v>
      </c>
      <c r="AN580" s="76" t="n">
        <v>0.1975</v>
      </c>
      <c r="AO580" s="76" t="n">
        <v>0.1935</v>
      </c>
      <c r="AP580" s="76" t="n">
        <v>0.1895</v>
      </c>
      <c r="AQ580" s="76" t="n">
        <v>0.1845</v>
      </c>
      <c r="AR580" s="76" t="n">
        <v>0.3424512195121951</v>
      </c>
    </row>
    <row r="581">
      <c r="A581" s="76" t="inlineStr">
        <is>
          <t>SC</t>
        </is>
      </c>
      <c r="B581" s="76" t="inlineStr">
        <is>
          <t>Gas CT</t>
        </is>
      </c>
      <c r="C581" s="76" t="n">
        <v>0.004</v>
      </c>
      <c r="D581" s="76" t="n">
        <v>0.004</v>
      </c>
      <c r="E581" s="76" t="n">
        <v>0.004</v>
      </c>
      <c r="F581" s="76" t="n">
        <v>0.004</v>
      </c>
      <c r="G581" s="76" t="n">
        <v>0.004</v>
      </c>
      <c r="H581" s="76" t="n">
        <v>0.004</v>
      </c>
      <c r="I581" s="76" t="n">
        <v>0.004</v>
      </c>
      <c r="J581" s="76" t="n">
        <v>0.004</v>
      </c>
      <c r="K581" s="76" t="n">
        <v>0.004</v>
      </c>
      <c r="L581" s="76" t="n">
        <v>0.004</v>
      </c>
      <c r="M581" s="76" t="n">
        <v>0.004</v>
      </c>
      <c r="N581" s="76" t="n">
        <v>0.004</v>
      </c>
      <c r="O581" s="76" t="n">
        <v>0.0035</v>
      </c>
      <c r="P581" s="76" t="n">
        <v>0.003</v>
      </c>
      <c r="Q581" s="76" t="n">
        <v>0.002</v>
      </c>
      <c r="R581" s="76" t="n">
        <v>0.0015</v>
      </c>
      <c r="S581" s="76" t="n">
        <v>0.0015</v>
      </c>
      <c r="T581" s="76" t="n">
        <v>0.0015</v>
      </c>
      <c r="U581" s="76" t="n">
        <v>0.002</v>
      </c>
      <c r="V581" s="76" t="n">
        <v>0.0015</v>
      </c>
      <c r="W581" s="76" t="n">
        <v>0.001</v>
      </c>
      <c r="X581" s="76" t="n">
        <v>0.0005</v>
      </c>
      <c r="Y581" s="76" t="n">
        <v>0</v>
      </c>
      <c r="Z581" s="76" t="n">
        <v>0</v>
      </c>
      <c r="AA581" s="76" t="n">
        <v>0</v>
      </c>
      <c r="AB581" s="76" t="n">
        <v>0</v>
      </c>
      <c r="AC581" s="76" t="n">
        <v>0</v>
      </c>
      <c r="AD581" s="76" t="n">
        <v>0.0005</v>
      </c>
      <c r="AE581" s="76" t="n">
        <v>0.0005</v>
      </c>
      <c r="AF581" s="76" t="n">
        <v>0.0005</v>
      </c>
      <c r="AG581" s="76" t="n">
        <v>0.0005</v>
      </c>
      <c r="AH581" s="76" t="n">
        <v>0.0005</v>
      </c>
      <c r="AI581" s="76" t="n">
        <v>0.0005</v>
      </c>
      <c r="AJ581" s="76" t="n">
        <v>0.0005</v>
      </c>
      <c r="AK581" s="76" t="n">
        <v>0</v>
      </c>
      <c r="AL581" s="76" t="n">
        <v>0</v>
      </c>
      <c r="AM581" s="76" t="n">
        <v>0</v>
      </c>
      <c r="AN581" s="76" t="n">
        <v>0</v>
      </c>
      <c r="AO581" s="76" t="n">
        <v>0</v>
      </c>
      <c r="AP581" s="76" t="n">
        <v>0</v>
      </c>
      <c r="AQ581" s="76" t="n">
        <v>0</v>
      </c>
      <c r="AR581" s="76" t="n">
        <v>0.001695121951219513</v>
      </c>
    </row>
    <row r="582">
      <c r="A582" s="76" t="inlineStr">
        <is>
          <t>SC</t>
        </is>
      </c>
      <c r="B582" s="76" t="inlineStr">
        <is>
          <t>Geothermal</t>
        </is>
      </c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  <c r="AA582" s="76" t="n"/>
      <c r="AB582" s="76" t="n"/>
      <c r="AC582" s="76" t="n"/>
      <c r="AD582" s="76" t="n"/>
      <c r="AE582" s="76" t="n"/>
      <c r="AF582" s="76" t="n"/>
      <c r="AG582" s="76" t="n"/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</row>
    <row r="583">
      <c r="A583" s="76" t="inlineStr">
        <is>
          <t>SC</t>
        </is>
      </c>
      <c r="B583" s="76" t="inlineStr">
        <is>
          <t>Hydro</t>
        </is>
      </c>
      <c r="C583" s="76" t="n">
        <v>0.0675</v>
      </c>
      <c r="D583" s="76" t="n">
        <v>0.051</v>
      </c>
      <c r="E583" s="76" t="n">
        <v>0.035</v>
      </c>
      <c r="F583" s="76" t="n">
        <v>0.0575</v>
      </c>
      <c r="G583" s="76" t="n">
        <v>0.0795</v>
      </c>
      <c r="H583" s="76" t="n">
        <v>0.0665</v>
      </c>
      <c r="I583" s="76" t="n">
        <v>0.053</v>
      </c>
      <c r="J583" s="76" t="n">
        <v>0.053</v>
      </c>
      <c r="K583" s="76" t="n">
        <v>0.0525</v>
      </c>
      <c r="L583" s="76" t="n">
        <v>0.054</v>
      </c>
      <c r="M583" s="76" t="n">
        <v>0.05649999999999999</v>
      </c>
      <c r="N583" s="76" t="n">
        <v>0.057</v>
      </c>
      <c r="O583" s="76" t="n">
        <v>0.058</v>
      </c>
      <c r="P583" s="76" t="n">
        <v>0.0485</v>
      </c>
      <c r="Q583" s="76" t="n">
        <v>0.0385</v>
      </c>
      <c r="R583" s="76" t="n">
        <v>0.033</v>
      </c>
      <c r="S583" s="76" t="n">
        <v>0.028</v>
      </c>
      <c r="T583" s="76" t="n">
        <v>0.023</v>
      </c>
      <c r="U583" s="76" t="n">
        <v>0.018</v>
      </c>
      <c r="V583" s="76" t="n">
        <v>0.0185</v>
      </c>
      <c r="W583" s="76" t="n">
        <v>0.0195</v>
      </c>
      <c r="X583" s="76" t="n">
        <v>0.021</v>
      </c>
      <c r="Y583" s="76" t="n">
        <v>0.0225</v>
      </c>
      <c r="Z583" s="76" t="n">
        <v>0.022</v>
      </c>
      <c r="AA583" s="76" t="n">
        <v>0.0215</v>
      </c>
      <c r="AB583" s="76" t="n">
        <v>0.0205</v>
      </c>
      <c r="AC583" s="76" t="n">
        <v>0.0195</v>
      </c>
      <c r="AD583" s="76" t="n">
        <v>0.0185</v>
      </c>
      <c r="AE583" s="76" t="n">
        <v>0.017</v>
      </c>
      <c r="AF583" s="76" t="n">
        <v>0.016</v>
      </c>
      <c r="AG583" s="76" t="n">
        <v>0.015</v>
      </c>
      <c r="AH583" s="76" t="n">
        <v>0.016</v>
      </c>
      <c r="AI583" s="76" t="n">
        <v>0.0165</v>
      </c>
      <c r="AJ583" s="76" t="n">
        <v>0.0175</v>
      </c>
      <c r="AK583" s="76" t="n">
        <v>0.019</v>
      </c>
      <c r="AL583" s="76" t="n">
        <v>0.0195</v>
      </c>
      <c r="AM583" s="76" t="n">
        <v>0.0225</v>
      </c>
      <c r="AN583" s="76" t="n">
        <v>0.0255</v>
      </c>
      <c r="AO583" s="76" t="n">
        <v>0.02950000000000001</v>
      </c>
      <c r="AP583" s="76" t="n">
        <v>0.0325</v>
      </c>
      <c r="AQ583" s="76" t="n">
        <v>0.0355</v>
      </c>
      <c r="AR583" s="76" t="n">
        <v>0.03403658536585367</v>
      </c>
    </row>
    <row r="584">
      <c r="A584" s="76" t="inlineStr">
        <is>
          <t>SC</t>
        </is>
      </c>
      <c r="B584" s="76" t="inlineStr">
        <is>
          <t>Nuclear</t>
        </is>
      </c>
      <c r="C584" s="76" t="n">
        <v>0.902</v>
      </c>
      <c r="D584" s="76" t="n">
        <v>0.902</v>
      </c>
      <c r="E584" s="76" t="n">
        <v>0.902</v>
      </c>
      <c r="F584" s="76" t="n">
        <v>0.902</v>
      </c>
      <c r="G584" s="76" t="n">
        <v>0.902</v>
      </c>
      <c r="H584" s="76" t="n">
        <v>0.902</v>
      </c>
      <c r="I584" s="76" t="n">
        <v>0.902</v>
      </c>
      <c r="J584" s="76" t="n">
        <v>0.902</v>
      </c>
      <c r="K584" s="76" t="n">
        <v>0.902</v>
      </c>
      <c r="L584" s="76" t="n">
        <v>0.902</v>
      </c>
      <c r="M584" s="76" t="n">
        <v>0.902</v>
      </c>
      <c r="N584" s="76" t="n">
        <v>0.902</v>
      </c>
      <c r="O584" s="76" t="n">
        <v>0.902</v>
      </c>
      <c r="P584" s="76" t="n">
        <v>0.902</v>
      </c>
      <c r="Q584" s="76" t="n">
        <v>0.902</v>
      </c>
      <c r="R584" s="76" t="n">
        <v>0.902</v>
      </c>
      <c r="S584" s="76" t="n">
        <v>0.902</v>
      </c>
      <c r="T584" s="76" t="n">
        <v>0.902</v>
      </c>
      <c r="U584" s="76" t="n">
        <v>0.902</v>
      </c>
      <c r="V584" s="76" t="n">
        <v>0.902</v>
      </c>
      <c r="W584" s="76" t="n">
        <v>0.902</v>
      </c>
      <c r="X584" s="76" t="n">
        <v>0.902</v>
      </c>
      <c r="Y584" s="76" t="n">
        <v>0.902</v>
      </c>
      <c r="Z584" s="76" t="n">
        <v>0.902</v>
      </c>
      <c r="AA584" s="76" t="n">
        <v>0.902</v>
      </c>
      <c r="AB584" s="76" t="n">
        <v>0.902</v>
      </c>
      <c r="AC584" s="76" t="n">
        <v>0.902</v>
      </c>
      <c r="AD584" s="76" t="n">
        <v>0.902</v>
      </c>
      <c r="AE584" s="76" t="n">
        <v>0.902</v>
      </c>
      <c r="AF584" s="76" t="n">
        <v>0.902</v>
      </c>
      <c r="AG584" s="76" t="n">
        <v>0.902</v>
      </c>
      <c r="AH584" s="76" t="n">
        <v>0.902</v>
      </c>
      <c r="AI584" s="76" t="n">
        <v>0.902</v>
      </c>
      <c r="AJ584" s="76" t="n">
        <v>0.902</v>
      </c>
      <c r="AK584" s="76" t="n">
        <v>0.902</v>
      </c>
      <c r="AL584" s="76" t="n">
        <v>0.902</v>
      </c>
      <c r="AM584" s="76" t="n">
        <v>0.902</v>
      </c>
      <c r="AN584" s="76" t="n">
        <v>0.902</v>
      </c>
      <c r="AO584" s="76" t="n">
        <v>0.902</v>
      </c>
      <c r="AP584" s="76" t="n">
        <v>0.902</v>
      </c>
      <c r="AQ584" s="76" t="n">
        <v>0.902</v>
      </c>
      <c r="AR584" s="76" t="n">
        <v>0.9020000000000007</v>
      </c>
    </row>
    <row r="585">
      <c r="A585" s="76" t="inlineStr">
        <is>
          <t>SC</t>
        </is>
      </c>
      <c r="B585" s="76" t="inlineStr">
        <is>
          <t>Other</t>
        </is>
      </c>
      <c r="C585" s="76" t="n">
        <v>0</v>
      </c>
      <c r="D585" s="76" t="n">
        <v>0</v>
      </c>
      <c r="E585" s="76" t="n">
        <v>0</v>
      </c>
      <c r="F585" s="76" t="n">
        <v>0</v>
      </c>
      <c r="G585" s="76" t="n">
        <v>0</v>
      </c>
      <c r="H585" s="76" t="n">
        <v>0</v>
      </c>
      <c r="I585" s="76" t="n">
        <v>0</v>
      </c>
      <c r="J585" s="76" t="n">
        <v>0</v>
      </c>
      <c r="K585" s="76" t="n">
        <v>0</v>
      </c>
      <c r="L585" s="76" t="n">
        <v>0</v>
      </c>
      <c r="M585" s="76" t="n">
        <v>0</v>
      </c>
      <c r="N585" s="76" t="n">
        <v>0</v>
      </c>
      <c r="O585" s="76" t="n">
        <v>0</v>
      </c>
      <c r="P585" s="76" t="n">
        <v>0</v>
      </c>
      <c r="Q585" s="76" t="n">
        <v>0</v>
      </c>
      <c r="R585" s="76" t="n">
        <v>0</v>
      </c>
      <c r="S585" s="76" t="n">
        <v>0</v>
      </c>
      <c r="T585" s="76" t="n">
        <v>0</v>
      </c>
      <c r="U585" s="76" t="n">
        <v>0</v>
      </c>
      <c r="V585" s="76" t="n">
        <v>0</v>
      </c>
      <c r="W585" s="76" t="n">
        <v>0</v>
      </c>
      <c r="X585" s="76" t="n">
        <v>0</v>
      </c>
      <c r="Y585" s="76" t="n">
        <v>0</v>
      </c>
      <c r="Z585" s="76" t="n">
        <v>0</v>
      </c>
      <c r="AA585" s="76" t="n">
        <v>0</v>
      </c>
      <c r="AB585" s="76" t="n">
        <v>0</v>
      </c>
      <c r="AC585" s="76" t="n">
        <v>0</v>
      </c>
      <c r="AD585" s="76" t="n">
        <v>0</v>
      </c>
      <c r="AE585" s="76" t="n">
        <v>0</v>
      </c>
      <c r="AF585" s="76" t="n">
        <v>0</v>
      </c>
      <c r="AG585" s="76" t="n">
        <v>0</v>
      </c>
      <c r="AH585" s="76" t="n">
        <v>0</v>
      </c>
      <c r="AI585" s="76" t="n">
        <v>0</v>
      </c>
      <c r="AJ585" s="76" t="n">
        <v>0</v>
      </c>
      <c r="AK585" s="76" t="n">
        <v>0</v>
      </c>
      <c r="AL585" s="76" t="n">
        <v>0</v>
      </c>
      <c r="AM585" s="76" t="n">
        <v>0</v>
      </c>
      <c r="AN585" s="76" t="n">
        <v>0</v>
      </c>
      <c r="AO585" s="76" t="n">
        <v>0</v>
      </c>
      <c r="AP585" s="76" t="n">
        <v>0</v>
      </c>
      <c r="AQ585" s="76" t="n">
        <v>0</v>
      </c>
      <c r="AR585" s="76" t="n">
        <v>0</v>
      </c>
    </row>
    <row r="586">
      <c r="A586" s="76" t="inlineStr">
        <is>
          <t>SC</t>
        </is>
      </c>
      <c r="B586" s="76" t="inlineStr">
        <is>
          <t>Utility PV</t>
        </is>
      </c>
      <c r="C586" s="76" t="n"/>
      <c r="D586" s="76" t="n"/>
      <c r="E586" s="76" t="n"/>
      <c r="F586" s="76" t="n">
        <v>0.241</v>
      </c>
      <c r="G586" s="76" t="n">
        <v>0.241</v>
      </c>
      <c r="H586" s="76" t="n">
        <v>0.241</v>
      </c>
      <c r="I586" s="76" t="n">
        <v>0.241</v>
      </c>
      <c r="J586" s="76" t="n">
        <v>0.241</v>
      </c>
      <c r="K586" s="76" t="n">
        <v>0.241</v>
      </c>
      <c r="L586" s="76" t="n">
        <v>0.239</v>
      </c>
      <c r="M586" s="76" t="n">
        <v>0.239</v>
      </c>
      <c r="N586" s="76" t="n">
        <v>0.239</v>
      </c>
      <c r="O586" s="76" t="n">
        <v>0.2385</v>
      </c>
      <c r="P586" s="76" t="n">
        <v>0.2385</v>
      </c>
      <c r="Q586" s="76" t="n">
        <v>0.2385</v>
      </c>
      <c r="R586" s="76" t="n">
        <v>0.237</v>
      </c>
      <c r="S586" s="76" t="n">
        <v>0.2345</v>
      </c>
      <c r="T586" s="76" t="n">
        <v>0.232</v>
      </c>
      <c r="U586" s="76" t="n">
        <v>0.229</v>
      </c>
      <c r="V586" s="76" t="n">
        <v>0.2265</v>
      </c>
      <c r="W586" s="76" t="n">
        <v>0.2235</v>
      </c>
      <c r="X586" s="76" t="n">
        <v>0.2235</v>
      </c>
      <c r="Y586" s="76" t="n">
        <v>0.2225</v>
      </c>
      <c r="Z586" s="76" t="n">
        <v>0.221</v>
      </c>
      <c r="AA586" s="76" t="n">
        <v>0.2195</v>
      </c>
      <c r="AB586" s="76" t="n">
        <v>0.218</v>
      </c>
      <c r="AC586" s="76" t="n">
        <v>0.2165</v>
      </c>
      <c r="AD586" s="76" t="n">
        <v>0.2145</v>
      </c>
      <c r="AE586" s="76" t="n">
        <v>0.213</v>
      </c>
      <c r="AF586" s="76" t="n">
        <v>0.212</v>
      </c>
      <c r="AG586" s="76" t="n">
        <v>0.2105</v>
      </c>
      <c r="AH586" s="76" t="n">
        <v>0.2105</v>
      </c>
      <c r="AI586" s="76" t="n">
        <v>0.21</v>
      </c>
      <c r="AJ586" s="76" t="n">
        <v>0.21</v>
      </c>
      <c r="AK586" s="76" t="n">
        <v>0.2105</v>
      </c>
      <c r="AL586" s="76" t="n">
        <v>0.21</v>
      </c>
      <c r="AM586" s="76" t="n">
        <v>0.2105</v>
      </c>
      <c r="AN586" s="76" t="n">
        <v>0.211</v>
      </c>
      <c r="AO586" s="76" t="n">
        <v>0.211</v>
      </c>
      <c r="AP586" s="76" t="n">
        <v>0.2115</v>
      </c>
      <c r="AQ586" s="76" t="n">
        <v>0.212</v>
      </c>
      <c r="AR586" s="76" t="n">
        <v>0.2233142857142858</v>
      </c>
    </row>
    <row r="587">
      <c r="A587" s="76" t="inlineStr">
        <is>
          <t>SC</t>
        </is>
      </c>
      <c r="B587" s="76" t="inlineStr">
        <is>
          <t>Wind offshore</t>
        </is>
      </c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>
        <v>0.349</v>
      </c>
      <c r="AA587" s="76" t="n">
        <v>0.349</v>
      </c>
      <c r="AB587" s="76" t="n">
        <v>0.349</v>
      </c>
      <c r="AC587" s="76" t="n">
        <v>0.359</v>
      </c>
      <c r="AD587" s="76" t="n">
        <v>0.367</v>
      </c>
      <c r="AE587" s="76" t="n">
        <v>0.375</v>
      </c>
      <c r="AF587" s="76" t="n">
        <v>0.381</v>
      </c>
      <c r="AG587" s="76" t="n">
        <v>0.387</v>
      </c>
      <c r="AH587" s="76" t="n">
        <v>0.4</v>
      </c>
      <c r="AI587" s="76" t="n">
        <v>0.408</v>
      </c>
      <c r="AJ587" s="76" t="n">
        <v>0.413</v>
      </c>
      <c r="AK587" s="76" t="n">
        <v>0.416</v>
      </c>
      <c r="AL587" s="76" t="n">
        <v>0.419</v>
      </c>
      <c r="AM587" s="76" t="n">
        <v>0.426</v>
      </c>
      <c r="AN587" s="76" t="n">
        <v>0.431</v>
      </c>
      <c r="AO587" s="76" t="n">
        <v>0.436</v>
      </c>
      <c r="AP587" s="76" t="n">
        <v>0.44</v>
      </c>
      <c r="AQ587" s="76" t="n">
        <v>0.443</v>
      </c>
      <c r="AR587" s="76" t="n">
        <v>0.3971111111111111</v>
      </c>
    </row>
    <row r="588">
      <c r="A588" s="76" t="inlineStr">
        <is>
          <t>SC</t>
        </is>
      </c>
      <c r="B588" s="76" t="inlineStr">
        <is>
          <t>Wind onshore</t>
        </is>
      </c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>
        <v>0.397</v>
      </c>
      <c r="O588" s="76" t="n">
        <v>0.397</v>
      </c>
      <c r="P588" s="76" t="n">
        <v>0.397</v>
      </c>
      <c r="Q588" s="76" t="n">
        <v>0.397</v>
      </c>
      <c r="R588" s="76" t="n">
        <v>0.342</v>
      </c>
      <c r="S588" s="76" t="n">
        <v>0.342</v>
      </c>
      <c r="T588" s="76" t="n">
        <v>0.324</v>
      </c>
      <c r="U588" s="76" t="n">
        <v>0.307</v>
      </c>
      <c r="V588" s="76" t="n">
        <v>0.278</v>
      </c>
      <c r="W588" s="76" t="n">
        <v>0.278</v>
      </c>
      <c r="X588" s="76" t="n">
        <v>0.301</v>
      </c>
      <c r="Y588" s="76" t="n">
        <v>0.306</v>
      </c>
      <c r="Z588" s="76" t="n">
        <v>0.273</v>
      </c>
      <c r="AA588" s="76" t="n">
        <v>0.272</v>
      </c>
      <c r="AB588" s="76" t="n">
        <v>0.271</v>
      </c>
      <c r="AC588" s="76" t="n">
        <v>0.271</v>
      </c>
      <c r="AD588" s="76" t="n">
        <v>0.271</v>
      </c>
      <c r="AE588" s="76" t="n">
        <v>0.271</v>
      </c>
      <c r="AF588" s="76" t="n">
        <v>0.271</v>
      </c>
      <c r="AG588" s="76" t="n">
        <v>0.271</v>
      </c>
      <c r="AH588" s="76" t="n">
        <v>0.276</v>
      </c>
      <c r="AI588" s="76" t="n">
        <v>0.2805</v>
      </c>
      <c r="AJ588" s="76" t="n">
        <v>0.2855</v>
      </c>
      <c r="AK588" s="76" t="n">
        <v>0.29</v>
      </c>
      <c r="AL588" s="76" t="n">
        <v>0.2945</v>
      </c>
      <c r="AM588" s="76" t="n">
        <v>0.295</v>
      </c>
      <c r="AN588" s="76" t="n">
        <v>0.296</v>
      </c>
      <c r="AO588" s="76" t="n">
        <v>0.2965</v>
      </c>
      <c r="AP588" s="76" t="n">
        <v>0.297</v>
      </c>
      <c r="AQ588" s="76" t="n">
        <v>0.2975</v>
      </c>
      <c r="AR588" s="76" t="n">
        <v>0.2963541666666667</v>
      </c>
    </row>
    <row r="589">
      <c r="A589" s="76" t="inlineStr">
        <is>
          <t>SD</t>
        </is>
      </c>
      <c r="B589" s="76" t="inlineStr">
        <is>
          <t>SD</t>
        </is>
      </c>
      <c r="C589" s="76" t="n">
        <v>0.235625</v>
      </c>
      <c r="D589" s="76" t="n">
        <v>0.2497777777777778</v>
      </c>
      <c r="E589" s="76" t="n">
        <v>0.23</v>
      </c>
      <c r="F589" s="76" t="n">
        <v>0.2063636363636364</v>
      </c>
      <c r="G589" s="76" t="n">
        <v>0.2116</v>
      </c>
      <c r="H589" s="76" t="n">
        <v>0.2385454545454545</v>
      </c>
      <c r="I589" s="76" t="n">
        <v>0.2832</v>
      </c>
      <c r="J589" s="76" t="n">
        <v>0.2791</v>
      </c>
      <c r="K589" s="76" t="n">
        <v>0.2746999999999999</v>
      </c>
      <c r="L589" s="76" t="n">
        <v>0.2707</v>
      </c>
      <c r="M589" s="76" t="n">
        <v>0.2642</v>
      </c>
      <c r="N589" s="76" t="n">
        <v>0.2501666666666666</v>
      </c>
      <c r="O589" s="76" t="n">
        <v>0.2481666666666666</v>
      </c>
      <c r="P589" s="76" t="n">
        <v>0.2494166666666666</v>
      </c>
      <c r="Q589" s="76" t="n">
        <v>0.2474166666666666</v>
      </c>
      <c r="R589" s="76" t="n">
        <v>0.2061538461538461</v>
      </c>
      <c r="S589" s="76" t="n">
        <v>0.189</v>
      </c>
      <c r="T589" s="76" t="n">
        <v>0.184</v>
      </c>
      <c r="U589" s="76" t="n">
        <v>0.1789230769230769</v>
      </c>
      <c r="V589" s="76" t="n">
        <v>0.1673076923076923</v>
      </c>
      <c r="W589" s="76" t="n">
        <v>0.1566923076923077</v>
      </c>
      <c r="X589" s="76" t="n">
        <v>0.1907142857142857</v>
      </c>
      <c r="Y589" s="76" t="n">
        <v>0.1903571428571428</v>
      </c>
      <c r="Z589" s="76" t="n">
        <v>0.1905</v>
      </c>
      <c r="AA589" s="76" t="n">
        <v>0.1906428571428572</v>
      </c>
      <c r="AB589" s="76" t="n">
        <v>0.1843076923076923</v>
      </c>
      <c r="AC589" s="76" t="n">
        <v>0.1833076923076923</v>
      </c>
      <c r="AD589" s="76" t="n">
        <v>0.1820769230769231</v>
      </c>
      <c r="AE589" s="76" t="n">
        <v>0.1810769230769231</v>
      </c>
      <c r="AF589" s="76" t="n">
        <v>0.1798461538461538</v>
      </c>
      <c r="AG589" s="76" t="n">
        <v>0.1787692307692308</v>
      </c>
      <c r="AH589" s="76" t="n">
        <v>0.1786153846153846</v>
      </c>
      <c r="AI589" s="76" t="n">
        <v>0.1783846153846154</v>
      </c>
      <c r="AJ589" s="76" t="n">
        <v>0.1781538461538461</v>
      </c>
      <c r="AK589" s="76" t="n">
        <v>0.178</v>
      </c>
      <c r="AL589" s="76" t="n">
        <v>0.1778461538461539</v>
      </c>
      <c r="AM589" s="76" t="n">
        <v>0.176</v>
      </c>
      <c r="AN589" s="76" t="n">
        <v>0.1742307692307692</v>
      </c>
      <c r="AO589" s="76" t="n">
        <v>0.1725384615384615</v>
      </c>
      <c r="AP589" s="76" t="n">
        <v>0.171</v>
      </c>
      <c r="AQ589" s="76" t="n">
        <v>0.1696153846153846</v>
      </c>
      <c r="AR589" s="76" t="n">
        <v>0.2019698795180723</v>
      </c>
    </row>
    <row r="590">
      <c r="A590" s="76" t="inlineStr">
        <is>
          <t>SD</t>
        </is>
      </c>
      <c r="B590" s="76" t="inlineStr">
        <is>
          <t>Battery</t>
        </is>
      </c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>
        <v>-0.06900000000000001</v>
      </c>
      <c r="O590" s="76" t="n">
        <v>-0.06900000000000001</v>
      </c>
      <c r="P590" s="76" t="n">
        <v>-0.039</v>
      </c>
      <c r="Q590" s="76" t="n">
        <v>-0.037</v>
      </c>
      <c r="R590" s="76" t="n">
        <v>-0.05300000000000001</v>
      </c>
      <c r="S590" s="76" t="n">
        <v>-0.055</v>
      </c>
      <c r="T590" s="76" t="n">
        <v>-0.06</v>
      </c>
      <c r="U590" s="76" t="n">
        <v>-0.065</v>
      </c>
      <c r="V590" s="76" t="n">
        <v>-0.07100000000000001</v>
      </c>
      <c r="W590" s="76" t="n">
        <v>-0.07300000000000001</v>
      </c>
      <c r="X590" s="76" t="n">
        <v>-0.07100000000000001</v>
      </c>
      <c r="Y590" s="76" t="n">
        <v>-0.06900000000000001</v>
      </c>
      <c r="Z590" s="76" t="n">
        <v>-0.067</v>
      </c>
      <c r="AA590" s="76" t="n">
        <v>-0.065</v>
      </c>
      <c r="AB590" s="76" t="n">
        <v>-0.063</v>
      </c>
      <c r="AC590" s="76" t="n">
        <v>-0.0635</v>
      </c>
      <c r="AD590" s="76" t="n">
        <v>-0.0645</v>
      </c>
      <c r="AE590" s="76" t="n">
        <v>-0.065</v>
      </c>
      <c r="AF590" s="76" t="n">
        <v>-0.066</v>
      </c>
      <c r="AG590" s="76" t="n">
        <v>-0.066</v>
      </c>
      <c r="AH590" s="76" t="n">
        <v>-0.067</v>
      </c>
      <c r="AI590" s="76" t="n">
        <v>-0.068</v>
      </c>
      <c r="AJ590" s="76" t="n">
        <v>-0.06900000000000001</v>
      </c>
      <c r="AK590" s="76" t="n">
        <v>-0.06950000000000001</v>
      </c>
      <c r="AL590" s="76" t="n">
        <v>-0.07099999999999999</v>
      </c>
      <c r="AM590" s="76" t="n">
        <v>-0.068</v>
      </c>
      <c r="AN590" s="76" t="n">
        <v>-0.065</v>
      </c>
      <c r="AO590" s="76" t="n">
        <v>-0.0625</v>
      </c>
      <c r="AP590" s="76" t="n">
        <v>-0.0595</v>
      </c>
      <c r="AQ590" s="76" t="n">
        <v>-0.057</v>
      </c>
      <c r="AR590" s="76" t="n">
        <v>-0.06430357142857143</v>
      </c>
    </row>
    <row r="591">
      <c r="A591" s="76" t="inlineStr">
        <is>
          <t>SD</t>
        </is>
      </c>
      <c r="B591" s="76" t="inlineStr">
        <is>
          <t>Biopower</t>
        </is>
      </c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  <c r="AA591" s="76" t="n"/>
      <c r="AB591" s="76" t="n"/>
      <c r="AC591" s="76" t="n"/>
      <c r="AD591" s="76" t="n"/>
      <c r="AE591" s="76" t="n"/>
      <c r="AF591" s="76" t="n"/>
      <c r="AG591" s="76" t="n"/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</row>
    <row r="592">
      <c r="A592" s="76" t="inlineStr">
        <is>
          <t>SD</t>
        </is>
      </c>
      <c r="B592" s="76" t="inlineStr">
        <is>
          <t>Coal</t>
        </is>
      </c>
      <c r="C592" s="76" t="n">
        <v>0.6045</v>
      </c>
      <c r="D592" s="76" t="n">
        <v>0.485</v>
      </c>
      <c r="E592" s="76" t="n">
        <v>0.365</v>
      </c>
      <c r="F592" s="76" t="n">
        <v>0.3835</v>
      </c>
      <c r="G592" s="76" t="n">
        <v>0.805</v>
      </c>
      <c r="H592" s="76" t="n">
        <v>0.753</v>
      </c>
      <c r="I592" s="76" t="n">
        <v>0.649</v>
      </c>
      <c r="J592" s="76" t="n">
        <v>0.6899999999999999</v>
      </c>
      <c r="K592" s="76" t="n">
        <v>0.73</v>
      </c>
      <c r="L592" s="76" t="n">
        <v>0.573</v>
      </c>
      <c r="M592" s="76" t="n">
        <v>0.416</v>
      </c>
      <c r="N592" s="76" t="n">
        <v>0.429</v>
      </c>
      <c r="O592" s="76" t="n">
        <v>0.442</v>
      </c>
      <c r="P592" s="76" t="n">
        <v>0.441</v>
      </c>
      <c r="Q592" s="76" t="n">
        <v>0.441</v>
      </c>
      <c r="R592" s="76" t="n">
        <v>0.477</v>
      </c>
      <c r="S592" s="76" t="n">
        <v>0.514</v>
      </c>
      <c r="T592" s="76" t="n">
        <v>0.464</v>
      </c>
      <c r="U592" s="76" t="n">
        <v>0.414</v>
      </c>
      <c r="V592" s="76" t="n">
        <v>0.37</v>
      </c>
      <c r="W592" s="76" t="n">
        <v>0.326</v>
      </c>
      <c r="X592" s="76" t="n">
        <v>0.301</v>
      </c>
      <c r="Y592" s="76" t="n">
        <v>0.275</v>
      </c>
      <c r="Z592" s="76" t="n">
        <v>0.275</v>
      </c>
      <c r="AA592" s="76" t="n">
        <v>0.275</v>
      </c>
      <c r="AB592" s="76" t="n"/>
      <c r="AC592" s="76" t="n"/>
      <c r="AD592" s="76" t="n"/>
      <c r="AE592" s="76" t="n"/>
      <c r="AF592" s="76" t="n"/>
      <c r="AG592" s="76" t="n"/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>
        <v>0.4736551724137932</v>
      </c>
    </row>
    <row r="593">
      <c r="A593" s="76" t="inlineStr">
        <is>
          <t>SD</t>
        </is>
      </c>
      <c r="B593" s="76" t="inlineStr">
        <is>
          <t>CSP</t>
        </is>
      </c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6" t="n"/>
      <c r="AC593" s="76" t="n"/>
      <c r="AD593" s="76" t="n"/>
      <c r="AE593" s="76" t="n"/>
      <c r="AF593" s="76" t="n"/>
      <c r="AG593" s="76" t="n"/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</row>
    <row r="594">
      <c r="A594" s="76" t="inlineStr">
        <is>
          <t>SD</t>
        </is>
      </c>
      <c r="B594" s="76" t="inlineStr">
        <is>
          <t>Dist PV</t>
        </is>
      </c>
      <c r="C594" s="76" t="n"/>
      <c r="D594" s="76" t="n"/>
      <c r="E594" s="76" t="n"/>
      <c r="F594" s="76" t="n">
        <v>0.178</v>
      </c>
      <c r="G594" s="76" t="n">
        <v>0.178</v>
      </c>
      <c r="H594" s="76" t="n">
        <v>0.178</v>
      </c>
      <c r="I594" s="76" t="n">
        <v>0.178</v>
      </c>
      <c r="J594" s="76" t="n">
        <v>0.178</v>
      </c>
      <c r="K594" s="76" t="n">
        <v>0.178</v>
      </c>
      <c r="L594" s="76" t="n">
        <v>0.178</v>
      </c>
      <c r="M594" s="76" t="n">
        <v>0.178</v>
      </c>
      <c r="N594" s="76" t="n">
        <v>0.178</v>
      </c>
      <c r="O594" s="76" t="n">
        <v>0.178</v>
      </c>
      <c r="P594" s="76" t="n">
        <v>0.178</v>
      </c>
      <c r="Q594" s="76" t="n">
        <v>0.178</v>
      </c>
      <c r="R594" s="76" t="n">
        <v>0.178</v>
      </c>
      <c r="S594" s="76" t="n">
        <v>0.178</v>
      </c>
      <c r="T594" s="76" t="n">
        <v>0.178</v>
      </c>
      <c r="U594" s="76" t="n">
        <v>0.178</v>
      </c>
      <c r="V594" s="76" t="n">
        <v>0.178</v>
      </c>
      <c r="W594" s="76" t="n">
        <v>0.178</v>
      </c>
      <c r="X594" s="76" t="n">
        <v>0.178</v>
      </c>
      <c r="Y594" s="76" t="n">
        <v>0.178</v>
      </c>
      <c r="Z594" s="76" t="n">
        <v>0.178</v>
      </c>
      <c r="AA594" s="76" t="n">
        <v>0.178</v>
      </c>
      <c r="AB594" s="76" t="n">
        <v>0.178</v>
      </c>
      <c r="AC594" s="76" t="n">
        <v>0.178</v>
      </c>
      <c r="AD594" s="76" t="n">
        <v>0.178</v>
      </c>
      <c r="AE594" s="76" t="n">
        <v>0.178</v>
      </c>
      <c r="AF594" s="76" t="n">
        <v>0.178</v>
      </c>
      <c r="AG594" s="76" t="n">
        <v>0.178</v>
      </c>
      <c r="AH594" s="76" t="n">
        <v>0.178</v>
      </c>
      <c r="AI594" s="76" t="n">
        <v>0.178</v>
      </c>
      <c r="AJ594" s="76" t="n">
        <v>0.178</v>
      </c>
      <c r="AK594" s="76" t="n">
        <v>0.178</v>
      </c>
      <c r="AL594" s="76" t="n">
        <v>0.178</v>
      </c>
      <c r="AM594" s="76" t="n">
        <v>0.178</v>
      </c>
      <c r="AN594" s="76" t="n">
        <v>0.178</v>
      </c>
      <c r="AO594" s="76" t="n">
        <v>0.178</v>
      </c>
      <c r="AP594" s="76" t="n">
        <v>0.178</v>
      </c>
      <c r="AQ594" s="76" t="n">
        <v>0.178</v>
      </c>
      <c r="AR594" s="76" t="n">
        <v>0.1779999999999999</v>
      </c>
    </row>
    <row r="595">
      <c r="A595" s="76" t="inlineStr">
        <is>
          <t>SD</t>
        </is>
      </c>
      <c r="B595" s="76" t="inlineStr">
        <is>
          <t>Gas CCGT</t>
        </is>
      </c>
      <c r="C595" s="76" t="n"/>
      <c r="D595" s="76" t="n">
        <v>0.538</v>
      </c>
      <c r="E595" s="76" t="n">
        <v>0.538</v>
      </c>
      <c r="F595" s="76" t="n">
        <v>0.396</v>
      </c>
      <c r="G595" s="76" t="n">
        <v>0.255</v>
      </c>
      <c r="H595" s="76" t="n">
        <v>0.579</v>
      </c>
      <c r="I595" s="76" t="n">
        <v>0.902</v>
      </c>
      <c r="J595" s="76" t="n">
        <v>0.824</v>
      </c>
      <c r="K595" s="76" t="n">
        <v>0.745</v>
      </c>
      <c r="L595" s="76" t="n">
        <v>0.824</v>
      </c>
      <c r="M595" s="76" t="n">
        <v>0.902</v>
      </c>
      <c r="N595" s="76" t="n">
        <v>0.865</v>
      </c>
      <c r="O595" s="76" t="n">
        <v>0.828</v>
      </c>
      <c r="P595" s="76" t="n">
        <v>0.804</v>
      </c>
      <c r="Q595" s="76" t="n">
        <v>0.78</v>
      </c>
      <c r="R595" s="76" t="n">
        <v>0.527</v>
      </c>
      <c r="S595" s="76" t="n">
        <v>0.275</v>
      </c>
      <c r="T595" s="76" t="n">
        <v>0.273</v>
      </c>
      <c r="U595" s="76" t="n">
        <v>0.271</v>
      </c>
      <c r="V595" s="76" t="n">
        <v>0.197</v>
      </c>
      <c r="W595" s="76" t="n">
        <v>0.123</v>
      </c>
      <c r="X595" s="76" t="n">
        <v>0.126</v>
      </c>
      <c r="Y595" s="76" t="n">
        <v>0.13</v>
      </c>
      <c r="Z595" s="76" t="n">
        <v>0.138</v>
      </c>
      <c r="AA595" s="76" t="n">
        <v>0.146</v>
      </c>
      <c r="AB595" s="76" t="n">
        <v>0.155</v>
      </c>
      <c r="AC595" s="76" t="n">
        <v>0.14</v>
      </c>
      <c r="AD595" s="76" t="n">
        <v>0.124</v>
      </c>
      <c r="AE595" s="76" t="n">
        <v>0.109</v>
      </c>
      <c r="AF595" s="76" t="n">
        <v>0.094</v>
      </c>
      <c r="AG595" s="76" t="n">
        <v>0.079</v>
      </c>
      <c r="AH595" s="76" t="n">
        <v>0.079</v>
      </c>
      <c r="AI595" s="76" t="n">
        <v>0.079</v>
      </c>
      <c r="AJ595" s="76" t="n">
        <v>0.08</v>
      </c>
      <c r="AK595" s="76" t="n">
        <v>0.08</v>
      </c>
      <c r="AL595" s="76" t="n">
        <v>0.081</v>
      </c>
      <c r="AM595" s="76" t="n">
        <v>0.078</v>
      </c>
      <c r="AN595" s="76" t="n">
        <v>0.075</v>
      </c>
      <c r="AO595" s="76" t="n">
        <v>0.07199999999999999</v>
      </c>
      <c r="AP595" s="76" t="n">
        <v>0.07000000000000001</v>
      </c>
      <c r="AQ595" s="76" t="n">
        <v>0.067</v>
      </c>
      <c r="AR595" s="76" t="n">
        <v>0.3361999999999999</v>
      </c>
    </row>
    <row r="596">
      <c r="A596" s="76" t="inlineStr">
        <is>
          <t>SD</t>
        </is>
      </c>
      <c r="B596" s="76" t="inlineStr">
        <is>
          <t>Gas CT</t>
        </is>
      </c>
      <c r="C596" s="76" t="n">
        <v>0.002</v>
      </c>
      <c r="D596" s="76" t="n">
        <v>0.002</v>
      </c>
      <c r="E596" s="76" t="n">
        <v>0.002</v>
      </c>
      <c r="F596" s="76" t="n">
        <v>0.002</v>
      </c>
      <c r="G596" s="76" t="n">
        <v>0.002</v>
      </c>
      <c r="H596" s="76" t="n">
        <v>0.004999999999999999</v>
      </c>
      <c r="I596" s="76" t="n">
        <v>0.0075</v>
      </c>
      <c r="J596" s="76" t="n">
        <v>0.0055</v>
      </c>
      <c r="K596" s="76" t="n">
        <v>0.003</v>
      </c>
      <c r="L596" s="76" t="n">
        <v>0.0035</v>
      </c>
      <c r="M596" s="76" t="n">
        <v>0.0035</v>
      </c>
      <c r="N596" s="76" t="n">
        <v>0.0035</v>
      </c>
      <c r="O596" s="76" t="n">
        <v>0.003</v>
      </c>
      <c r="P596" s="76" t="n">
        <v>0.0025</v>
      </c>
      <c r="Q596" s="76" t="n">
        <v>0.002</v>
      </c>
      <c r="R596" s="76" t="n">
        <v>0.0015</v>
      </c>
      <c r="S596" s="76" t="n">
        <v>0.0005</v>
      </c>
      <c r="T596" s="76" t="n">
        <v>0.0005</v>
      </c>
      <c r="U596" s="76" t="n">
        <v>0.0005</v>
      </c>
      <c r="V596" s="76" t="n">
        <v>0</v>
      </c>
      <c r="W596" s="76" t="n">
        <v>0</v>
      </c>
      <c r="X596" s="76" t="n">
        <v>0.0005</v>
      </c>
      <c r="Y596" s="76" t="n">
        <v>0.001</v>
      </c>
      <c r="Z596" s="76" t="n">
        <v>0.0005</v>
      </c>
      <c r="AA596" s="76" t="n">
        <v>0.0005</v>
      </c>
      <c r="AB596" s="76" t="n">
        <v>0</v>
      </c>
      <c r="AC596" s="76" t="n">
        <v>0</v>
      </c>
      <c r="AD596" s="76" t="n">
        <v>0</v>
      </c>
      <c r="AE596" s="76" t="n">
        <v>0.0005</v>
      </c>
      <c r="AF596" s="76" t="n">
        <v>0.0005</v>
      </c>
      <c r="AG596" s="76" t="n">
        <v>0.0005</v>
      </c>
      <c r="AH596" s="76" t="n">
        <v>0.0005</v>
      </c>
      <c r="AI596" s="76" t="n">
        <v>0.0005</v>
      </c>
      <c r="AJ596" s="76" t="n">
        <v>0</v>
      </c>
      <c r="AK596" s="76" t="n">
        <v>0</v>
      </c>
      <c r="AL596" s="76" t="n">
        <v>0</v>
      </c>
      <c r="AM596" s="76" t="n">
        <v>0</v>
      </c>
      <c r="AN596" s="76" t="n">
        <v>0</v>
      </c>
      <c r="AO596" s="76" t="n">
        <v>0</v>
      </c>
      <c r="AP596" s="76" t="n">
        <v>0</v>
      </c>
      <c r="AQ596" s="76" t="n">
        <v>0</v>
      </c>
      <c r="AR596" s="76" t="n">
        <v>0.001390243902439025</v>
      </c>
    </row>
    <row r="597">
      <c r="A597" s="76" t="inlineStr">
        <is>
          <t>SD</t>
        </is>
      </c>
      <c r="B597" s="76" t="inlineStr">
        <is>
          <t>Geothermal</t>
        </is>
      </c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  <c r="AA597" s="76" t="n"/>
      <c r="AB597" s="76" t="n"/>
      <c r="AC597" s="76" t="n"/>
      <c r="AD597" s="76" t="n"/>
      <c r="AE597" s="76" t="n"/>
      <c r="AF597" s="76" t="n"/>
      <c r="AG597" s="76" t="n"/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</row>
    <row r="598">
      <c r="A598" s="76" t="inlineStr">
        <is>
          <t>SD</t>
        </is>
      </c>
      <c r="B598" s="76" t="inlineStr">
        <is>
          <t>Hydro</t>
        </is>
      </c>
      <c r="C598" s="76" t="n">
        <v>0.301</v>
      </c>
      <c r="D598" s="76" t="n">
        <v>0.36</v>
      </c>
      <c r="E598" s="76" t="n">
        <v>0.419</v>
      </c>
      <c r="F598" s="76" t="n">
        <v>0.368</v>
      </c>
      <c r="G598" s="76" t="n">
        <v>0.317</v>
      </c>
      <c r="H598" s="76" t="n">
        <v>0.299</v>
      </c>
      <c r="I598" s="76" t="n">
        <v>0.281</v>
      </c>
      <c r="J598" s="76" t="n">
        <v>0.281</v>
      </c>
      <c r="K598" s="76" t="n">
        <v>0.282</v>
      </c>
      <c r="L598" s="76" t="n">
        <v>0.282</v>
      </c>
      <c r="M598" s="76" t="n">
        <v>0.282</v>
      </c>
      <c r="N598" s="76" t="n">
        <v>0.283</v>
      </c>
      <c r="O598" s="76" t="n">
        <v>0.283</v>
      </c>
      <c r="P598" s="76" t="n">
        <v>0.283</v>
      </c>
      <c r="Q598" s="76" t="n">
        <v>0.283</v>
      </c>
      <c r="R598" s="76" t="n">
        <v>0.283</v>
      </c>
      <c r="S598" s="76" t="n">
        <v>0.283</v>
      </c>
      <c r="T598" s="76" t="n">
        <v>0.283</v>
      </c>
      <c r="U598" s="76" t="n">
        <v>0.283</v>
      </c>
      <c r="V598" s="76" t="n">
        <v>0.283</v>
      </c>
      <c r="W598" s="76" t="n">
        <v>0.283</v>
      </c>
      <c r="X598" s="76" t="n">
        <v>0.46</v>
      </c>
      <c r="Y598" s="76" t="n">
        <v>0.46</v>
      </c>
      <c r="Z598" s="76" t="n">
        <v>0.46</v>
      </c>
      <c r="AA598" s="76" t="n">
        <v>0.46</v>
      </c>
      <c r="AB598" s="76" t="n">
        <v>0.46</v>
      </c>
      <c r="AC598" s="76" t="n">
        <v>0.46</v>
      </c>
      <c r="AD598" s="76" t="n">
        <v>0.46</v>
      </c>
      <c r="AE598" s="76" t="n">
        <v>0.46</v>
      </c>
      <c r="AF598" s="76" t="n">
        <v>0.46</v>
      </c>
      <c r="AG598" s="76" t="n">
        <v>0.46</v>
      </c>
      <c r="AH598" s="76" t="n">
        <v>0.46</v>
      </c>
      <c r="AI598" s="76" t="n">
        <v>0.46</v>
      </c>
      <c r="AJ598" s="76" t="n">
        <v>0.46</v>
      </c>
      <c r="AK598" s="76" t="n">
        <v>0.46</v>
      </c>
      <c r="AL598" s="76" t="n">
        <v>0.46</v>
      </c>
      <c r="AM598" s="76" t="n">
        <v>0.4425</v>
      </c>
      <c r="AN598" s="76" t="n">
        <v>0.4249999999999999</v>
      </c>
      <c r="AO598" s="76" t="n">
        <v>0.4075</v>
      </c>
      <c r="AP598" s="76" t="n">
        <v>0.39</v>
      </c>
      <c r="AQ598" s="76" t="n">
        <v>0.373</v>
      </c>
      <c r="AR598" s="76" t="n">
        <v>0.3963606557377052</v>
      </c>
    </row>
    <row r="599">
      <c r="A599" s="76" t="inlineStr">
        <is>
          <t>SD</t>
        </is>
      </c>
      <c r="B599" s="76" t="inlineStr">
        <is>
          <t>Nuclear</t>
        </is>
      </c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76" t="n"/>
      <c r="AC599" s="76" t="n"/>
      <c r="AD599" s="76" t="n"/>
      <c r="AE599" s="76" t="n"/>
      <c r="AF599" s="76" t="n"/>
      <c r="AG599" s="76" t="n"/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</row>
    <row r="600">
      <c r="A600" s="76" t="inlineStr">
        <is>
          <t>SD</t>
        </is>
      </c>
      <c r="B600" s="76" t="inlineStr">
        <is>
          <t>Other</t>
        </is>
      </c>
      <c r="C600" s="76" t="n">
        <v>0</v>
      </c>
      <c r="D600" s="76" t="n">
        <v>0</v>
      </c>
      <c r="E600" s="76" t="n">
        <v>0</v>
      </c>
      <c r="F600" s="76" t="n">
        <v>0</v>
      </c>
      <c r="G600" s="76" t="n">
        <v>0</v>
      </c>
      <c r="H600" s="76" t="n">
        <v>0</v>
      </c>
      <c r="I600" s="76" t="n">
        <v>0</v>
      </c>
      <c r="J600" s="76" t="n">
        <v>0</v>
      </c>
      <c r="K600" s="76" t="n">
        <v>0</v>
      </c>
      <c r="L600" s="76" t="n">
        <v>0</v>
      </c>
      <c r="M600" s="76" t="n">
        <v>0</v>
      </c>
      <c r="N600" s="76" t="n">
        <v>0</v>
      </c>
      <c r="O600" s="76" t="n">
        <v>0</v>
      </c>
      <c r="P600" s="76" t="n">
        <v>0</v>
      </c>
      <c r="Q600" s="76" t="n">
        <v>0</v>
      </c>
      <c r="R600" s="76" t="n">
        <v>0</v>
      </c>
      <c r="S600" s="76" t="n">
        <v>0</v>
      </c>
      <c r="T600" s="76" t="n">
        <v>0</v>
      </c>
      <c r="U600" s="76" t="n">
        <v>0</v>
      </c>
      <c r="V600" s="76" t="n">
        <v>0</v>
      </c>
      <c r="W600" s="76" t="n">
        <v>0</v>
      </c>
      <c r="X600" s="76" t="n">
        <v>0</v>
      </c>
      <c r="Y600" s="76" t="n">
        <v>0</v>
      </c>
      <c r="Z600" s="76" t="n">
        <v>0</v>
      </c>
      <c r="AA600" s="76" t="n">
        <v>0</v>
      </c>
      <c r="AB600" s="76" t="n">
        <v>0</v>
      </c>
      <c r="AC600" s="76" t="n">
        <v>0</v>
      </c>
      <c r="AD600" s="76" t="n">
        <v>0</v>
      </c>
      <c r="AE600" s="76" t="n">
        <v>0</v>
      </c>
      <c r="AF600" s="76" t="n">
        <v>0</v>
      </c>
      <c r="AG600" s="76" t="n">
        <v>0</v>
      </c>
      <c r="AH600" s="76" t="n">
        <v>0</v>
      </c>
      <c r="AI600" s="76" t="n">
        <v>0</v>
      </c>
      <c r="AJ600" s="76" t="n">
        <v>0</v>
      </c>
      <c r="AK600" s="76" t="n">
        <v>0</v>
      </c>
      <c r="AL600" s="76" t="n">
        <v>0</v>
      </c>
      <c r="AM600" s="76" t="n">
        <v>0</v>
      </c>
      <c r="AN600" s="76" t="n">
        <v>0</v>
      </c>
      <c r="AO600" s="76" t="n">
        <v>0</v>
      </c>
      <c r="AP600" s="76" t="n">
        <v>0</v>
      </c>
      <c r="AQ600" s="76" t="n">
        <v>0</v>
      </c>
      <c r="AR600" s="76" t="n">
        <v>0</v>
      </c>
    </row>
    <row r="601">
      <c r="A601" s="76" t="inlineStr">
        <is>
          <t>SD</t>
        </is>
      </c>
      <c r="B601" s="76" t="inlineStr">
        <is>
          <t>Utility PV</t>
        </is>
      </c>
      <c r="C601" s="76" t="n"/>
      <c r="D601" s="76" t="n"/>
      <c r="E601" s="76" t="n"/>
      <c r="F601" s="76" t="n"/>
      <c r="G601" s="76" t="n"/>
      <c r="H601" s="76" t="n">
        <v>0.246</v>
      </c>
      <c r="I601" s="76" t="n">
        <v>0.246</v>
      </c>
      <c r="J601" s="76" t="n">
        <v>0.245</v>
      </c>
      <c r="K601" s="76" t="n">
        <v>0.244</v>
      </c>
      <c r="L601" s="76" t="n">
        <v>0.242</v>
      </c>
      <c r="M601" s="76" t="n">
        <v>0.241</v>
      </c>
      <c r="N601" s="76" t="n">
        <v>0.24</v>
      </c>
      <c r="O601" s="76" t="n">
        <v>0.239</v>
      </c>
      <c r="P601" s="76" t="n">
        <v>0.249</v>
      </c>
      <c r="Q601" s="76" t="n">
        <v>0.249</v>
      </c>
      <c r="R601" s="76" t="n">
        <v>0.247</v>
      </c>
      <c r="S601" s="76" t="n">
        <v>0.246</v>
      </c>
      <c r="T601" s="76" t="n">
        <v>0.245</v>
      </c>
      <c r="U601" s="76" t="n">
        <v>0.244</v>
      </c>
      <c r="V601" s="76" t="n">
        <v>0.245</v>
      </c>
      <c r="W601" s="76" t="n">
        <v>0.245</v>
      </c>
      <c r="X601" s="76" t="n">
        <v>0.244</v>
      </c>
      <c r="Y601" s="76" t="n">
        <v>0.243</v>
      </c>
      <c r="Z601" s="76" t="n">
        <v>0.242</v>
      </c>
      <c r="AA601" s="76" t="n">
        <v>0.241</v>
      </c>
      <c r="AB601" s="76" t="n">
        <v>0.239</v>
      </c>
      <c r="AC601" s="76" t="n">
        <v>0.238</v>
      </c>
      <c r="AD601" s="76" t="n">
        <v>0.237</v>
      </c>
      <c r="AE601" s="76" t="n">
        <v>0.236</v>
      </c>
      <c r="AF601" s="76" t="n">
        <v>0.235</v>
      </c>
      <c r="AG601" s="76" t="n">
        <v>0.233</v>
      </c>
      <c r="AH601" s="76" t="n">
        <v>0.232</v>
      </c>
      <c r="AI601" s="76" t="n">
        <v>0.231</v>
      </c>
      <c r="AJ601" s="76" t="n">
        <v>0.23</v>
      </c>
      <c r="AK601" s="76" t="n">
        <v>0.229</v>
      </c>
      <c r="AL601" s="76" t="n">
        <v>0.228</v>
      </c>
      <c r="AM601" s="76" t="n">
        <v>0.227</v>
      </c>
      <c r="AN601" s="76" t="n">
        <v>0.225</v>
      </c>
      <c r="AO601" s="76" t="n">
        <v>0.224</v>
      </c>
      <c r="AP601" s="76" t="n">
        <v>0.223</v>
      </c>
      <c r="AQ601" s="76" t="n">
        <v>0.222</v>
      </c>
      <c r="AR601" s="76" t="n">
        <v>0.2381111111111111</v>
      </c>
    </row>
    <row r="602">
      <c r="A602" s="76" t="inlineStr">
        <is>
          <t>SD</t>
        </is>
      </c>
      <c r="B602" s="76" t="inlineStr">
        <is>
          <t>Wind offshore</t>
        </is>
      </c>
      <c r="C602" s="76" t="n"/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  <c r="AA602" s="76" t="n"/>
      <c r="AB602" s="76" t="n"/>
      <c r="AC602" s="76" t="n"/>
      <c r="AD602" s="76" t="n"/>
      <c r="AE602" s="76" t="n"/>
      <c r="AF602" s="76" t="n"/>
      <c r="AG602" s="76" t="n"/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</row>
    <row r="603">
      <c r="A603" s="76" t="inlineStr">
        <is>
          <t>SD</t>
        </is>
      </c>
      <c r="B603" s="76" t="inlineStr">
        <is>
          <t>Wind onshore</t>
        </is>
      </c>
      <c r="C603" s="76" t="n">
        <v>0.371</v>
      </c>
      <c r="D603" s="76" t="n">
        <v>0.376</v>
      </c>
      <c r="E603" s="76" t="n">
        <v>0.379</v>
      </c>
      <c r="F603" s="76" t="n">
        <v>0.379</v>
      </c>
      <c r="G603" s="76" t="n">
        <v>0.379</v>
      </c>
      <c r="H603" s="76" t="n">
        <v>0.381</v>
      </c>
      <c r="I603" s="76" t="n">
        <v>0.383</v>
      </c>
      <c r="J603" s="76" t="n">
        <v>0.384</v>
      </c>
      <c r="K603" s="76" t="n">
        <v>0.384</v>
      </c>
      <c r="L603" s="76" t="n">
        <v>0.423</v>
      </c>
      <c r="M603" s="76" t="n">
        <v>0.438</v>
      </c>
      <c r="N603" s="76" t="n">
        <v>0.4455</v>
      </c>
      <c r="O603" s="76" t="n">
        <v>0.4465</v>
      </c>
      <c r="P603" s="76" t="n">
        <v>0.447</v>
      </c>
      <c r="Q603" s="76" t="n">
        <v>0.4465</v>
      </c>
      <c r="R603" s="76" t="n">
        <v>0.4465</v>
      </c>
      <c r="S603" s="76" t="n">
        <v>0.446</v>
      </c>
      <c r="T603" s="76" t="n">
        <v>0.445</v>
      </c>
      <c r="U603" s="76" t="n">
        <v>0.4435</v>
      </c>
      <c r="V603" s="76" t="n">
        <v>0.433</v>
      </c>
      <c r="W603" s="76" t="n">
        <v>0.425</v>
      </c>
      <c r="X603" s="76" t="n">
        <v>0.432</v>
      </c>
      <c r="Y603" s="76" t="n">
        <v>0.4385</v>
      </c>
      <c r="Z603" s="76" t="n">
        <v>0.4345</v>
      </c>
      <c r="AA603" s="76" t="n">
        <v>0.43</v>
      </c>
      <c r="AB603" s="76" t="n">
        <v>0.426</v>
      </c>
      <c r="AC603" s="76" t="n">
        <v>0.428</v>
      </c>
      <c r="AD603" s="76" t="n">
        <v>0.4295</v>
      </c>
      <c r="AE603" s="76" t="n">
        <v>0.431</v>
      </c>
      <c r="AF603" s="76" t="n">
        <v>0.432</v>
      </c>
      <c r="AG603" s="76" t="n">
        <v>0.4335</v>
      </c>
      <c r="AH603" s="76" t="n">
        <v>0.434</v>
      </c>
      <c r="AI603" s="76" t="n">
        <v>0.434</v>
      </c>
      <c r="AJ603" s="76" t="n">
        <v>0.434</v>
      </c>
      <c r="AK603" s="76" t="n">
        <v>0.434</v>
      </c>
      <c r="AL603" s="76" t="n">
        <v>0.4345</v>
      </c>
      <c r="AM603" s="76" t="n">
        <v>0.439</v>
      </c>
      <c r="AN603" s="76" t="n">
        <v>0.4445</v>
      </c>
      <c r="AO603" s="76" t="n">
        <v>0.4505</v>
      </c>
      <c r="AP603" s="76" t="n">
        <v>0.4565</v>
      </c>
      <c r="AQ603" s="76" t="n">
        <v>0.464</v>
      </c>
      <c r="AR603" s="76" t="n">
        <v>0.4310704225352112</v>
      </c>
    </row>
    <row r="604">
      <c r="A604" s="76" t="inlineStr">
        <is>
          <t>TN</t>
        </is>
      </c>
      <c r="B604" s="76" t="inlineStr">
        <is>
          <t>TN</t>
        </is>
      </c>
      <c r="C604" s="76" t="n">
        <v>0.3793333333333334</v>
      </c>
      <c r="D604" s="76" t="n">
        <v>0.3715</v>
      </c>
      <c r="E604" s="76" t="n">
        <v>0.3665</v>
      </c>
      <c r="F604" s="76" t="n">
        <v>0.3807</v>
      </c>
      <c r="G604" s="76" t="n">
        <v>0.3946</v>
      </c>
      <c r="H604" s="76" t="n">
        <v>0.3819</v>
      </c>
      <c r="I604" s="76" t="n">
        <v>0.3642</v>
      </c>
      <c r="J604" s="76" t="n">
        <v>0.3726</v>
      </c>
      <c r="K604" s="76" t="n">
        <v>0.3831000000000001</v>
      </c>
      <c r="L604" s="76" t="n">
        <v>0.3791</v>
      </c>
      <c r="M604" s="76" t="n">
        <v>0.3750000000000001</v>
      </c>
      <c r="N604" s="76" t="n">
        <v>0.3763</v>
      </c>
      <c r="O604" s="76" t="n">
        <v>0.3777</v>
      </c>
      <c r="P604" s="76" t="n">
        <v>0.3781</v>
      </c>
      <c r="Q604" s="76" t="n">
        <v>0.3779</v>
      </c>
      <c r="R604" s="76" t="n">
        <v>0.3814</v>
      </c>
      <c r="S604" s="76" t="n">
        <v>0.3843</v>
      </c>
      <c r="T604" s="76" t="n">
        <v>0.3729</v>
      </c>
      <c r="U604" s="76" t="n">
        <v>0.3569000000000001</v>
      </c>
      <c r="V604" s="76" t="n">
        <v>0.3555</v>
      </c>
      <c r="W604" s="76" t="n">
        <v>0.347</v>
      </c>
      <c r="X604" s="76" t="n">
        <v>0.3492</v>
      </c>
      <c r="Y604" s="76" t="n">
        <v>0.3514</v>
      </c>
      <c r="Z604" s="76" t="n">
        <v>0.2998181818181818</v>
      </c>
      <c r="AA604" s="76" t="n">
        <v>0.2871818181818182</v>
      </c>
      <c r="AB604" s="76" t="n">
        <v>0.2607</v>
      </c>
      <c r="AC604" s="76" t="n">
        <v>0.2626</v>
      </c>
      <c r="AD604" s="76" t="n">
        <v>0.2646</v>
      </c>
      <c r="AE604" s="76" t="n">
        <v>0.2666000000000001</v>
      </c>
      <c r="AF604" s="76" t="n">
        <v>0.2685000000000001</v>
      </c>
      <c r="AG604" s="76" t="n">
        <v>0.2706000000000001</v>
      </c>
      <c r="AH604" s="76" t="n">
        <v>0.269</v>
      </c>
      <c r="AI604" s="76" t="n">
        <v>0.2672</v>
      </c>
      <c r="AJ604" s="76" t="n">
        <v>0.2653</v>
      </c>
      <c r="AK604" s="76" t="n">
        <v>0.2633</v>
      </c>
      <c r="AL604" s="76" t="n">
        <v>0.2613</v>
      </c>
      <c r="AM604" s="76" t="n">
        <v>0.2591</v>
      </c>
      <c r="AN604" s="76" t="n">
        <v>0.2571</v>
      </c>
      <c r="AO604" s="76" t="n">
        <v>0.255</v>
      </c>
      <c r="AP604" s="76" t="n">
        <v>0.253</v>
      </c>
      <c r="AQ604" s="76" t="n">
        <v>0.2509</v>
      </c>
      <c r="AR604" s="76" t="n">
        <v>0.3250535279805354</v>
      </c>
    </row>
    <row r="605">
      <c r="A605" s="76" t="inlineStr">
        <is>
          <t>TN</t>
        </is>
      </c>
      <c r="B605" s="76" t="inlineStr">
        <is>
          <t>Battery</t>
        </is>
      </c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>
        <v>-0.067</v>
      </c>
      <c r="AA605" s="76" t="n">
        <v>-0.067</v>
      </c>
      <c r="AB605" s="76" t="n">
        <v>-0.067</v>
      </c>
      <c r="AC605" s="76" t="n">
        <v>-0.068</v>
      </c>
      <c r="AD605" s="76" t="n">
        <v>-0.06900000000000001</v>
      </c>
      <c r="AE605" s="76" t="n">
        <v>-0.07000000000000001</v>
      </c>
      <c r="AF605" s="76" t="n">
        <v>-0.07000000000000001</v>
      </c>
      <c r="AG605" s="76" t="n">
        <v>-0.07000000000000001</v>
      </c>
      <c r="AH605" s="76" t="n">
        <v>-0.068</v>
      </c>
      <c r="AI605" s="76" t="n">
        <v>-0.067</v>
      </c>
      <c r="AJ605" s="76" t="n">
        <v>-0.065</v>
      </c>
      <c r="AK605" s="76" t="n">
        <v>-0.064</v>
      </c>
      <c r="AL605" s="76" t="n">
        <v>-0.063</v>
      </c>
      <c r="AM605" s="76" t="n">
        <v>-0.062</v>
      </c>
      <c r="AN605" s="76" t="n">
        <v>-0.06</v>
      </c>
      <c r="AO605" s="76" t="n">
        <v>-0.059</v>
      </c>
      <c r="AP605" s="76" t="n">
        <v>-0.058</v>
      </c>
      <c r="AQ605" s="76" t="n">
        <v>-0.057</v>
      </c>
      <c r="AR605" s="76" t="n">
        <v>-0.06505555555555556</v>
      </c>
    </row>
    <row r="606">
      <c r="A606" s="76" t="inlineStr">
        <is>
          <t>TN</t>
        </is>
      </c>
      <c r="B606" s="76" t="inlineStr">
        <is>
          <t>Biopower</t>
        </is>
      </c>
      <c r="C606" s="76" t="n">
        <v>0.402</v>
      </c>
      <c r="D606" s="76" t="n">
        <v>0.429</v>
      </c>
      <c r="E606" s="76" t="n">
        <v>0.446</v>
      </c>
      <c r="F606" s="76" t="n">
        <v>0.451</v>
      </c>
      <c r="G606" s="76" t="n">
        <v>0.456</v>
      </c>
      <c r="H606" s="76" t="n">
        <v>0.456</v>
      </c>
      <c r="I606" s="76" t="n">
        <v>0.456</v>
      </c>
      <c r="J606" s="76" t="n">
        <v>0.456</v>
      </c>
      <c r="K606" s="76" t="n">
        <v>0.456</v>
      </c>
      <c r="L606" s="76" t="n">
        <v>0.456</v>
      </c>
      <c r="M606" s="76" t="n">
        <v>0.456</v>
      </c>
      <c r="N606" s="76" t="n">
        <v>0.456</v>
      </c>
      <c r="O606" s="76" t="n">
        <v>0.456</v>
      </c>
      <c r="P606" s="76" t="n">
        <v>0.456</v>
      </c>
      <c r="Q606" s="76" t="n">
        <v>0.456</v>
      </c>
      <c r="R606" s="76" t="n">
        <v>0.456</v>
      </c>
      <c r="S606" s="76" t="n">
        <v>0.456</v>
      </c>
      <c r="T606" s="76" t="n">
        <v>0.456</v>
      </c>
      <c r="U606" s="76" t="n">
        <v>0.456</v>
      </c>
      <c r="V606" s="76" t="n">
        <v>0.456</v>
      </c>
      <c r="W606" s="76" t="n">
        <v>0.456</v>
      </c>
      <c r="X606" s="76" t="n">
        <v>0.456</v>
      </c>
      <c r="Y606" s="76" t="n">
        <v>0.456</v>
      </c>
      <c r="Z606" s="76" t="n">
        <v>0.454</v>
      </c>
      <c r="AA606" s="76" t="n">
        <v>0.452</v>
      </c>
      <c r="AB606" s="76" t="n">
        <v>0.45</v>
      </c>
      <c r="AC606" s="76" t="n">
        <v>0.451</v>
      </c>
      <c r="AD606" s="76" t="n">
        <v>0.452</v>
      </c>
      <c r="AE606" s="76" t="n">
        <v>0.454</v>
      </c>
      <c r="AF606" s="76" t="n">
        <v>0.455</v>
      </c>
      <c r="AG606" s="76" t="n">
        <v>0.456</v>
      </c>
      <c r="AH606" s="76" t="n">
        <v>0.453</v>
      </c>
      <c r="AI606" s="76" t="n">
        <v>0.45</v>
      </c>
      <c r="AJ606" s="76" t="n">
        <v>0.446</v>
      </c>
      <c r="AK606" s="76" t="n">
        <v>0.442</v>
      </c>
      <c r="AL606" s="76" t="n">
        <v>0.437</v>
      </c>
      <c r="AM606" s="76" t="n">
        <v>0.437</v>
      </c>
      <c r="AN606" s="76" t="n">
        <v>0.437</v>
      </c>
      <c r="AO606" s="76" t="n">
        <v>0.437</v>
      </c>
      <c r="AP606" s="76" t="n">
        <v>0.437</v>
      </c>
      <c r="AQ606" s="76" t="n">
        <v>0.437</v>
      </c>
      <c r="AR606" s="76" t="n">
        <v>0.4494878048780489</v>
      </c>
    </row>
    <row r="607">
      <c r="A607" s="76" t="inlineStr">
        <is>
          <t>TN</t>
        </is>
      </c>
      <c r="B607" s="76" t="inlineStr">
        <is>
          <t>Coal</t>
        </is>
      </c>
      <c r="C607" s="76" t="n">
        <v>0.71</v>
      </c>
      <c r="D607" s="76" t="n">
        <v>0.602</v>
      </c>
      <c r="E607" s="76" t="n">
        <v>0.482</v>
      </c>
      <c r="F607" s="76" t="n">
        <v>0.597</v>
      </c>
      <c r="G607" s="76" t="n">
        <v>0.711</v>
      </c>
      <c r="H607" s="76" t="n">
        <v>0.611</v>
      </c>
      <c r="I607" s="76" t="n">
        <v>0.462</v>
      </c>
      <c r="J607" s="76" t="n">
        <v>0.547</v>
      </c>
      <c r="K607" s="76" t="n">
        <v>0.653</v>
      </c>
      <c r="L607" s="76" t="n">
        <v>0.61</v>
      </c>
      <c r="M607" s="76" t="n">
        <v>0.5669999999999999</v>
      </c>
      <c r="N607" s="76" t="n">
        <v>0.582</v>
      </c>
      <c r="O607" s="76" t="n">
        <v>0.598</v>
      </c>
      <c r="P607" s="76" t="n">
        <v>0.596</v>
      </c>
      <c r="Q607" s="76" t="n">
        <v>0.593</v>
      </c>
      <c r="R607" s="76" t="n">
        <v>0.621</v>
      </c>
      <c r="S607" s="76" t="n">
        <v>0.649</v>
      </c>
      <c r="T607" s="76" t="n">
        <v>0.614</v>
      </c>
      <c r="U607" s="76" t="n">
        <v>0.579</v>
      </c>
      <c r="V607" s="76" t="n">
        <v>0.53</v>
      </c>
      <c r="W607" s="76" t="n">
        <v>0.411</v>
      </c>
      <c r="X607" s="76" t="n">
        <v>0.414</v>
      </c>
      <c r="Y607" s="76" t="n">
        <v>0.417</v>
      </c>
      <c r="Z607" s="76" t="n">
        <v>0.417</v>
      </c>
      <c r="AA607" s="76" t="n">
        <v>0.417</v>
      </c>
      <c r="AB607" s="76" t="n"/>
      <c r="AC607" s="76" t="n"/>
      <c r="AD607" s="76" t="n"/>
      <c r="AE607" s="76" t="n"/>
      <c r="AF607" s="76" t="n"/>
      <c r="AG607" s="76" t="n"/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>
        <v>0.5596</v>
      </c>
    </row>
    <row r="608">
      <c r="A608" s="76" t="inlineStr">
        <is>
          <t>TN</t>
        </is>
      </c>
      <c r="B608" s="76" t="inlineStr">
        <is>
          <t>CSP</t>
        </is>
      </c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  <c r="AA608" s="76" t="n"/>
      <c r="AB608" s="76" t="n"/>
      <c r="AC608" s="76" t="n"/>
      <c r="AD608" s="76" t="n"/>
      <c r="AE608" s="76" t="n"/>
      <c r="AF608" s="76" t="n"/>
      <c r="AG608" s="76" t="n"/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</row>
    <row r="609">
      <c r="A609" s="76" t="inlineStr">
        <is>
          <t>TN</t>
        </is>
      </c>
      <c r="B609" s="76" t="inlineStr">
        <is>
          <t>Dist PV</t>
        </is>
      </c>
      <c r="C609" s="76" t="n">
        <v>0.168</v>
      </c>
      <c r="D609" s="76" t="n">
        <v>0.168</v>
      </c>
      <c r="E609" s="76" t="n">
        <v>0.168</v>
      </c>
      <c r="F609" s="76" t="n">
        <v>0.168</v>
      </c>
      <c r="G609" s="76" t="n">
        <v>0.168</v>
      </c>
      <c r="H609" s="76" t="n">
        <v>0.168</v>
      </c>
      <c r="I609" s="76" t="n">
        <v>0.168</v>
      </c>
      <c r="J609" s="76" t="n">
        <v>0.168</v>
      </c>
      <c r="K609" s="76" t="n">
        <v>0.168</v>
      </c>
      <c r="L609" s="76" t="n">
        <v>0.168</v>
      </c>
      <c r="M609" s="76" t="n">
        <v>0.168</v>
      </c>
      <c r="N609" s="76" t="n">
        <v>0.168</v>
      </c>
      <c r="O609" s="76" t="n">
        <v>0.168</v>
      </c>
      <c r="P609" s="76" t="n">
        <v>0.168</v>
      </c>
      <c r="Q609" s="76" t="n">
        <v>0.168</v>
      </c>
      <c r="R609" s="76" t="n">
        <v>0.168</v>
      </c>
      <c r="S609" s="76" t="n">
        <v>0.168</v>
      </c>
      <c r="T609" s="76" t="n">
        <v>0.168</v>
      </c>
      <c r="U609" s="76" t="n">
        <v>0.168</v>
      </c>
      <c r="V609" s="76" t="n">
        <v>0.168</v>
      </c>
      <c r="W609" s="76" t="n">
        <v>0.168</v>
      </c>
      <c r="X609" s="76" t="n">
        <v>0.168</v>
      </c>
      <c r="Y609" s="76" t="n">
        <v>0.168</v>
      </c>
      <c r="Z609" s="76" t="n">
        <v>0.168</v>
      </c>
      <c r="AA609" s="76" t="n">
        <v>0.168</v>
      </c>
      <c r="AB609" s="76" t="n">
        <v>0.168</v>
      </c>
      <c r="AC609" s="76" t="n">
        <v>0.168</v>
      </c>
      <c r="AD609" s="76" t="n">
        <v>0.168</v>
      </c>
      <c r="AE609" s="76" t="n">
        <v>0.168</v>
      </c>
      <c r="AF609" s="76" t="n">
        <v>0.168</v>
      </c>
      <c r="AG609" s="76" t="n">
        <v>0.168</v>
      </c>
      <c r="AH609" s="76" t="n">
        <v>0.168</v>
      </c>
      <c r="AI609" s="76" t="n">
        <v>0.168</v>
      </c>
      <c r="AJ609" s="76" t="n">
        <v>0.168</v>
      </c>
      <c r="AK609" s="76" t="n">
        <v>0.168</v>
      </c>
      <c r="AL609" s="76" t="n">
        <v>0.168</v>
      </c>
      <c r="AM609" s="76" t="n">
        <v>0.168</v>
      </c>
      <c r="AN609" s="76" t="n">
        <v>0.168</v>
      </c>
      <c r="AO609" s="76" t="n">
        <v>0.168</v>
      </c>
      <c r="AP609" s="76" t="n">
        <v>0.168</v>
      </c>
      <c r="AQ609" s="76" t="n">
        <v>0.168</v>
      </c>
      <c r="AR609" s="76" t="n">
        <v>0.1680000000000001</v>
      </c>
    </row>
    <row r="610">
      <c r="A610" s="76" t="inlineStr">
        <is>
          <t>TN</t>
        </is>
      </c>
      <c r="B610" s="76" t="inlineStr">
        <is>
          <t>Gas CCGT</t>
        </is>
      </c>
      <c r="C610" s="76" t="n">
        <v>0.698</v>
      </c>
      <c r="D610" s="76" t="n">
        <v>0.847</v>
      </c>
      <c r="E610" s="76" t="n">
        <v>0.902</v>
      </c>
      <c r="F610" s="76" t="n">
        <v>0.902</v>
      </c>
      <c r="G610" s="76" t="n">
        <v>0.902</v>
      </c>
      <c r="H610" s="76" t="n">
        <v>0.902</v>
      </c>
      <c r="I610" s="76" t="n">
        <v>0.902</v>
      </c>
      <c r="J610" s="76" t="n">
        <v>0.902</v>
      </c>
      <c r="K610" s="76" t="n">
        <v>0.902</v>
      </c>
      <c r="L610" s="76" t="n">
        <v>0.902</v>
      </c>
      <c r="M610" s="76" t="n">
        <v>0.902</v>
      </c>
      <c r="N610" s="76" t="n">
        <v>0.902</v>
      </c>
      <c r="O610" s="76" t="n">
        <v>0.902</v>
      </c>
      <c r="P610" s="76" t="n">
        <v>0.902</v>
      </c>
      <c r="Q610" s="76" t="n">
        <v>0.902</v>
      </c>
      <c r="R610" s="76" t="n">
        <v>0.899</v>
      </c>
      <c r="S610" s="76" t="n">
        <v>0.896</v>
      </c>
      <c r="T610" s="76" t="n">
        <v>0.77</v>
      </c>
      <c r="U610" s="76" t="n">
        <v>0.645</v>
      </c>
      <c r="V610" s="76" t="n">
        <v>0.6860000000000001</v>
      </c>
      <c r="W610" s="76" t="n">
        <v>0.726</v>
      </c>
      <c r="X610" s="76" t="n">
        <v>0.753</v>
      </c>
      <c r="Y610" s="76" t="n">
        <v>0.78</v>
      </c>
      <c r="Z610" s="76" t="n">
        <v>0.655</v>
      </c>
      <c r="AA610" s="76" t="n">
        <v>0.531</v>
      </c>
      <c r="AB610" s="76" t="n">
        <v>0.407</v>
      </c>
      <c r="AC610" s="76" t="n">
        <v>0.427</v>
      </c>
      <c r="AD610" s="76" t="n">
        <v>0.447</v>
      </c>
      <c r="AE610" s="76" t="n">
        <v>0.467</v>
      </c>
      <c r="AF610" s="76" t="n">
        <v>0.486</v>
      </c>
      <c r="AG610" s="76" t="n">
        <v>0.506</v>
      </c>
      <c r="AH610" s="76" t="n">
        <v>0.489</v>
      </c>
      <c r="AI610" s="76" t="n">
        <v>0.471</v>
      </c>
      <c r="AJ610" s="76" t="n">
        <v>0.453</v>
      </c>
      <c r="AK610" s="76" t="n">
        <v>0.435</v>
      </c>
      <c r="AL610" s="76" t="n">
        <v>0.417</v>
      </c>
      <c r="AM610" s="76" t="n">
        <v>0.402</v>
      </c>
      <c r="AN610" s="76" t="n">
        <v>0.387</v>
      </c>
      <c r="AO610" s="76" t="n">
        <v>0.372</v>
      </c>
      <c r="AP610" s="76" t="n">
        <v>0.358</v>
      </c>
      <c r="AQ610" s="76" t="n">
        <v>0.343</v>
      </c>
      <c r="AR610" s="76" t="n">
        <v>0.6702195121951219</v>
      </c>
    </row>
    <row r="611">
      <c r="A611" s="76" t="inlineStr">
        <is>
          <t>TN</t>
        </is>
      </c>
      <c r="B611" s="76" t="inlineStr">
        <is>
          <t>Gas CT</t>
        </is>
      </c>
      <c r="C611" s="76" t="n">
        <v>0.004</v>
      </c>
      <c r="D611" s="76" t="n">
        <v>0.004</v>
      </c>
      <c r="E611" s="76" t="n">
        <v>0.004</v>
      </c>
      <c r="F611" s="76" t="n">
        <v>0.005</v>
      </c>
      <c r="G611" s="76" t="n">
        <v>0.006</v>
      </c>
      <c r="H611" s="76" t="n">
        <v>0.008</v>
      </c>
      <c r="I611" s="76" t="n">
        <v>0.008999999999999999</v>
      </c>
      <c r="J611" s="76" t="n">
        <v>0.008</v>
      </c>
      <c r="K611" s="76" t="n">
        <v>0.007</v>
      </c>
      <c r="L611" s="76" t="n">
        <v>0.008</v>
      </c>
      <c r="M611" s="76" t="n">
        <v>0.008</v>
      </c>
      <c r="N611" s="76" t="n">
        <v>0.006</v>
      </c>
      <c r="O611" s="76" t="n">
        <v>0.004</v>
      </c>
      <c r="P611" s="76" t="n">
        <v>0.004</v>
      </c>
      <c r="Q611" s="76" t="n">
        <v>0.003</v>
      </c>
      <c r="R611" s="76" t="n">
        <v>0.002</v>
      </c>
      <c r="S611" s="76" t="n">
        <v>0</v>
      </c>
      <c r="T611" s="76" t="n">
        <v>0</v>
      </c>
      <c r="U611" s="76" t="n">
        <v>0</v>
      </c>
      <c r="V611" s="76" t="n">
        <v>0</v>
      </c>
      <c r="W611" s="76" t="n">
        <v>0</v>
      </c>
      <c r="X611" s="76" t="n">
        <v>0</v>
      </c>
      <c r="Y611" s="76" t="n">
        <v>0</v>
      </c>
      <c r="Z611" s="76" t="n">
        <v>0</v>
      </c>
      <c r="AA611" s="76" t="n">
        <v>0</v>
      </c>
      <c r="AB611" s="76" t="n">
        <v>0</v>
      </c>
      <c r="AC611" s="76" t="n">
        <v>0</v>
      </c>
      <c r="AD611" s="76" t="n">
        <v>0</v>
      </c>
      <c r="AE611" s="76" t="n">
        <v>0</v>
      </c>
      <c r="AF611" s="76" t="n">
        <v>0</v>
      </c>
      <c r="AG611" s="76" t="n">
        <v>0</v>
      </c>
      <c r="AH611" s="76" t="n">
        <v>0</v>
      </c>
      <c r="AI611" s="76" t="n">
        <v>0</v>
      </c>
      <c r="AJ611" s="76" t="n">
        <v>0</v>
      </c>
      <c r="AK611" s="76" t="n">
        <v>0</v>
      </c>
      <c r="AL611" s="76" t="n">
        <v>0</v>
      </c>
      <c r="AM611" s="76" t="n">
        <v>0</v>
      </c>
      <c r="AN611" s="76" t="n">
        <v>0</v>
      </c>
      <c r="AO611" s="76" t="n">
        <v>0</v>
      </c>
      <c r="AP611" s="76" t="n">
        <v>0</v>
      </c>
      <c r="AQ611" s="76" t="n">
        <v>0</v>
      </c>
      <c r="AR611" s="76" t="n">
        <v>0.002195121951219513</v>
      </c>
    </row>
    <row r="612">
      <c r="A612" s="76" t="inlineStr">
        <is>
          <t>TN</t>
        </is>
      </c>
      <c r="B612" s="76" t="inlineStr">
        <is>
          <t>Geothermal</t>
        </is>
      </c>
      <c r="C612" s="76" t="n"/>
      <c r="D612" s="76" t="n"/>
      <c r="E612" s="76" t="n"/>
      <c r="F612" s="76" t="n"/>
      <c r="G612" s="76" t="n"/>
      <c r="H612" s="76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  <c r="AA612" s="76" t="n"/>
      <c r="AB612" s="76" t="n"/>
      <c r="AC612" s="76" t="n"/>
      <c r="AD612" s="76" t="n"/>
      <c r="AE612" s="76" t="n"/>
      <c r="AF612" s="76" t="n"/>
      <c r="AG612" s="76" t="n"/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</row>
    <row r="613">
      <c r="A613" s="76" t="inlineStr">
        <is>
          <t>TN</t>
        </is>
      </c>
      <c r="B613" s="76" t="inlineStr">
        <is>
          <t>Hydro</t>
        </is>
      </c>
      <c r="C613" s="76" t="n">
        <v>0.229</v>
      </c>
      <c r="D613" s="76" t="n">
        <v>0.226</v>
      </c>
      <c r="E613" s="76" t="n">
        <v>0.224</v>
      </c>
      <c r="F613" s="76" t="n">
        <v>0.245</v>
      </c>
      <c r="G613" s="76" t="n">
        <v>0.265</v>
      </c>
      <c r="H613" s="76" t="n">
        <v>0.236</v>
      </c>
      <c r="I613" s="76" t="n">
        <v>0.208</v>
      </c>
      <c r="J613" s="76" t="n">
        <v>0.208</v>
      </c>
      <c r="K613" s="76" t="n">
        <v>0.208</v>
      </c>
      <c r="L613" s="76" t="n">
        <v>0.211</v>
      </c>
      <c r="M613" s="76" t="n">
        <v>0.214</v>
      </c>
      <c r="N613" s="76" t="n">
        <v>0.215</v>
      </c>
      <c r="O613" s="76" t="n">
        <v>0.216</v>
      </c>
      <c r="P613" s="76" t="n">
        <v>0.217</v>
      </c>
      <c r="Q613" s="76" t="n">
        <v>0.218</v>
      </c>
      <c r="R613" s="76" t="n">
        <v>0.219</v>
      </c>
      <c r="S613" s="76" t="n">
        <v>0.219</v>
      </c>
      <c r="T613" s="76" t="n">
        <v>0.217</v>
      </c>
      <c r="U613" s="76" t="n">
        <v>0.216</v>
      </c>
      <c r="V613" s="76" t="n">
        <v>0.21</v>
      </c>
      <c r="W613" s="76" t="n">
        <v>0.205</v>
      </c>
      <c r="X613" s="76" t="n">
        <v>0.201</v>
      </c>
      <c r="Y613" s="76" t="n">
        <v>0.197</v>
      </c>
      <c r="Z613" s="76" t="n">
        <v>0.195</v>
      </c>
      <c r="AA613" s="76" t="n">
        <v>0.192</v>
      </c>
      <c r="AB613" s="76" t="n">
        <v>0.19</v>
      </c>
      <c r="AC613" s="76" t="n">
        <v>0.19</v>
      </c>
      <c r="AD613" s="76" t="n">
        <v>0.19</v>
      </c>
      <c r="AE613" s="76" t="n">
        <v>0.19</v>
      </c>
      <c r="AF613" s="76" t="n">
        <v>0.19</v>
      </c>
      <c r="AG613" s="76" t="n">
        <v>0.19</v>
      </c>
      <c r="AH613" s="76" t="n">
        <v>0.191</v>
      </c>
      <c r="AI613" s="76" t="n">
        <v>0.192</v>
      </c>
      <c r="AJ613" s="76" t="n">
        <v>0.192</v>
      </c>
      <c r="AK613" s="76" t="n">
        <v>0.193</v>
      </c>
      <c r="AL613" s="76" t="n">
        <v>0.194</v>
      </c>
      <c r="AM613" s="76" t="n">
        <v>0.197</v>
      </c>
      <c r="AN613" s="76" t="n">
        <v>0.201</v>
      </c>
      <c r="AO613" s="76" t="n">
        <v>0.205</v>
      </c>
      <c r="AP613" s="76" t="n">
        <v>0.208</v>
      </c>
      <c r="AQ613" s="76" t="n">
        <v>0.212</v>
      </c>
      <c r="AR613" s="76" t="n">
        <v>0.2081951219512196</v>
      </c>
    </row>
    <row r="614">
      <c r="A614" s="76" t="inlineStr">
        <is>
          <t>TN</t>
        </is>
      </c>
      <c r="B614" s="76" t="inlineStr">
        <is>
          <t>Nuclear</t>
        </is>
      </c>
      <c r="C614" s="76" t="n">
        <v>0.902</v>
      </c>
      <c r="D614" s="76" t="n">
        <v>0.902</v>
      </c>
      <c r="E614" s="76" t="n">
        <v>0.902</v>
      </c>
      <c r="F614" s="76" t="n">
        <v>0.902</v>
      </c>
      <c r="G614" s="76" t="n">
        <v>0.902</v>
      </c>
      <c r="H614" s="76" t="n">
        <v>0.902</v>
      </c>
      <c r="I614" s="76" t="n">
        <v>0.902</v>
      </c>
      <c r="J614" s="76" t="n">
        <v>0.902</v>
      </c>
      <c r="K614" s="76" t="n">
        <v>0.902</v>
      </c>
      <c r="L614" s="76" t="n">
        <v>0.902</v>
      </c>
      <c r="M614" s="76" t="n">
        <v>0.902</v>
      </c>
      <c r="N614" s="76" t="n">
        <v>0.902</v>
      </c>
      <c r="O614" s="76" t="n">
        <v>0.902</v>
      </c>
      <c r="P614" s="76" t="n">
        <v>0.902</v>
      </c>
      <c r="Q614" s="76" t="n">
        <v>0.902</v>
      </c>
      <c r="R614" s="76" t="n">
        <v>0.902</v>
      </c>
      <c r="S614" s="76" t="n">
        <v>0.902</v>
      </c>
      <c r="T614" s="76" t="n">
        <v>0.902</v>
      </c>
      <c r="U614" s="76" t="n">
        <v>0.902</v>
      </c>
      <c r="V614" s="76" t="n">
        <v>0.902</v>
      </c>
      <c r="W614" s="76" t="n">
        <v>0.902</v>
      </c>
      <c r="X614" s="76" t="n">
        <v>0.902</v>
      </c>
      <c r="Y614" s="76" t="n">
        <v>0.902</v>
      </c>
      <c r="Z614" s="76" t="n">
        <v>0.902</v>
      </c>
      <c r="AA614" s="76" t="n">
        <v>0.902</v>
      </c>
      <c r="AB614" s="76" t="n">
        <v>0.902</v>
      </c>
      <c r="AC614" s="76" t="n">
        <v>0.902</v>
      </c>
      <c r="AD614" s="76" t="n">
        <v>0.902</v>
      </c>
      <c r="AE614" s="76" t="n">
        <v>0.902</v>
      </c>
      <c r="AF614" s="76" t="n">
        <v>0.902</v>
      </c>
      <c r="AG614" s="76" t="n">
        <v>0.902</v>
      </c>
      <c r="AH614" s="76" t="n">
        <v>0.902</v>
      </c>
      <c r="AI614" s="76" t="n">
        <v>0.902</v>
      </c>
      <c r="AJ614" s="76" t="n">
        <v>0.902</v>
      </c>
      <c r="AK614" s="76" t="n">
        <v>0.902</v>
      </c>
      <c r="AL614" s="76" t="n">
        <v>0.902</v>
      </c>
      <c r="AM614" s="76" t="n">
        <v>0.891</v>
      </c>
      <c r="AN614" s="76" t="n">
        <v>0.88</v>
      </c>
      <c r="AO614" s="76" t="n">
        <v>0.869</v>
      </c>
      <c r="AP614" s="76" t="n">
        <v>0.858</v>
      </c>
      <c r="AQ614" s="76" t="n">
        <v>0.847</v>
      </c>
      <c r="AR614" s="76" t="n">
        <v>0.8979756097560977</v>
      </c>
    </row>
    <row r="615">
      <c r="A615" s="76" t="inlineStr">
        <is>
          <t>TN</t>
        </is>
      </c>
      <c r="B615" s="76" t="inlineStr">
        <is>
          <t>Other</t>
        </is>
      </c>
      <c r="C615" s="76" t="n">
        <v>0</v>
      </c>
      <c r="D615" s="76" t="n">
        <v>0</v>
      </c>
      <c r="E615" s="76" t="n">
        <v>0</v>
      </c>
      <c r="F615" s="76" t="n">
        <v>0</v>
      </c>
      <c r="G615" s="76" t="n">
        <v>0</v>
      </c>
      <c r="H615" s="76" t="n">
        <v>0</v>
      </c>
      <c r="I615" s="76" t="n">
        <v>0</v>
      </c>
      <c r="J615" s="76" t="n">
        <v>0</v>
      </c>
      <c r="K615" s="76" t="n">
        <v>0</v>
      </c>
      <c r="L615" s="76" t="n">
        <v>0</v>
      </c>
      <c r="M615" s="76" t="n">
        <v>0</v>
      </c>
      <c r="N615" s="76" t="n">
        <v>0</v>
      </c>
      <c r="O615" s="76" t="n">
        <v>0</v>
      </c>
      <c r="P615" s="76" t="n">
        <v>0</v>
      </c>
      <c r="Q615" s="76" t="n">
        <v>0</v>
      </c>
      <c r="R615" s="76" t="n">
        <v>0</v>
      </c>
      <c r="S615" s="76" t="n">
        <v>0</v>
      </c>
      <c r="T615" s="76" t="n">
        <v>0</v>
      </c>
      <c r="U615" s="76" t="n">
        <v>0</v>
      </c>
      <c r="V615" s="76" t="n">
        <v>0</v>
      </c>
      <c r="W615" s="76" t="n">
        <v>0</v>
      </c>
      <c r="X615" s="76" t="n">
        <v>0</v>
      </c>
      <c r="Y615" s="76" t="n">
        <v>0</v>
      </c>
      <c r="Z615" s="76" t="n">
        <v>0</v>
      </c>
      <c r="AA615" s="76" t="n">
        <v>0</v>
      </c>
      <c r="AB615" s="76" t="n">
        <v>0</v>
      </c>
      <c r="AC615" s="76" t="n">
        <v>0</v>
      </c>
      <c r="AD615" s="76" t="n">
        <v>0</v>
      </c>
      <c r="AE615" s="76" t="n">
        <v>0</v>
      </c>
      <c r="AF615" s="76" t="n">
        <v>0</v>
      </c>
      <c r="AG615" s="76" t="n">
        <v>0</v>
      </c>
      <c r="AH615" s="76" t="n">
        <v>0</v>
      </c>
      <c r="AI615" s="76" t="n">
        <v>0</v>
      </c>
      <c r="AJ615" s="76" t="n">
        <v>0</v>
      </c>
      <c r="AK615" s="76" t="n">
        <v>0</v>
      </c>
      <c r="AL615" s="76" t="n">
        <v>0</v>
      </c>
      <c r="AM615" s="76" t="n">
        <v>0</v>
      </c>
      <c r="AN615" s="76" t="n">
        <v>0</v>
      </c>
      <c r="AO615" s="76" t="n">
        <v>0</v>
      </c>
      <c r="AP615" s="76" t="n">
        <v>0</v>
      </c>
      <c r="AQ615" s="76" t="n">
        <v>0</v>
      </c>
      <c r="AR615" s="76" t="n">
        <v>0</v>
      </c>
    </row>
    <row r="616">
      <c r="A616" s="76" t="inlineStr">
        <is>
          <t>TN</t>
        </is>
      </c>
      <c r="B616" s="76" t="inlineStr">
        <is>
          <t>Utility PV</t>
        </is>
      </c>
      <c r="C616" s="76" t="n"/>
      <c r="D616" s="76" t="n">
        <v>0.236</v>
      </c>
      <c r="E616" s="76" t="n">
        <v>0.236</v>
      </c>
      <c r="F616" s="76" t="n">
        <v>0.236</v>
      </c>
      <c r="G616" s="76" t="n">
        <v>0.235</v>
      </c>
      <c r="H616" s="76" t="n">
        <v>0.235</v>
      </c>
      <c r="I616" s="76" t="n">
        <v>0.234</v>
      </c>
      <c r="J616" s="76" t="n">
        <v>0.234</v>
      </c>
      <c r="K616" s="76" t="n">
        <v>0.234</v>
      </c>
      <c r="L616" s="76" t="n">
        <v>0.233</v>
      </c>
      <c r="M616" s="76" t="n">
        <v>0.232</v>
      </c>
      <c r="N616" s="76" t="n">
        <v>0.231</v>
      </c>
      <c r="O616" s="76" t="n">
        <v>0.23</v>
      </c>
      <c r="P616" s="76" t="n">
        <v>0.235</v>
      </c>
      <c r="Q616" s="76" t="n">
        <v>0.236</v>
      </c>
      <c r="R616" s="76" t="n">
        <v>0.234</v>
      </c>
      <c r="S616" s="76" t="n">
        <v>0.233</v>
      </c>
      <c r="T616" s="76" t="n">
        <v>0.233</v>
      </c>
      <c r="U616" s="76" t="n">
        <v>0.233</v>
      </c>
      <c r="V616" s="76" t="n">
        <v>0.233</v>
      </c>
      <c r="W616" s="76" t="n">
        <v>0.232</v>
      </c>
      <c r="X616" s="76" t="n">
        <v>0.231</v>
      </c>
      <c r="Y616" s="76" t="n">
        <v>0.23</v>
      </c>
      <c r="Z616" s="76" t="n">
        <v>0.229</v>
      </c>
      <c r="AA616" s="76" t="n">
        <v>0.229</v>
      </c>
      <c r="AB616" s="76" t="n">
        <v>0.228</v>
      </c>
      <c r="AC616" s="76" t="n">
        <v>0.227</v>
      </c>
      <c r="AD616" s="76" t="n">
        <v>0.227</v>
      </c>
      <c r="AE616" s="76" t="n">
        <v>0.226</v>
      </c>
      <c r="AF616" s="76" t="n">
        <v>0.225</v>
      </c>
      <c r="AG616" s="76" t="n">
        <v>0.225</v>
      </c>
      <c r="AH616" s="76" t="n">
        <v>0.224</v>
      </c>
      <c r="AI616" s="76" t="n">
        <v>0.223</v>
      </c>
      <c r="AJ616" s="76" t="n">
        <v>0.222</v>
      </c>
      <c r="AK616" s="76" t="n">
        <v>0.22</v>
      </c>
      <c r="AL616" s="76" t="n">
        <v>0.219</v>
      </c>
      <c r="AM616" s="76" t="n">
        <v>0.218</v>
      </c>
      <c r="AN616" s="76" t="n">
        <v>0.217</v>
      </c>
      <c r="AO616" s="76" t="n">
        <v>0.216</v>
      </c>
      <c r="AP616" s="76" t="n">
        <v>0.215</v>
      </c>
      <c r="AQ616" s="76" t="n">
        <v>0.214</v>
      </c>
      <c r="AR616" s="76" t="n">
        <v>0.2285</v>
      </c>
    </row>
    <row r="617">
      <c r="A617" s="76" t="inlineStr">
        <is>
          <t>TN</t>
        </is>
      </c>
      <c r="B617" s="76" t="inlineStr">
        <is>
          <t>Wind offshore</t>
        </is>
      </c>
      <c r="C617" s="76" t="n"/>
      <c r="D617" s="76" t="n"/>
      <c r="E617" s="76" t="n"/>
      <c r="F617" s="76" t="n"/>
      <c r="G617" s="76" t="n"/>
      <c r="H617" s="76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  <c r="AE617" s="76" t="n"/>
      <c r="AF617" s="76" t="n"/>
      <c r="AG617" s="76" t="n"/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</row>
    <row r="618">
      <c r="A618" s="76" t="inlineStr">
        <is>
          <t>TN</t>
        </is>
      </c>
      <c r="B618" s="76" t="inlineStr">
        <is>
          <t>Wind onshore</t>
        </is>
      </c>
      <c r="C618" s="76" t="n">
        <v>0.301</v>
      </c>
      <c r="D618" s="76" t="n">
        <v>0.301</v>
      </c>
      <c r="E618" s="76" t="n">
        <v>0.301</v>
      </c>
      <c r="F618" s="76" t="n">
        <v>0.301</v>
      </c>
      <c r="G618" s="76" t="n">
        <v>0.301</v>
      </c>
      <c r="H618" s="76" t="n">
        <v>0.301</v>
      </c>
      <c r="I618" s="76" t="n">
        <v>0.301</v>
      </c>
      <c r="J618" s="76" t="n">
        <v>0.301</v>
      </c>
      <c r="K618" s="76" t="n">
        <v>0.301</v>
      </c>
      <c r="L618" s="76" t="n">
        <v>0.301</v>
      </c>
      <c r="M618" s="76" t="n">
        <v>0.301</v>
      </c>
      <c r="N618" s="76" t="n">
        <v>0.301</v>
      </c>
      <c r="O618" s="76" t="n">
        <v>0.301</v>
      </c>
      <c r="P618" s="76" t="n">
        <v>0.301</v>
      </c>
      <c r="Q618" s="76" t="n">
        <v>0.301</v>
      </c>
      <c r="R618" s="76" t="n">
        <v>0.313</v>
      </c>
      <c r="S618" s="76" t="n">
        <v>0.32</v>
      </c>
      <c r="T618" s="76" t="n">
        <v>0.369</v>
      </c>
      <c r="U618" s="76" t="n">
        <v>0.37</v>
      </c>
      <c r="V618" s="76" t="n">
        <v>0.37</v>
      </c>
      <c r="W618" s="76" t="n">
        <v>0.37</v>
      </c>
      <c r="X618" s="76" t="n">
        <v>0.367</v>
      </c>
      <c r="Y618" s="76" t="n">
        <v>0.364</v>
      </c>
      <c r="Z618" s="76" t="n">
        <v>0.345</v>
      </c>
      <c r="AA618" s="76" t="n">
        <v>0.335</v>
      </c>
      <c r="AB618" s="76" t="n">
        <v>0.329</v>
      </c>
      <c r="AC618" s="76" t="n">
        <v>0.329</v>
      </c>
      <c r="AD618" s="76" t="n">
        <v>0.329</v>
      </c>
      <c r="AE618" s="76" t="n">
        <v>0.329</v>
      </c>
      <c r="AF618" s="76" t="n">
        <v>0.329</v>
      </c>
      <c r="AG618" s="76" t="n">
        <v>0.329</v>
      </c>
      <c r="AH618" s="76" t="n">
        <v>0.331</v>
      </c>
      <c r="AI618" s="76" t="n">
        <v>0.333</v>
      </c>
      <c r="AJ618" s="76" t="n">
        <v>0.335</v>
      </c>
      <c r="AK618" s="76" t="n">
        <v>0.337</v>
      </c>
      <c r="AL618" s="76" t="n">
        <v>0.339</v>
      </c>
      <c r="AM618" s="76" t="n">
        <v>0.34</v>
      </c>
      <c r="AN618" s="76" t="n">
        <v>0.341</v>
      </c>
      <c r="AO618" s="76" t="n">
        <v>0.342</v>
      </c>
      <c r="AP618" s="76" t="n">
        <v>0.344</v>
      </c>
      <c r="AQ618" s="76" t="n">
        <v>0.345</v>
      </c>
      <c r="AR618" s="76" t="n">
        <v>0.3268048780487806</v>
      </c>
    </row>
    <row r="619">
      <c r="A619" s="76" t="inlineStr">
        <is>
          <t>TX</t>
        </is>
      </c>
      <c r="B619" s="76" t="inlineStr">
        <is>
          <t>TX</t>
        </is>
      </c>
      <c r="C619" s="76" t="n">
        <v>0.2911571428571427</v>
      </c>
      <c r="D619" s="76" t="n">
        <v>0.2818055555555555</v>
      </c>
      <c r="E619" s="76" t="n">
        <v>0.2842957746478874</v>
      </c>
      <c r="F619" s="76" t="n">
        <v>0.2842465753424658</v>
      </c>
      <c r="G619" s="76" t="n">
        <v>0.2827916666666667</v>
      </c>
      <c r="H619" s="76" t="n">
        <v>0.27476</v>
      </c>
      <c r="I619" s="76" t="n">
        <v>0.2723648648648648</v>
      </c>
      <c r="J619" s="76" t="n">
        <v>0.2667692307692309</v>
      </c>
      <c r="K619" s="76" t="n">
        <v>0.270346153846154</v>
      </c>
      <c r="L619" s="76" t="n">
        <v>0.2719750000000001</v>
      </c>
      <c r="M619" s="76" t="n">
        <v>0.2669620253164557</v>
      </c>
      <c r="N619" s="76" t="n">
        <v>0.2611874999999999</v>
      </c>
      <c r="O619" s="76" t="n">
        <v>0.2537874999999999</v>
      </c>
      <c r="P619" s="76" t="n">
        <v>0.2508375</v>
      </c>
      <c r="Q619" s="76" t="n">
        <v>0.2488227848101266</v>
      </c>
      <c r="R619" s="76" t="n">
        <v>0.2343058823529411</v>
      </c>
      <c r="S619" s="76" t="n">
        <v>0.232797619047619</v>
      </c>
      <c r="T619" s="76" t="n">
        <v>0.229</v>
      </c>
      <c r="U619" s="76" t="n">
        <v>0.2203493975903615</v>
      </c>
      <c r="V619" s="76" t="n">
        <v>0.2089883720930232</v>
      </c>
      <c r="W619" s="76" t="n">
        <v>0.2013529411764706</v>
      </c>
      <c r="X619" s="76" t="n">
        <v>0.1927674418604651</v>
      </c>
      <c r="Y619" s="76" t="n">
        <v>0.184453488372093</v>
      </c>
      <c r="Z619" s="76" t="n">
        <v>0.1825348837209302</v>
      </c>
      <c r="AA619" s="76" t="n">
        <v>0.1800232558139535</v>
      </c>
      <c r="AB619" s="76" t="n">
        <v>0.173047619047619</v>
      </c>
      <c r="AC619" s="76" t="n">
        <v>0.1721785714285714</v>
      </c>
      <c r="AD619" s="76" t="n">
        <v>0.1713095238095238</v>
      </c>
      <c r="AE619" s="76" t="n">
        <v>0.1704761904761904</v>
      </c>
      <c r="AF619" s="76" t="n">
        <v>0.1695952380952381</v>
      </c>
      <c r="AG619" s="76" t="n">
        <v>0.1707590361445783</v>
      </c>
      <c r="AH619" s="76" t="n">
        <v>0.1722409638554217</v>
      </c>
      <c r="AI619" s="76" t="n">
        <v>0.1737590361445784</v>
      </c>
      <c r="AJ619" s="76" t="n">
        <v>0.1751686746987952</v>
      </c>
      <c r="AK619" s="76" t="n">
        <v>0.1765542168674698</v>
      </c>
      <c r="AL619" s="76" t="n">
        <v>0.1777831325301205</v>
      </c>
      <c r="AM619" s="76" t="n">
        <v>0.1809166666666667</v>
      </c>
      <c r="AN619" s="76" t="n">
        <v>0.1807261904761905</v>
      </c>
      <c r="AO619" s="76" t="n">
        <v>0.1806190476190476</v>
      </c>
      <c r="AP619" s="76" t="n">
        <v>0.1805238095238096</v>
      </c>
      <c r="AQ619" s="76" t="n">
        <v>0.1918987341772152</v>
      </c>
      <c r="AR619" s="76" t="n">
        <v>0.2161746843054723</v>
      </c>
    </row>
    <row r="620">
      <c r="A620" s="76" t="inlineStr">
        <is>
          <t>TX</t>
        </is>
      </c>
      <c r="B620" s="76" t="inlineStr">
        <is>
          <t>Battery</t>
        </is>
      </c>
      <c r="C620" s="76" t="n">
        <v>-0.006</v>
      </c>
      <c r="D620" s="76" t="n">
        <v>-0.003333333333333333</v>
      </c>
      <c r="E620" s="76" t="n">
        <v>-0.002666666666666667</v>
      </c>
      <c r="F620" s="76" t="n">
        <v>-0.004333333333333334</v>
      </c>
      <c r="G620" s="76" t="n">
        <v>-0.005999999999999999</v>
      </c>
      <c r="H620" s="76" t="n">
        <v>-0.0125</v>
      </c>
      <c r="I620" s="76" t="n">
        <v>-0.01225</v>
      </c>
      <c r="J620" s="76" t="n">
        <v>-0.008333333333333333</v>
      </c>
      <c r="K620" s="76" t="n">
        <v>-0.006833333333333334</v>
      </c>
      <c r="L620" s="76" t="n">
        <v>-0.009000000000000001</v>
      </c>
      <c r="M620" s="76" t="n">
        <v>-0.01133333333333333</v>
      </c>
      <c r="N620" s="76" t="n">
        <v>-0.01783333333333334</v>
      </c>
      <c r="O620" s="76" t="n">
        <v>-0.019</v>
      </c>
      <c r="P620" s="76" t="n">
        <v>-0.036</v>
      </c>
      <c r="Q620" s="76" t="n">
        <v>-0.0545</v>
      </c>
      <c r="R620" s="76" t="n">
        <v>-0.055</v>
      </c>
      <c r="S620" s="76" t="n">
        <v>-0.055875</v>
      </c>
      <c r="T620" s="76" t="n">
        <v>-0.057625</v>
      </c>
      <c r="U620" s="76" t="n">
        <v>-0.0575</v>
      </c>
      <c r="V620" s="76" t="n">
        <v>-0.06363636363636363</v>
      </c>
      <c r="W620" s="76" t="n">
        <v>-0.06518181818181817</v>
      </c>
      <c r="X620" s="76" t="n">
        <v>-0.06636363636363636</v>
      </c>
      <c r="Y620" s="76" t="n">
        <v>-0.06736363636363636</v>
      </c>
      <c r="Z620" s="76" t="n">
        <v>-0.06854545454545455</v>
      </c>
      <c r="AA620" s="76" t="n">
        <v>-0.06909090909090909</v>
      </c>
      <c r="AB620" s="76" t="n">
        <v>-0.06954545454545454</v>
      </c>
      <c r="AC620" s="76" t="n">
        <v>-0.06963636363636364</v>
      </c>
      <c r="AD620" s="76" t="n">
        <v>-0.06963636363636364</v>
      </c>
      <c r="AE620" s="76" t="n">
        <v>-0.06954545454545454</v>
      </c>
      <c r="AF620" s="76" t="n">
        <v>-0.06945454545454545</v>
      </c>
      <c r="AG620" s="76" t="n">
        <v>-0.06945454545454545</v>
      </c>
      <c r="AH620" s="76" t="n">
        <v>-0.06899999999999999</v>
      </c>
      <c r="AI620" s="76" t="n">
        <v>-0.06854545454545455</v>
      </c>
      <c r="AJ620" s="76" t="n">
        <v>-0.068</v>
      </c>
      <c r="AK620" s="76" t="n">
        <v>-0.06772727272727272</v>
      </c>
      <c r="AL620" s="76" t="n">
        <v>-0.06754545454545453</v>
      </c>
      <c r="AM620" s="76" t="n">
        <v>-0.06627272727272726</v>
      </c>
      <c r="AN620" s="76" t="n">
        <v>-0.065</v>
      </c>
      <c r="AO620" s="76" t="n">
        <v>-0.06381818181818183</v>
      </c>
      <c r="AP620" s="76" t="n">
        <v>-0.06236363636363637</v>
      </c>
      <c r="AQ620" s="76" t="n">
        <v>-0.06127272727272726</v>
      </c>
      <c r="AR620" s="76" t="n">
        <v>-0.0557884057971015</v>
      </c>
    </row>
    <row r="621">
      <c r="A621" s="76" t="inlineStr">
        <is>
          <t>TX</t>
        </is>
      </c>
      <c r="B621" s="76" t="inlineStr">
        <is>
          <t>Biopower</t>
        </is>
      </c>
      <c r="C621" s="76" t="n">
        <v>0.5220000000000001</v>
      </c>
      <c r="D621" s="76" t="n">
        <v>0.4481666666666667</v>
      </c>
      <c r="E621" s="76" t="n">
        <v>0.441</v>
      </c>
      <c r="F621" s="76" t="n">
        <v>0.457</v>
      </c>
      <c r="G621" s="76" t="n">
        <v>0.4683333333333334</v>
      </c>
      <c r="H621" s="76" t="n">
        <v>0.4528333333333334</v>
      </c>
      <c r="I621" s="76" t="n">
        <v>0.437</v>
      </c>
      <c r="J621" s="76" t="n">
        <v>0.437</v>
      </c>
      <c r="K621" s="76" t="n">
        <v>0.437</v>
      </c>
      <c r="L621" s="76" t="n">
        <v>0.437</v>
      </c>
      <c r="M621" s="76" t="n">
        <v>0.437</v>
      </c>
      <c r="N621" s="76" t="n">
        <v>0.437</v>
      </c>
      <c r="O621" s="76" t="n">
        <v>0.437</v>
      </c>
      <c r="P621" s="76" t="n">
        <v>0.437</v>
      </c>
      <c r="Q621" s="76" t="n">
        <v>0.437</v>
      </c>
      <c r="R621" s="76" t="n">
        <v>0.437</v>
      </c>
      <c r="S621" s="76" t="n">
        <v>0.437</v>
      </c>
      <c r="T621" s="76" t="n">
        <v>0.437</v>
      </c>
      <c r="U621" s="76" t="n">
        <v>0.437</v>
      </c>
      <c r="V621" s="76" t="n">
        <v>0.437</v>
      </c>
      <c r="W621" s="76" t="n">
        <v>0.437</v>
      </c>
      <c r="X621" s="76" t="n">
        <v>0.4418333333333333</v>
      </c>
      <c r="Y621" s="76" t="n">
        <v>0.4466666666666668</v>
      </c>
      <c r="Z621" s="76" t="n">
        <v>0.4576666666666667</v>
      </c>
      <c r="AA621" s="76" t="n">
        <v>0.4686666666666667</v>
      </c>
      <c r="AB621" s="76" t="n">
        <v>0.4796666666666667</v>
      </c>
      <c r="AC621" s="76" t="n">
        <v>0.4771666666666667</v>
      </c>
      <c r="AD621" s="76" t="n">
        <v>0.4746666666666666</v>
      </c>
      <c r="AE621" s="76" t="n">
        <v>0.4721666666666667</v>
      </c>
      <c r="AF621" s="76" t="n">
        <v>0.4696666666666667</v>
      </c>
      <c r="AG621" s="76" t="n">
        <v>0.4671666666666667</v>
      </c>
      <c r="AH621" s="76" t="n">
        <v>0.4643333333333334</v>
      </c>
      <c r="AI621" s="76" t="n">
        <v>0.4613333333333333</v>
      </c>
      <c r="AJ621" s="76" t="n">
        <v>0.4586666666666666</v>
      </c>
      <c r="AK621" s="76" t="n">
        <v>0.4556666666666667</v>
      </c>
      <c r="AL621" s="76" t="n">
        <v>0.4528333333333334</v>
      </c>
      <c r="AM621" s="76" t="n">
        <v>0.4453333333333334</v>
      </c>
      <c r="AN621" s="76" t="n">
        <v>0.4378333333333333</v>
      </c>
      <c r="AO621" s="76" t="n">
        <v>0.4305</v>
      </c>
      <c r="AP621" s="76" t="n">
        <v>0.423</v>
      </c>
      <c r="AQ621" s="76" t="n">
        <v>0.4155</v>
      </c>
      <c r="AR621" s="76" t="n">
        <v>0.4498699186991882</v>
      </c>
    </row>
    <row r="622">
      <c r="A622" s="76" t="inlineStr">
        <is>
          <t>TX</t>
        </is>
      </c>
      <c r="B622" s="76" t="inlineStr">
        <is>
          <t>Coal</t>
        </is>
      </c>
      <c r="C622" s="76" t="n">
        <v>0.846</v>
      </c>
      <c r="D622" s="76" t="n">
        <v>0.7462857142857143</v>
      </c>
      <c r="E622" s="76" t="n">
        <v>0.6475714285714286</v>
      </c>
      <c r="F622" s="76" t="n">
        <v>0.7421428571428572</v>
      </c>
      <c r="G622" s="76" t="n">
        <v>0.8388571428571429</v>
      </c>
      <c r="H622" s="76" t="n">
        <v>0.5704285714285715</v>
      </c>
      <c r="I622" s="76" t="n">
        <v>0.302</v>
      </c>
      <c r="J622" s="76" t="n">
        <v>0.4207142857142858</v>
      </c>
      <c r="K622" s="76" t="n">
        <v>0.5668571428571428</v>
      </c>
      <c r="L622" s="76" t="n">
        <v>0.4785714285714286</v>
      </c>
      <c r="M622" s="76" t="n">
        <v>0.3321666666666667</v>
      </c>
      <c r="N622" s="76" t="n">
        <v>0.3568333333333333</v>
      </c>
      <c r="O622" s="76" t="n">
        <v>0.3873333333333334</v>
      </c>
      <c r="P622" s="76" t="n">
        <v>0.4393333333333334</v>
      </c>
      <c r="Q622" s="76" t="n">
        <v>0.5542</v>
      </c>
      <c r="R622" s="76" t="n">
        <v>0.5812</v>
      </c>
      <c r="S622" s="76" t="n">
        <v>0.6082</v>
      </c>
      <c r="T622" s="76" t="n">
        <v>0.6171999999999999</v>
      </c>
      <c r="U622" s="76" t="n">
        <v>0.7846666666666667</v>
      </c>
      <c r="V622" s="76" t="n">
        <v>0.7480000000000001</v>
      </c>
      <c r="W622" s="76" t="n">
        <v>0.6950000000000001</v>
      </c>
      <c r="X622" s="76" t="n">
        <v>0.534</v>
      </c>
      <c r="Y622" s="76" t="n">
        <v>0.37</v>
      </c>
      <c r="Z622" s="76" t="n">
        <v>0.37</v>
      </c>
      <c r="AA622" s="76" t="n">
        <v>0.37</v>
      </c>
      <c r="AB622" s="76" t="n"/>
      <c r="AC622" s="76" t="n"/>
      <c r="AD622" s="76" t="n"/>
      <c r="AE622" s="76" t="n"/>
      <c r="AF622" s="76" t="n"/>
      <c r="AG622" s="76" t="n"/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>
        <v>0.5637692307692302</v>
      </c>
    </row>
    <row r="623">
      <c r="A623" s="76" t="inlineStr">
        <is>
          <t>TX</t>
        </is>
      </c>
      <c r="B623" s="76" t="inlineStr">
        <is>
          <t>CSP</t>
        </is>
      </c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6" t="n"/>
      <c r="AC623" s="76" t="n"/>
      <c r="AD623" s="76" t="n"/>
      <c r="AE623" s="76" t="n"/>
      <c r="AF623" s="76" t="n"/>
      <c r="AG623" s="76" t="n"/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</row>
    <row r="624">
      <c r="A624" s="76" t="inlineStr">
        <is>
          <t>TX</t>
        </is>
      </c>
      <c r="B624" s="76" t="inlineStr">
        <is>
          <t>Dist PV</t>
        </is>
      </c>
      <c r="C624" s="76" t="n">
        <v>0.1915454545454545</v>
      </c>
      <c r="D624" s="76" t="n">
        <v>0.1915454545454545</v>
      </c>
      <c r="E624" s="76" t="n">
        <v>0.1915454545454545</v>
      </c>
      <c r="F624" s="76" t="n">
        <v>0.1915454545454545</v>
      </c>
      <c r="G624" s="76" t="n">
        <v>0.1915454545454545</v>
      </c>
      <c r="H624" s="76" t="n">
        <v>0.1915454545454545</v>
      </c>
      <c r="I624" s="76" t="n">
        <v>0.1915454545454545</v>
      </c>
      <c r="J624" s="76" t="n">
        <v>0.1915454545454545</v>
      </c>
      <c r="K624" s="76" t="n">
        <v>0.1915454545454545</v>
      </c>
      <c r="L624" s="76" t="n">
        <v>0.1915454545454545</v>
      </c>
      <c r="M624" s="76" t="n">
        <v>0.1915454545454545</v>
      </c>
      <c r="N624" s="76" t="n">
        <v>0.1915454545454545</v>
      </c>
      <c r="O624" s="76" t="n">
        <v>0.1915454545454545</v>
      </c>
      <c r="P624" s="76" t="n">
        <v>0.1868181818181818</v>
      </c>
      <c r="Q624" s="76" t="n">
        <v>0.1829090909090909</v>
      </c>
      <c r="R624" s="76" t="n">
        <v>0.1795454545454545</v>
      </c>
      <c r="S624" s="76" t="n">
        <v>0.1763636363636364</v>
      </c>
      <c r="T624" s="76" t="n">
        <v>0.1769090909090909</v>
      </c>
      <c r="U624" s="76" t="n">
        <v>0.1779090909090909</v>
      </c>
      <c r="V624" s="76" t="n">
        <v>0.1855454545454545</v>
      </c>
      <c r="W624" s="76" t="n">
        <v>0.1915454545454545</v>
      </c>
      <c r="X624" s="76" t="n">
        <v>0.1798181818181818</v>
      </c>
      <c r="Y624" s="76" t="n">
        <v>0.1696363636363636</v>
      </c>
      <c r="Z624" s="76" t="n">
        <v>0.1693636363636364</v>
      </c>
      <c r="AA624" s="76" t="n">
        <v>0.1690909090909091</v>
      </c>
      <c r="AB624" s="76" t="n">
        <v>0.169</v>
      </c>
      <c r="AC624" s="76" t="n">
        <v>0.1693636363636364</v>
      </c>
      <c r="AD624" s="76" t="n">
        <v>0.1698181818181818</v>
      </c>
      <c r="AE624" s="76" t="n">
        <v>0.1701818181818182</v>
      </c>
      <c r="AF624" s="76" t="n">
        <v>0.1705454545454545</v>
      </c>
      <c r="AG624" s="76" t="n">
        <v>0.1710909090909091</v>
      </c>
      <c r="AH624" s="76" t="n">
        <v>0.176</v>
      </c>
      <c r="AI624" s="76" t="n">
        <v>0.1806363636363636</v>
      </c>
      <c r="AJ624" s="76" t="n">
        <v>0.1845454545454545</v>
      </c>
      <c r="AK624" s="76" t="n">
        <v>0.1881818181818182</v>
      </c>
      <c r="AL624" s="76" t="n">
        <v>0.1915454545454545</v>
      </c>
      <c r="AM624" s="76" t="n">
        <v>0.1879090909090909</v>
      </c>
      <c r="AN624" s="76" t="n">
        <v>0.1846363636363636</v>
      </c>
      <c r="AO624" s="76" t="n">
        <v>0.1817272727272727</v>
      </c>
      <c r="AP624" s="76" t="n">
        <v>0.179</v>
      </c>
      <c r="AQ624" s="76" t="n">
        <v>0.1765454545454545</v>
      </c>
      <c r="AR624" s="76" t="n">
        <v>0.1825920177383594</v>
      </c>
    </row>
    <row r="625">
      <c r="A625" s="76" t="inlineStr">
        <is>
          <t>TX</t>
        </is>
      </c>
      <c r="B625" s="76" t="inlineStr">
        <is>
          <t>Gas CCGT</t>
        </is>
      </c>
      <c r="C625" s="76" t="n">
        <v>0.3381999999999999</v>
      </c>
      <c r="D625" s="76" t="n">
        <v>0.4311</v>
      </c>
      <c r="E625" s="76" t="n">
        <v>0.5216999999999999</v>
      </c>
      <c r="F625" s="76" t="n">
        <v>0.4483</v>
      </c>
      <c r="G625" s="76" t="n">
        <v>0.376</v>
      </c>
      <c r="H625" s="76" t="n">
        <v>0.502</v>
      </c>
      <c r="I625" s="76" t="n">
        <v>0.6216999999999999</v>
      </c>
      <c r="J625" s="76" t="n">
        <v>0.5576</v>
      </c>
      <c r="K625" s="76" t="n">
        <v>0.4948</v>
      </c>
      <c r="L625" s="76" t="n">
        <v>0.5397000000000001</v>
      </c>
      <c r="M625" s="76" t="n">
        <v>0.5841000000000001</v>
      </c>
      <c r="N625" s="76" t="n">
        <v>0.5334</v>
      </c>
      <c r="O625" s="76" t="n">
        <v>0.4828</v>
      </c>
      <c r="P625" s="76" t="n">
        <v>0.4527</v>
      </c>
      <c r="Q625" s="76" t="n">
        <v>0.4227</v>
      </c>
      <c r="R625" s="76" t="n">
        <v>0.373</v>
      </c>
      <c r="S625" s="76" t="n">
        <v>0.3285</v>
      </c>
      <c r="T625" s="76" t="n">
        <v>0.2924</v>
      </c>
      <c r="U625" s="76" t="n">
        <v>0.2565</v>
      </c>
      <c r="V625" s="76" t="n">
        <v>0.2579</v>
      </c>
      <c r="W625" s="76" t="n">
        <v>0.2593</v>
      </c>
      <c r="X625" s="76" t="n">
        <v>0.2312</v>
      </c>
      <c r="Y625" s="76" t="n">
        <v>0.2026</v>
      </c>
      <c r="Z625" s="76" t="n">
        <v>0.1786</v>
      </c>
      <c r="AA625" s="76" t="n">
        <v>0.1542</v>
      </c>
      <c r="AB625" s="76" t="n">
        <v>0.1302</v>
      </c>
      <c r="AC625" s="76" t="n">
        <v>0.1222</v>
      </c>
      <c r="AD625" s="76" t="n">
        <v>0.1141</v>
      </c>
      <c r="AE625" s="76" t="n">
        <v>0.1062</v>
      </c>
      <c r="AF625" s="76" t="n">
        <v>0.09799999999999999</v>
      </c>
      <c r="AG625" s="76" t="n">
        <v>0.0898</v>
      </c>
      <c r="AH625" s="76" t="n">
        <v>0.0959</v>
      </c>
      <c r="AI625" s="76" t="n">
        <v>0.1021</v>
      </c>
      <c r="AJ625" s="76" t="n">
        <v>0.1083</v>
      </c>
      <c r="AK625" s="76" t="n">
        <v>0.1145</v>
      </c>
      <c r="AL625" s="76" t="n">
        <v>0.1206</v>
      </c>
      <c r="AM625" s="76" t="n">
        <v>0.1185</v>
      </c>
      <c r="AN625" s="76" t="n">
        <v>0.1161</v>
      </c>
      <c r="AO625" s="76" t="n">
        <v>0.114</v>
      </c>
      <c r="AP625" s="76" t="n">
        <v>0.1114</v>
      </c>
      <c r="AQ625" s="76" t="n">
        <v>0.1215555555555556</v>
      </c>
      <c r="AR625" s="76" t="n">
        <v>0.2839193154034232</v>
      </c>
    </row>
    <row r="626">
      <c r="A626" s="76" t="inlineStr">
        <is>
          <t>TX</t>
        </is>
      </c>
      <c r="B626" s="76" t="inlineStr">
        <is>
          <t>Gas CT</t>
        </is>
      </c>
      <c r="C626" s="76" t="n">
        <v>0.006111111111111111</v>
      </c>
      <c r="D626" s="76" t="n">
        <v>0.007666666666666667</v>
      </c>
      <c r="E626" s="76" t="n">
        <v>0.00877777777777778</v>
      </c>
      <c r="F626" s="76" t="n">
        <v>0.008</v>
      </c>
      <c r="G626" s="76" t="n">
        <v>0.007222222222222224</v>
      </c>
      <c r="H626" s="76" t="n">
        <v>0.01266666666666667</v>
      </c>
      <c r="I626" s="76" t="n">
        <v>0.01666666666666667</v>
      </c>
      <c r="J626" s="76" t="n">
        <v>0.01422222222222222</v>
      </c>
      <c r="K626" s="76" t="n">
        <v>0.01166666666666667</v>
      </c>
      <c r="L626" s="76" t="n">
        <v>0.01877777777777778</v>
      </c>
      <c r="M626" s="76" t="n">
        <v>0.02344444444444444</v>
      </c>
      <c r="N626" s="76" t="n">
        <v>0.01677777777777778</v>
      </c>
      <c r="O626" s="76" t="n">
        <v>0.01033333333333333</v>
      </c>
      <c r="P626" s="76" t="n">
        <v>0.01066666666666667</v>
      </c>
      <c r="Q626" s="76" t="n">
        <v>0.011</v>
      </c>
      <c r="R626" s="76" t="n">
        <v>0.008222222222222221</v>
      </c>
      <c r="S626" s="76" t="n">
        <v>0.005333333333333333</v>
      </c>
      <c r="T626" s="76" t="n">
        <v>0.005222222222222223</v>
      </c>
      <c r="U626" s="76" t="n">
        <v>0.00488888888888889</v>
      </c>
      <c r="V626" s="76" t="n">
        <v>0.003777777777777778</v>
      </c>
      <c r="W626" s="76" t="n">
        <v>0.002555555555555556</v>
      </c>
      <c r="X626" s="76" t="n">
        <v>0.001666666666666667</v>
      </c>
      <c r="Y626" s="76" t="n">
        <v>0.0006666666666666666</v>
      </c>
      <c r="Z626" s="76" t="n">
        <v>0.0005555555555555556</v>
      </c>
      <c r="AA626" s="76" t="n">
        <v>0.0004444444444444445</v>
      </c>
      <c r="AB626" s="76" t="n">
        <v>0.0003333333333333333</v>
      </c>
      <c r="AC626" s="76" t="n">
        <v>0.0003333333333333333</v>
      </c>
      <c r="AD626" s="76" t="n">
        <v>0.0003333333333333333</v>
      </c>
      <c r="AE626" s="76" t="n">
        <v>0.0003333333333333333</v>
      </c>
      <c r="AF626" s="76" t="n">
        <v>0.0003333333333333333</v>
      </c>
      <c r="AG626" s="76" t="n">
        <v>0.000375</v>
      </c>
      <c r="AH626" s="76" t="n">
        <v>0.000375</v>
      </c>
      <c r="AI626" s="76" t="n">
        <v>0.000375</v>
      </c>
      <c r="AJ626" s="76" t="n">
        <v>0.000375</v>
      </c>
      <c r="AK626" s="76" t="n">
        <v>0.000625</v>
      </c>
      <c r="AL626" s="76" t="n">
        <v>0.000625</v>
      </c>
      <c r="AM626" s="76" t="n">
        <v>0.0005</v>
      </c>
      <c r="AN626" s="76" t="n">
        <v>0.000375</v>
      </c>
      <c r="AO626" s="76" t="n">
        <v>0.000375</v>
      </c>
      <c r="AP626" s="76" t="n">
        <v>0.00025</v>
      </c>
      <c r="AQ626" s="76" t="n">
        <v>0.00025</v>
      </c>
      <c r="AR626" s="76" t="n">
        <v>0.005606145251396633</v>
      </c>
    </row>
    <row r="627">
      <c r="A627" s="76" t="inlineStr">
        <is>
          <t>TX</t>
        </is>
      </c>
      <c r="B627" s="76" t="inlineStr">
        <is>
          <t>Geothermal</t>
        </is>
      </c>
      <c r="C627" s="76" t="n"/>
      <c r="D627" s="76" t="n"/>
      <c r="E627" s="76" t="n"/>
      <c r="F627" s="76" t="n"/>
      <c r="G627" s="76" t="n"/>
      <c r="H627" s="76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  <c r="AA627" s="76" t="n"/>
      <c r="AB627" s="76" t="n"/>
      <c r="AC627" s="76" t="n"/>
      <c r="AD627" s="76" t="n"/>
      <c r="AE627" s="76" t="n"/>
      <c r="AF627" s="76" t="n"/>
      <c r="AG627" s="76" t="n"/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</row>
    <row r="628">
      <c r="A628" s="76" t="inlineStr">
        <is>
          <t>TX</t>
        </is>
      </c>
      <c r="B628" s="76" t="inlineStr">
        <is>
          <t>Hydro</t>
        </is>
      </c>
      <c r="C628" s="76" t="n">
        <v>0.2392</v>
      </c>
      <c r="D628" s="76" t="n">
        <v>0.1934</v>
      </c>
      <c r="E628" s="76" t="n">
        <v>0.1474</v>
      </c>
      <c r="F628" s="76" t="n">
        <v>0.125</v>
      </c>
      <c r="G628" s="76" t="n">
        <v>0.103</v>
      </c>
      <c r="H628" s="76" t="n">
        <v>0.1412</v>
      </c>
      <c r="I628" s="76" t="n">
        <v>0.1798</v>
      </c>
      <c r="J628" s="76" t="n">
        <v>0.1798</v>
      </c>
      <c r="K628" s="76" t="n">
        <v>0.1798</v>
      </c>
      <c r="L628" s="76" t="n">
        <v>0.1798</v>
      </c>
      <c r="M628" s="76" t="n">
        <v>0.18</v>
      </c>
      <c r="N628" s="76" t="n">
        <v>0.1802</v>
      </c>
      <c r="O628" s="76" t="n">
        <v>0.1806</v>
      </c>
      <c r="P628" s="76" t="n">
        <v>0.1806</v>
      </c>
      <c r="Q628" s="76" t="n">
        <v>0.1806</v>
      </c>
      <c r="R628" s="76" t="n">
        <v>0.1806</v>
      </c>
      <c r="S628" s="76" t="n">
        <v>0.1806</v>
      </c>
      <c r="T628" s="76" t="n">
        <v>0.1806</v>
      </c>
      <c r="U628" s="76" t="n">
        <v>0.1806</v>
      </c>
      <c r="V628" s="76" t="n">
        <v>0.1806</v>
      </c>
      <c r="W628" s="76" t="n">
        <v>0.1806</v>
      </c>
      <c r="X628" s="76" t="n">
        <v>0.1806</v>
      </c>
      <c r="Y628" s="76" t="n">
        <v>0.1806</v>
      </c>
      <c r="Z628" s="76" t="n">
        <v>0.1806</v>
      </c>
      <c r="AA628" s="76" t="n">
        <v>0.1806</v>
      </c>
      <c r="AB628" s="76" t="n">
        <v>0.1806</v>
      </c>
      <c r="AC628" s="76" t="n">
        <v>0.1806</v>
      </c>
      <c r="AD628" s="76" t="n">
        <v>0.1806</v>
      </c>
      <c r="AE628" s="76" t="n">
        <v>0.1806</v>
      </c>
      <c r="AF628" s="76" t="n">
        <v>0.1806</v>
      </c>
      <c r="AG628" s="76" t="n">
        <v>0.1806</v>
      </c>
      <c r="AH628" s="76" t="n">
        <v>0.1806</v>
      </c>
      <c r="AI628" s="76" t="n">
        <v>0.1806</v>
      </c>
      <c r="AJ628" s="76" t="n">
        <v>0.1806</v>
      </c>
      <c r="AK628" s="76" t="n">
        <v>0.1806</v>
      </c>
      <c r="AL628" s="76" t="n">
        <v>0.1806</v>
      </c>
      <c r="AM628" s="76" t="n">
        <v>0.1806</v>
      </c>
      <c r="AN628" s="76" t="n">
        <v>0.1806</v>
      </c>
      <c r="AO628" s="76" t="n">
        <v>0.1806</v>
      </c>
      <c r="AP628" s="76" t="n">
        <v>0.1806</v>
      </c>
      <c r="AQ628" s="76" t="n">
        <v>0.1806</v>
      </c>
      <c r="AR628" s="76" t="n">
        <v>0.1772195121951222</v>
      </c>
    </row>
    <row r="629">
      <c r="A629" s="76" t="inlineStr">
        <is>
          <t>TX</t>
        </is>
      </c>
      <c r="B629" s="76" t="inlineStr">
        <is>
          <t>Nuclear</t>
        </is>
      </c>
      <c r="C629" s="76" t="n">
        <v>0.902</v>
      </c>
      <c r="D629" s="76" t="n">
        <v>0.902</v>
      </c>
      <c r="E629" s="76" t="n">
        <v>0.902</v>
      </c>
      <c r="F629" s="76" t="n">
        <v>0.902</v>
      </c>
      <c r="G629" s="76" t="n">
        <v>0.902</v>
      </c>
      <c r="H629" s="76" t="n">
        <v>0.902</v>
      </c>
      <c r="I629" s="76" t="n">
        <v>0.902</v>
      </c>
      <c r="J629" s="76" t="n">
        <v>0.902</v>
      </c>
      <c r="K629" s="76" t="n">
        <v>0.902</v>
      </c>
      <c r="L629" s="76" t="n">
        <v>0.902</v>
      </c>
      <c r="M629" s="76" t="n">
        <v>0.902</v>
      </c>
      <c r="N629" s="76" t="n">
        <v>0.902</v>
      </c>
      <c r="O629" s="76" t="n">
        <v>0.902</v>
      </c>
      <c r="P629" s="76" t="n">
        <v>0.902</v>
      </c>
      <c r="Q629" s="76" t="n">
        <v>0.902</v>
      </c>
      <c r="R629" s="76" t="n">
        <v>0.902</v>
      </c>
      <c r="S629" s="76" t="n">
        <v>0.902</v>
      </c>
      <c r="T629" s="76" t="n">
        <v>0.902</v>
      </c>
      <c r="U629" s="76" t="n">
        <v>0.902</v>
      </c>
      <c r="V629" s="76" t="n">
        <v>0.902</v>
      </c>
      <c r="W629" s="76" t="n">
        <v>0.902</v>
      </c>
      <c r="X629" s="76" t="n">
        <v>0.902</v>
      </c>
      <c r="Y629" s="76" t="n">
        <v>0.902</v>
      </c>
      <c r="Z629" s="76" t="n">
        <v>0.902</v>
      </c>
      <c r="AA629" s="76" t="n">
        <v>0.902</v>
      </c>
      <c r="AB629" s="76" t="n">
        <v>0.902</v>
      </c>
      <c r="AC629" s="76" t="n">
        <v>0.902</v>
      </c>
      <c r="AD629" s="76" t="n">
        <v>0.902</v>
      </c>
      <c r="AE629" s="76" t="n">
        <v>0.902</v>
      </c>
      <c r="AF629" s="76" t="n">
        <v>0.902</v>
      </c>
      <c r="AG629" s="76" t="n">
        <v>0.902</v>
      </c>
      <c r="AH629" s="76" t="n">
        <v>0.902</v>
      </c>
      <c r="AI629" s="76" t="n">
        <v>0.902</v>
      </c>
      <c r="AJ629" s="76" t="n">
        <v>0.902</v>
      </c>
      <c r="AK629" s="76" t="n">
        <v>0.902</v>
      </c>
      <c r="AL629" s="76" t="n">
        <v>0.902</v>
      </c>
      <c r="AM629" s="76" t="n">
        <v>0.902</v>
      </c>
      <c r="AN629" s="76" t="n">
        <v>0.902</v>
      </c>
      <c r="AO629" s="76" t="n">
        <v>0.902</v>
      </c>
      <c r="AP629" s="76" t="n">
        <v>0.902</v>
      </c>
      <c r="AQ629" s="76" t="n">
        <v>0.902</v>
      </c>
      <c r="AR629" s="76" t="n">
        <v>0.9020000000000007</v>
      </c>
    </row>
    <row r="630">
      <c r="A630" s="76" t="inlineStr">
        <is>
          <t>TX</t>
        </is>
      </c>
      <c r="B630" s="76" t="inlineStr">
        <is>
          <t>Other</t>
        </is>
      </c>
      <c r="C630" s="76" t="n">
        <v>0.0386</v>
      </c>
      <c r="D630" s="76" t="n">
        <v>0.0377</v>
      </c>
      <c r="E630" s="76" t="n">
        <v>0.03066666666666667</v>
      </c>
      <c r="F630" s="76" t="n">
        <v>0.03033333333333334</v>
      </c>
      <c r="G630" s="76" t="n">
        <v>0.02966666666666667</v>
      </c>
      <c r="H630" s="76" t="n">
        <v>0.04488888888888889</v>
      </c>
      <c r="I630" s="76" t="n">
        <v>0.0585</v>
      </c>
      <c r="J630" s="76" t="n">
        <v>0.043875</v>
      </c>
      <c r="K630" s="76" t="n">
        <v>0.029</v>
      </c>
      <c r="L630" s="76" t="n">
        <v>0.05</v>
      </c>
      <c r="M630" s="76" t="n">
        <v>0.07137499999999999</v>
      </c>
      <c r="N630" s="76" t="n">
        <v>0.044625</v>
      </c>
      <c r="O630" s="76" t="n">
        <v>0.01725</v>
      </c>
      <c r="P630" s="76" t="n">
        <v>0.011125</v>
      </c>
      <c r="Q630" s="76" t="n">
        <v>0.005125</v>
      </c>
      <c r="R630" s="76" t="n">
        <v>0.002625</v>
      </c>
      <c r="S630" s="76" t="n">
        <v>0</v>
      </c>
      <c r="T630" s="76" t="n">
        <v>0</v>
      </c>
      <c r="U630" s="76" t="n">
        <v>0</v>
      </c>
      <c r="V630" s="76" t="n">
        <v>0</v>
      </c>
      <c r="W630" s="76" t="n">
        <v>0</v>
      </c>
      <c r="X630" s="76" t="n">
        <v>0</v>
      </c>
      <c r="Y630" s="76" t="n">
        <v>0</v>
      </c>
      <c r="Z630" s="76" t="n">
        <v>0</v>
      </c>
      <c r="AA630" s="76" t="n">
        <v>0</v>
      </c>
      <c r="AB630" s="76" t="n">
        <v>0</v>
      </c>
      <c r="AC630" s="76" t="n">
        <v>0</v>
      </c>
      <c r="AD630" s="76" t="n">
        <v>0</v>
      </c>
      <c r="AE630" s="76" t="n">
        <v>0</v>
      </c>
      <c r="AF630" s="76" t="n">
        <v>0</v>
      </c>
      <c r="AG630" s="76" t="n">
        <v>0</v>
      </c>
      <c r="AH630" s="76" t="n">
        <v>0</v>
      </c>
      <c r="AI630" s="76" t="n">
        <v>0</v>
      </c>
      <c r="AJ630" s="76" t="n">
        <v>0</v>
      </c>
      <c r="AK630" s="76" t="n">
        <v>0</v>
      </c>
      <c r="AL630" s="76" t="n">
        <v>0</v>
      </c>
      <c r="AM630" s="76" t="n">
        <v>0</v>
      </c>
      <c r="AN630" s="76" t="n">
        <v>0</v>
      </c>
      <c r="AO630" s="76" t="n">
        <v>0</v>
      </c>
      <c r="AP630" s="76" t="n">
        <v>0</v>
      </c>
      <c r="AQ630" s="76" t="n">
        <v>0</v>
      </c>
      <c r="AR630" s="76" t="n">
        <v>0.01400903614457832</v>
      </c>
    </row>
    <row r="631">
      <c r="A631" s="76" t="inlineStr">
        <is>
          <t>TX</t>
        </is>
      </c>
      <c r="B631" s="76" t="inlineStr">
        <is>
          <t>Utility PV</t>
        </is>
      </c>
      <c r="C631" s="76" t="n">
        <v>0.259</v>
      </c>
      <c r="D631" s="76" t="n">
        <v>0.266</v>
      </c>
      <c r="E631" s="76" t="n">
        <v>0.266</v>
      </c>
      <c r="F631" s="76" t="n">
        <v>0.29125</v>
      </c>
      <c r="G631" s="76" t="n">
        <v>0.291</v>
      </c>
      <c r="H631" s="76" t="n">
        <v>0.288</v>
      </c>
      <c r="I631" s="76" t="n">
        <v>0.2875</v>
      </c>
      <c r="J631" s="76" t="n">
        <v>0.287625</v>
      </c>
      <c r="K631" s="76" t="n">
        <v>0.28725</v>
      </c>
      <c r="L631" s="76" t="n">
        <v>0.286</v>
      </c>
      <c r="M631" s="76" t="n">
        <v>0.2857</v>
      </c>
      <c r="N631" s="76" t="n">
        <v>0.2812</v>
      </c>
      <c r="O631" s="76" t="n">
        <v>0.2804</v>
      </c>
      <c r="P631" s="76" t="n">
        <v>0.2798</v>
      </c>
      <c r="Q631" s="76" t="n">
        <v>0.2793</v>
      </c>
      <c r="R631" s="76" t="n">
        <v>0.2728181818181818</v>
      </c>
      <c r="S631" s="76" t="n">
        <v>0.272</v>
      </c>
      <c r="T631" s="76" t="n">
        <v>0.2718181818181818</v>
      </c>
      <c r="U631" s="76" t="n">
        <v>0.2709090909090909</v>
      </c>
      <c r="V631" s="76" t="n">
        <v>0.2688181818181818</v>
      </c>
      <c r="W631" s="76" t="n">
        <v>0.2665454545454545</v>
      </c>
      <c r="X631" s="76" t="n">
        <v>0.2653636363636364</v>
      </c>
      <c r="Y631" s="76" t="n">
        <v>0.264090909090909</v>
      </c>
      <c r="Z631" s="76" t="n">
        <v>0.2638181818181818</v>
      </c>
      <c r="AA631" s="76" t="n">
        <v>0.2634545454545454</v>
      </c>
      <c r="AB631" s="76" t="n">
        <v>0.2628181818181818</v>
      </c>
      <c r="AC631" s="76" t="n">
        <v>0.2614545454545454</v>
      </c>
      <c r="AD631" s="76" t="n">
        <v>0.2599090909090909</v>
      </c>
      <c r="AE631" s="76" t="n">
        <v>0.2587272727272727</v>
      </c>
      <c r="AF631" s="76" t="n">
        <v>0.2572727272727273</v>
      </c>
      <c r="AG631" s="76" t="n">
        <v>0.2558181818181818</v>
      </c>
      <c r="AH631" s="76" t="n">
        <v>0.2546363636363637</v>
      </c>
      <c r="AI631" s="76" t="n">
        <v>0.2537272727272727</v>
      </c>
      <c r="AJ631" s="76" t="n">
        <v>0.2527272727272727</v>
      </c>
      <c r="AK631" s="76" t="n">
        <v>0.2519090909090909</v>
      </c>
      <c r="AL631" s="76" t="n">
        <v>0.2506363636363637</v>
      </c>
      <c r="AM631" s="76" t="n">
        <v>0.252</v>
      </c>
      <c r="AN631" s="76" t="n">
        <v>0.2531818181818182</v>
      </c>
      <c r="AO631" s="76" t="n">
        <v>0.2544545454545455</v>
      </c>
      <c r="AP631" s="76" t="n">
        <v>0.2556363636363636</v>
      </c>
      <c r="AQ631" s="76" t="n">
        <v>0.257</v>
      </c>
      <c r="AR631" s="76" t="n">
        <v>0.2664470284237728</v>
      </c>
    </row>
    <row r="632">
      <c r="A632" s="76" t="inlineStr">
        <is>
          <t>TX</t>
        </is>
      </c>
      <c r="B632" s="76" t="inlineStr">
        <is>
          <t>Wind offshore</t>
        </is>
      </c>
      <c r="C632" s="76" t="n"/>
      <c r="D632" s="76" t="n"/>
      <c r="E632" s="76" t="n"/>
      <c r="F632" s="76" t="n"/>
      <c r="G632" s="76" t="n"/>
      <c r="H632" s="76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  <c r="AA632" s="76" t="n"/>
      <c r="AB632" s="76" t="n"/>
      <c r="AC632" s="76" t="n"/>
      <c r="AD632" s="76" t="n"/>
      <c r="AE632" s="76" t="n"/>
      <c r="AF632" s="76" t="n"/>
      <c r="AG632" s="76" t="n"/>
      <c r="AH632" s="76" t="n"/>
      <c r="AI632" s="76" t="n"/>
      <c r="AJ632" s="76" t="n"/>
      <c r="AK632" s="76" t="n"/>
      <c r="AL632" s="76" t="n"/>
      <c r="AM632" s="76" t="n">
        <v>0.45</v>
      </c>
      <c r="AN632" s="76" t="n">
        <v>0.45</v>
      </c>
      <c r="AO632" s="76" t="n">
        <v>0.45</v>
      </c>
      <c r="AP632" s="76" t="n">
        <v>0.45</v>
      </c>
      <c r="AQ632" s="76" t="n">
        <v>0.45</v>
      </c>
      <c r="AR632" s="76" t="n">
        <v>0.45</v>
      </c>
    </row>
    <row r="633">
      <c r="A633" s="76" t="inlineStr">
        <is>
          <t>TX</t>
        </is>
      </c>
      <c r="B633" s="76" t="inlineStr">
        <is>
          <t>Wind onshore</t>
        </is>
      </c>
      <c r="C633" s="76" t="n">
        <v>0.3071428571428571</v>
      </c>
      <c r="D633" s="76" t="n">
        <v>0.3171428571428571</v>
      </c>
      <c r="E633" s="76" t="n">
        <v>0.3231428571428571</v>
      </c>
      <c r="F633" s="76" t="n">
        <v>0.3281428571428571</v>
      </c>
      <c r="G633" s="76" t="n">
        <v>0.3358333333333333</v>
      </c>
      <c r="H633" s="76" t="n">
        <v>0.344</v>
      </c>
      <c r="I633" s="76" t="n">
        <v>0.3496666666666666</v>
      </c>
      <c r="J633" s="76" t="n">
        <v>0.3541666666666667</v>
      </c>
      <c r="K633" s="76" t="n">
        <v>0.3575</v>
      </c>
      <c r="L633" s="76" t="n">
        <v>0.3673333333333333</v>
      </c>
      <c r="M633" s="76" t="n">
        <v>0.3753333333333333</v>
      </c>
      <c r="N633" s="76" t="n">
        <v>0.3961428571428571</v>
      </c>
      <c r="O633" s="76" t="n">
        <v>0.3991428571428571</v>
      </c>
      <c r="P633" s="76" t="n">
        <v>0.3932857142857142</v>
      </c>
      <c r="Q633" s="76" t="n">
        <v>0.3874285714285715</v>
      </c>
      <c r="R633" s="76" t="n">
        <v>0.3750000000000001</v>
      </c>
      <c r="S633" s="76" t="n">
        <v>0.3741111111111111</v>
      </c>
      <c r="T633" s="76" t="n">
        <v>0.3604</v>
      </c>
      <c r="U633" s="76" t="n">
        <v>0.352</v>
      </c>
      <c r="V633" s="76" t="n">
        <v>0.3489</v>
      </c>
      <c r="W633" s="76" t="n">
        <v>0.3458</v>
      </c>
      <c r="X633" s="76" t="n">
        <v>0.3325454545454546</v>
      </c>
      <c r="Y633" s="76" t="n">
        <v>0.3340000000000001</v>
      </c>
      <c r="Z633" s="76" t="n">
        <v>0.3366363636363637</v>
      </c>
      <c r="AA633" s="76" t="n">
        <v>0.3344545454545454</v>
      </c>
      <c r="AB633" s="76" t="n">
        <v>0.3328181818181818</v>
      </c>
      <c r="AC633" s="76" t="n">
        <v>0.3359090909090909</v>
      </c>
      <c r="AD633" s="76" t="n">
        <v>0.3390909090909091</v>
      </c>
      <c r="AE633" s="76" t="n">
        <v>0.342</v>
      </c>
      <c r="AF633" s="76" t="n">
        <v>0.3450909090909091</v>
      </c>
      <c r="AG633" s="76" t="n">
        <v>0.3481818181818182</v>
      </c>
      <c r="AH633" s="76" t="n">
        <v>0.3511818181818182</v>
      </c>
      <c r="AI633" s="76" t="n">
        <v>0.3544545454545455</v>
      </c>
      <c r="AJ633" s="76" t="n">
        <v>0.3574545454545455</v>
      </c>
      <c r="AK633" s="76" t="n">
        <v>0.3606363636363636</v>
      </c>
      <c r="AL633" s="76" t="n">
        <v>0.3636363636363636</v>
      </c>
      <c r="AM633" s="76" t="n">
        <v>0.3699090909090908</v>
      </c>
      <c r="AN633" s="76" t="n">
        <v>0.3756363636363637</v>
      </c>
      <c r="AO633" s="76" t="n">
        <v>0.3811818181818182</v>
      </c>
      <c r="AP633" s="76" t="n">
        <v>0.387090909090909</v>
      </c>
      <c r="AQ633" s="76" t="n">
        <v>0.3926363636363636</v>
      </c>
      <c r="AR633" s="76" t="n">
        <v>0.3550452127659582</v>
      </c>
    </row>
    <row r="634">
      <c r="A634" s="76" t="inlineStr">
        <is>
          <t>UT</t>
        </is>
      </c>
      <c r="B634" s="76" t="inlineStr">
        <is>
          <t>UT</t>
        </is>
      </c>
      <c r="C634" s="76" t="n">
        <v>0.3885454545454545</v>
      </c>
      <c r="D634" s="76" t="n">
        <v>0.3860833333333333</v>
      </c>
      <c r="E634" s="76" t="n">
        <v>0.3933333333333334</v>
      </c>
      <c r="F634" s="76" t="n">
        <v>0.3385999999999999</v>
      </c>
      <c r="G634" s="76" t="n">
        <v>0.3342</v>
      </c>
      <c r="H634" s="76" t="n">
        <v>0.3411333333333334</v>
      </c>
      <c r="I634" s="76" t="n">
        <v>0.349</v>
      </c>
      <c r="J634" s="76" t="n">
        <v>0.3423999999999999</v>
      </c>
      <c r="K634" s="76" t="n">
        <v>0.3357333333333334</v>
      </c>
      <c r="L634" s="76" t="n">
        <v>0.3374374999999999</v>
      </c>
      <c r="M634" s="76" t="n">
        <v>0.3345625</v>
      </c>
      <c r="N634" s="76" t="n">
        <v>0.3183529411764705</v>
      </c>
      <c r="O634" s="76" t="n">
        <v>0.3225294117647058</v>
      </c>
      <c r="P634" s="76" t="n">
        <v>0.2990526315789474</v>
      </c>
      <c r="Q634" s="76" t="n">
        <v>0.2976315789473684</v>
      </c>
      <c r="R634" s="76" t="n">
        <v>0.2999473684210526</v>
      </c>
      <c r="S634" s="76" t="n">
        <v>0.3007894736842106</v>
      </c>
      <c r="T634" s="76" t="n">
        <v>0.2975789473684211</v>
      </c>
      <c r="U634" s="76" t="n">
        <v>0.2638888888888889</v>
      </c>
      <c r="V634" s="76" t="n">
        <v>0.2572777777777778</v>
      </c>
      <c r="W634" s="76" t="n">
        <v>0.2506666666666667</v>
      </c>
      <c r="X634" s="76" t="n">
        <v>0.2487222222222222</v>
      </c>
      <c r="Y634" s="76" t="n">
        <v>0.2111764705882353</v>
      </c>
      <c r="Z634" s="76" t="n">
        <v>0.2056470588235294</v>
      </c>
      <c r="AA634" s="76" t="n">
        <v>0.1999411764705882</v>
      </c>
      <c r="AB634" s="76" t="n">
        <v>0.1944117647058824</v>
      </c>
      <c r="AC634" s="76" t="n">
        <v>0.1930588235294118</v>
      </c>
      <c r="AD634" s="76" t="n">
        <v>0.1914117647058824</v>
      </c>
      <c r="AE634" s="76" t="n">
        <v>0.1902352941176471</v>
      </c>
      <c r="AF634" s="76" t="n">
        <v>0.1887647058823529</v>
      </c>
      <c r="AG634" s="76" t="n">
        <v>0.1874117647058824</v>
      </c>
      <c r="AH634" s="76" t="n">
        <v>0.1874117647058824</v>
      </c>
      <c r="AI634" s="76" t="n">
        <v>0.1874117647058824</v>
      </c>
      <c r="AJ634" s="76" t="n">
        <v>0.1872941176470588</v>
      </c>
      <c r="AK634" s="76" t="n">
        <v>0.1873529411764706</v>
      </c>
      <c r="AL634" s="76" t="n">
        <v>0.198875</v>
      </c>
      <c r="AM634" s="76" t="n">
        <v>0.198125</v>
      </c>
      <c r="AN634" s="76" t="n">
        <v>0.1975</v>
      </c>
      <c r="AO634" s="76" t="n">
        <v>0.1966875</v>
      </c>
      <c r="AP634" s="76" t="n">
        <v>0.196</v>
      </c>
      <c r="AQ634" s="76" t="n">
        <v>0.1951875</v>
      </c>
      <c r="AR634" s="76" t="n">
        <v>0.2581911111111111</v>
      </c>
    </row>
    <row r="635">
      <c r="A635" s="76" t="inlineStr">
        <is>
          <t>UT</t>
        </is>
      </c>
      <c r="B635" s="76" t="inlineStr">
        <is>
          <t>Battery</t>
        </is>
      </c>
      <c r="C635" s="76" t="n"/>
      <c r="D635" s="76" t="n"/>
      <c r="E635" s="76" t="n"/>
      <c r="F635" s="76" t="n"/>
      <c r="G635" s="76" t="n"/>
      <c r="H635" s="76" t="n"/>
      <c r="I635" s="76" t="n"/>
      <c r="J635" s="76" t="n"/>
      <c r="K635" s="76" t="n"/>
      <c r="L635" s="76" t="n"/>
      <c r="M635" s="76" t="n"/>
      <c r="N635" s="76" t="n">
        <v>-0.01</v>
      </c>
      <c r="O635" s="76" t="n">
        <v>-0.01</v>
      </c>
      <c r="P635" s="76" t="n">
        <v>-0.0275</v>
      </c>
      <c r="Q635" s="76" t="n">
        <v>-0.0295</v>
      </c>
      <c r="R635" s="76" t="n">
        <v>-0.012</v>
      </c>
      <c r="S635" s="76" t="n">
        <v>-0.01</v>
      </c>
      <c r="T635" s="76" t="n">
        <v>-0.014</v>
      </c>
      <c r="U635" s="76" t="n">
        <v>-0.018</v>
      </c>
      <c r="V635" s="76" t="n">
        <v>-0.027</v>
      </c>
      <c r="W635" s="76" t="n">
        <v>-0.037</v>
      </c>
      <c r="X635" s="76" t="n">
        <v>-0.0435</v>
      </c>
      <c r="Y635" s="76" t="n">
        <v>-0.049</v>
      </c>
      <c r="Z635" s="76" t="n">
        <v>-0.0485</v>
      </c>
      <c r="AA635" s="76" t="n">
        <v>-0.0485</v>
      </c>
      <c r="AB635" s="76" t="n">
        <v>-0.0475</v>
      </c>
      <c r="AC635" s="76" t="n">
        <v>-0.049</v>
      </c>
      <c r="AD635" s="76" t="n">
        <v>-0.05</v>
      </c>
      <c r="AE635" s="76" t="n">
        <v>-0.051</v>
      </c>
      <c r="AF635" s="76" t="n">
        <v>-0.0515</v>
      </c>
      <c r="AG635" s="76" t="n">
        <v>-0.052</v>
      </c>
      <c r="AH635" s="76" t="n">
        <v>-0.051</v>
      </c>
      <c r="AI635" s="76" t="n">
        <v>-0.0505</v>
      </c>
      <c r="AJ635" s="76" t="n">
        <v>-0.05</v>
      </c>
      <c r="AK635" s="76" t="n">
        <v>-0.0495</v>
      </c>
      <c r="AL635" s="76" t="n">
        <v>-0.049</v>
      </c>
      <c r="AM635" s="76" t="n">
        <v>-0.0495</v>
      </c>
      <c r="AN635" s="76" t="n">
        <v>-0.0495</v>
      </c>
      <c r="AO635" s="76" t="n">
        <v>-0.05</v>
      </c>
      <c r="AP635" s="76" t="n">
        <v>-0.05</v>
      </c>
      <c r="AQ635" s="76" t="n">
        <v>-0.0505</v>
      </c>
      <c r="AR635" s="76" t="n">
        <v>-0.04051724137931036</v>
      </c>
    </row>
    <row r="636">
      <c r="A636" s="76" t="inlineStr">
        <is>
          <t>UT</t>
        </is>
      </c>
      <c r="B636" s="76" t="inlineStr">
        <is>
          <t>Biopower</t>
        </is>
      </c>
      <c r="C636" s="76" t="n">
        <v>0.522</v>
      </c>
      <c r="D636" s="76" t="n">
        <v>0.449</v>
      </c>
      <c r="E636" s="76" t="n">
        <v>0.394</v>
      </c>
      <c r="F636" s="76" t="n">
        <v>0.442</v>
      </c>
      <c r="G636" s="76" t="n">
        <v>0.489</v>
      </c>
      <c r="H636" s="76" t="n">
        <v>0.442</v>
      </c>
      <c r="I636" s="76" t="n">
        <v>0.394</v>
      </c>
      <c r="J636" s="76" t="n">
        <v>0.385</v>
      </c>
      <c r="K636" s="76" t="n">
        <v>0.375</v>
      </c>
      <c r="L636" s="76" t="n">
        <v>0.375</v>
      </c>
      <c r="M636" s="76" t="n">
        <v>0.375</v>
      </c>
      <c r="N636" s="76" t="n">
        <v>0.494</v>
      </c>
      <c r="O636" s="76" t="n">
        <v>0.613</v>
      </c>
      <c r="P636" s="76" t="n">
        <v>0.613</v>
      </c>
      <c r="Q636" s="76" t="n">
        <v>0.613</v>
      </c>
      <c r="R636" s="76" t="n">
        <v>0.613</v>
      </c>
      <c r="S636" s="76" t="n">
        <v>0.613</v>
      </c>
      <c r="T636" s="76" t="n">
        <v>0.613</v>
      </c>
      <c r="U636" s="76" t="n">
        <v>0.613</v>
      </c>
      <c r="V636" s="76" t="n">
        <v>0.613</v>
      </c>
      <c r="W636" s="76" t="n">
        <v>0.613</v>
      </c>
      <c r="X636" s="76" t="n">
        <v>0.613</v>
      </c>
      <c r="Y636" s="76" t="n">
        <v>0.613</v>
      </c>
      <c r="Z636" s="76" t="n">
        <v>0.613</v>
      </c>
      <c r="AA636" s="76" t="n">
        <v>0.613</v>
      </c>
      <c r="AB636" s="76" t="n">
        <v>0.613</v>
      </c>
      <c r="AC636" s="76" t="n">
        <v>0.591</v>
      </c>
      <c r="AD636" s="76" t="n">
        <v>0.5679999999999999</v>
      </c>
      <c r="AE636" s="76" t="n">
        <v>0.546</v>
      </c>
      <c r="AF636" s="76" t="n">
        <v>0.524</v>
      </c>
      <c r="AG636" s="76" t="n">
        <v>0.502</v>
      </c>
      <c r="AH636" s="76" t="n">
        <v>0.494</v>
      </c>
      <c r="AI636" s="76" t="n">
        <v>0.486</v>
      </c>
      <c r="AJ636" s="76" t="n">
        <v>0.478</v>
      </c>
      <c r="AK636" s="76" t="n">
        <v>0.47</v>
      </c>
      <c r="AL636" s="76" t="n">
        <v>0.462</v>
      </c>
      <c r="AM636" s="76" t="n">
        <v>0.462</v>
      </c>
      <c r="AN636" s="76" t="n">
        <v>0.462</v>
      </c>
      <c r="AO636" s="76" t="n">
        <v>0.462</v>
      </c>
      <c r="AP636" s="76" t="n">
        <v>0.462</v>
      </c>
      <c r="AQ636" s="76" t="n">
        <v>0.462</v>
      </c>
      <c r="AR636" s="76" t="n">
        <v>0.5158292682926827</v>
      </c>
    </row>
    <row r="637">
      <c r="A637" s="76" t="inlineStr">
        <is>
          <t>UT</t>
        </is>
      </c>
      <c r="B637" s="76" t="inlineStr">
        <is>
          <t>Coal</t>
        </is>
      </c>
      <c r="C637" s="76" t="n">
        <v>0.846</v>
      </c>
      <c r="D637" s="76" t="n">
        <v>0.8445</v>
      </c>
      <c r="E637" s="76" t="n">
        <v>0.8425</v>
      </c>
      <c r="F637" s="76" t="n">
        <v>0.8445</v>
      </c>
      <c r="G637" s="76" t="n">
        <v>0.846</v>
      </c>
      <c r="H637" s="76" t="n">
        <v>0.8434999999999999</v>
      </c>
      <c r="I637" s="76" t="n">
        <v>0.841</v>
      </c>
      <c r="J637" s="76" t="n">
        <v>0.8434999999999999</v>
      </c>
      <c r="K637" s="76" t="n">
        <v>0.846</v>
      </c>
      <c r="L637" s="76" t="n">
        <v>0.825</v>
      </c>
      <c r="M637" s="76" t="n">
        <v>0.8025</v>
      </c>
      <c r="N637" s="76" t="n">
        <v>0.8234999999999999</v>
      </c>
      <c r="O637" s="76" t="n">
        <v>0.846</v>
      </c>
      <c r="P637" s="76" t="n">
        <v>0.846</v>
      </c>
      <c r="Q637" s="76" t="n">
        <v>0.846</v>
      </c>
      <c r="R637" s="76" t="n">
        <v>0.846</v>
      </c>
      <c r="S637" s="76" t="n">
        <v>0.846</v>
      </c>
      <c r="T637" s="76" t="n">
        <v>0.846</v>
      </c>
      <c r="U637" s="76" t="n">
        <v>0.846</v>
      </c>
      <c r="V637" s="76" t="n">
        <v>0.846</v>
      </c>
      <c r="W637" s="76" t="n">
        <v>0.846</v>
      </c>
      <c r="X637" s="76" t="n">
        <v>0.846</v>
      </c>
      <c r="Y637" s="76" t="n"/>
      <c r="Z637" s="76" t="n"/>
      <c r="AA637" s="76" t="n"/>
      <c r="AB637" s="76" t="n"/>
      <c r="AC637" s="76" t="n"/>
      <c r="AD637" s="76" t="n"/>
      <c r="AE637" s="76" t="n"/>
      <c r="AF637" s="76" t="n"/>
      <c r="AG637" s="76" t="n"/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>
        <v>0.840825</v>
      </c>
    </row>
    <row r="638">
      <c r="A638" s="76" t="inlineStr">
        <is>
          <t>UT</t>
        </is>
      </c>
      <c r="B638" s="76" t="inlineStr">
        <is>
          <t>CSP</t>
        </is>
      </c>
      <c r="C638" s="76" t="n"/>
      <c r="D638" s="76" t="n"/>
      <c r="E638" s="76" t="n"/>
      <c r="F638" s="76" t="n">
        <v>0</v>
      </c>
      <c r="G638" s="76" t="n">
        <v>0</v>
      </c>
      <c r="H638" s="76" t="n">
        <v>0</v>
      </c>
      <c r="I638" s="76" t="n">
        <v>0</v>
      </c>
      <c r="J638" s="76" t="n">
        <v>0</v>
      </c>
      <c r="K638" s="76" t="n">
        <v>0</v>
      </c>
      <c r="L638" s="76" t="n">
        <v>0</v>
      </c>
      <c r="M638" s="76" t="n">
        <v>0</v>
      </c>
      <c r="N638" s="76" t="n">
        <v>0</v>
      </c>
      <c r="O638" s="76" t="n">
        <v>0</v>
      </c>
      <c r="P638" s="76" t="n">
        <v>0</v>
      </c>
      <c r="Q638" s="76" t="n">
        <v>0</v>
      </c>
      <c r="R638" s="76" t="n">
        <v>0</v>
      </c>
      <c r="S638" s="76" t="n">
        <v>0</v>
      </c>
      <c r="T638" s="76" t="n">
        <v>0</v>
      </c>
      <c r="U638" s="76" t="n">
        <v>0</v>
      </c>
      <c r="V638" s="76" t="n">
        <v>0</v>
      </c>
      <c r="W638" s="76" t="n">
        <v>0</v>
      </c>
      <c r="X638" s="76" t="n">
        <v>0</v>
      </c>
      <c r="Y638" s="76" t="n">
        <v>0</v>
      </c>
      <c r="Z638" s="76" t="n">
        <v>0</v>
      </c>
      <c r="AA638" s="76" t="n">
        <v>0</v>
      </c>
      <c r="AB638" s="76" t="n">
        <v>0</v>
      </c>
      <c r="AC638" s="76" t="n">
        <v>0</v>
      </c>
      <c r="AD638" s="76" t="n">
        <v>0</v>
      </c>
      <c r="AE638" s="76" t="n">
        <v>0</v>
      </c>
      <c r="AF638" s="76" t="n">
        <v>0</v>
      </c>
      <c r="AG638" s="76" t="n">
        <v>0</v>
      </c>
      <c r="AH638" s="76" t="n">
        <v>0</v>
      </c>
      <c r="AI638" s="76" t="n">
        <v>0</v>
      </c>
      <c r="AJ638" s="76" t="n">
        <v>0</v>
      </c>
      <c r="AK638" s="76" t="n">
        <v>0</v>
      </c>
      <c r="AL638" s="76" t="n"/>
      <c r="AM638" s="76" t="n"/>
      <c r="AN638" s="76" t="n"/>
      <c r="AO638" s="76" t="n"/>
      <c r="AP638" s="76" t="n"/>
      <c r="AQ638" s="76" t="n"/>
      <c r="AR638" s="76" t="n">
        <v>0</v>
      </c>
    </row>
    <row r="639">
      <c r="A639" s="76" t="inlineStr">
        <is>
          <t>UT</t>
        </is>
      </c>
      <c r="B639" s="76" t="inlineStr">
        <is>
          <t>Dist PV</t>
        </is>
      </c>
      <c r="C639" s="76" t="n"/>
      <c r="D639" s="76" t="n"/>
      <c r="E639" s="76" t="n"/>
      <c r="F639" s="76" t="n">
        <v>0.1935</v>
      </c>
      <c r="G639" s="76" t="n">
        <v>0.1935</v>
      </c>
      <c r="H639" s="76" t="n">
        <v>0.1935</v>
      </c>
      <c r="I639" s="76" t="n">
        <v>0.1935</v>
      </c>
      <c r="J639" s="76" t="n">
        <v>0.1935</v>
      </c>
      <c r="K639" s="76" t="n">
        <v>0.1935</v>
      </c>
      <c r="L639" s="76" t="n">
        <v>0.1935</v>
      </c>
      <c r="M639" s="76" t="n">
        <v>0.1935</v>
      </c>
      <c r="N639" s="76" t="n">
        <v>0.1935</v>
      </c>
      <c r="O639" s="76" t="n">
        <v>0.1935</v>
      </c>
      <c r="P639" s="76" t="n">
        <v>0.1935</v>
      </c>
      <c r="Q639" s="76" t="n">
        <v>0.1935</v>
      </c>
      <c r="R639" s="76" t="n">
        <v>0.1935</v>
      </c>
      <c r="S639" s="76" t="n">
        <v>0.1935</v>
      </c>
      <c r="T639" s="76" t="n">
        <v>0.1935</v>
      </c>
      <c r="U639" s="76" t="n">
        <v>0.1935</v>
      </c>
      <c r="V639" s="76" t="n">
        <v>0.178</v>
      </c>
      <c r="W639" s="76" t="n">
        <v>0.1625</v>
      </c>
      <c r="X639" s="76" t="n">
        <v>0.1645</v>
      </c>
      <c r="Y639" s="76" t="n">
        <v>0.1665</v>
      </c>
      <c r="Z639" s="76" t="n">
        <v>0.166</v>
      </c>
      <c r="AA639" s="76" t="n">
        <v>0.165</v>
      </c>
      <c r="AB639" s="76" t="n">
        <v>0.164</v>
      </c>
      <c r="AC639" s="76" t="n">
        <v>0.165</v>
      </c>
      <c r="AD639" s="76" t="n">
        <v>0.165</v>
      </c>
      <c r="AE639" s="76" t="n">
        <v>0.166</v>
      </c>
      <c r="AF639" s="76" t="n">
        <v>0.1665</v>
      </c>
      <c r="AG639" s="76" t="n">
        <v>0.1665</v>
      </c>
      <c r="AH639" s="76" t="n">
        <v>0.169</v>
      </c>
      <c r="AI639" s="76" t="n">
        <v>0.171</v>
      </c>
      <c r="AJ639" s="76" t="n">
        <v>0.173</v>
      </c>
      <c r="AK639" s="76" t="n">
        <v>0.175</v>
      </c>
      <c r="AL639" s="76" t="n">
        <v>0.1765</v>
      </c>
      <c r="AM639" s="76" t="n">
        <v>0.18</v>
      </c>
      <c r="AN639" s="76" t="n">
        <v>0.1835</v>
      </c>
      <c r="AO639" s="76" t="n">
        <v>0.187</v>
      </c>
      <c r="AP639" s="76" t="n">
        <v>0.1905</v>
      </c>
      <c r="AQ639" s="76" t="n">
        <v>0.1935</v>
      </c>
      <c r="AR639" s="76" t="n">
        <v>0.1813289473684211</v>
      </c>
    </row>
    <row r="640">
      <c r="A640" s="76" t="inlineStr">
        <is>
          <t>UT</t>
        </is>
      </c>
      <c r="B640" s="76" t="inlineStr">
        <is>
          <t>Gas CCGT</t>
        </is>
      </c>
      <c r="C640" s="76" t="n">
        <v>0.362</v>
      </c>
      <c r="D640" s="76" t="n">
        <v>0.421</v>
      </c>
      <c r="E640" s="76" t="n">
        <v>0.48</v>
      </c>
      <c r="F640" s="76" t="n">
        <v>0.575</v>
      </c>
      <c r="G640" s="76" t="n">
        <v>0.637</v>
      </c>
      <c r="H640" s="76" t="n">
        <v>0.737</v>
      </c>
      <c r="I640" s="76" t="n">
        <v>0.836</v>
      </c>
      <c r="J640" s="76" t="n">
        <v>0.74</v>
      </c>
      <c r="K640" s="76" t="n">
        <v>0.644</v>
      </c>
      <c r="L640" s="76" t="n">
        <v>0.703</v>
      </c>
      <c r="M640" s="76" t="n">
        <v>0.762</v>
      </c>
      <c r="N640" s="76" t="n">
        <v>0.67</v>
      </c>
      <c r="O640" s="76" t="n">
        <v>0.578</v>
      </c>
      <c r="P640" s="76" t="n">
        <v>0.578</v>
      </c>
      <c r="Q640" s="76" t="n">
        <v>0.577</v>
      </c>
      <c r="R640" s="76" t="n">
        <v>0.57</v>
      </c>
      <c r="S640" s="76" t="n">
        <v>0.5639999999999999</v>
      </c>
      <c r="T640" s="76" t="n">
        <v>0.524</v>
      </c>
      <c r="U640" s="76" t="n">
        <v>0.485</v>
      </c>
      <c r="V640" s="76" t="n">
        <v>0.474</v>
      </c>
      <c r="W640" s="76" t="n">
        <v>0.464</v>
      </c>
      <c r="X640" s="76" t="n">
        <v>0.422</v>
      </c>
      <c r="Y640" s="76" t="n">
        <v>0.379</v>
      </c>
      <c r="Z640" s="76" t="n">
        <v>0.311</v>
      </c>
      <c r="AA640" s="76" t="n">
        <v>0.242</v>
      </c>
      <c r="AB640" s="76" t="n">
        <v>0.174</v>
      </c>
      <c r="AC640" s="76" t="n">
        <v>0.16</v>
      </c>
      <c r="AD640" s="76" t="n">
        <v>0.146</v>
      </c>
      <c r="AE640" s="76" t="n">
        <v>0.133</v>
      </c>
      <c r="AF640" s="76" t="n">
        <v>0.119</v>
      </c>
      <c r="AG640" s="76" t="n">
        <v>0.106</v>
      </c>
      <c r="AH640" s="76" t="n">
        <v>0.104</v>
      </c>
      <c r="AI640" s="76" t="n">
        <v>0.103</v>
      </c>
      <c r="AJ640" s="76" t="n">
        <v>0.102</v>
      </c>
      <c r="AK640" s="76" t="n">
        <v>0.101</v>
      </c>
      <c r="AL640" s="76" t="n">
        <v>0.1</v>
      </c>
      <c r="AM640" s="76" t="n">
        <v>0.101</v>
      </c>
      <c r="AN640" s="76" t="n">
        <v>0.102</v>
      </c>
      <c r="AO640" s="76" t="n">
        <v>0.103</v>
      </c>
      <c r="AP640" s="76" t="n">
        <v>0.104</v>
      </c>
      <c r="AQ640" s="76" t="n">
        <v>0.105</v>
      </c>
      <c r="AR640" s="76" t="n">
        <v>0.3804390243902439</v>
      </c>
    </row>
    <row r="641">
      <c r="A641" s="76" t="inlineStr">
        <is>
          <t>UT</t>
        </is>
      </c>
      <c r="B641" s="76" t="inlineStr">
        <is>
          <t>Gas CT</t>
        </is>
      </c>
      <c r="C641" s="76" t="n">
        <v>0.008500000000000001</v>
      </c>
      <c r="D641" s="76" t="n">
        <v>0.007</v>
      </c>
      <c r="E641" s="76" t="n">
        <v>0.004500000000000001</v>
      </c>
      <c r="F641" s="76" t="n">
        <v>0.007</v>
      </c>
      <c r="G641" s="76" t="n">
        <v>0.008999999999999999</v>
      </c>
      <c r="H641" s="76" t="n">
        <v>0.006</v>
      </c>
      <c r="I641" s="76" t="n">
        <v>0.003</v>
      </c>
      <c r="J641" s="76" t="n">
        <v>0.004500000000000001</v>
      </c>
      <c r="K641" s="76" t="n">
        <v>0.0055</v>
      </c>
      <c r="L641" s="76" t="n">
        <v>0.003</v>
      </c>
      <c r="M641" s="76" t="n">
        <v>0</v>
      </c>
      <c r="N641" s="76" t="n">
        <v>0</v>
      </c>
      <c r="O641" s="76" t="n">
        <v>0</v>
      </c>
      <c r="P641" s="76" t="n">
        <v>0</v>
      </c>
      <c r="Q641" s="76" t="n">
        <v>0</v>
      </c>
      <c r="R641" s="76" t="n">
        <v>0</v>
      </c>
      <c r="S641" s="76" t="n">
        <v>0</v>
      </c>
      <c r="T641" s="76" t="n">
        <v>0</v>
      </c>
      <c r="U641" s="76" t="n">
        <v>0</v>
      </c>
      <c r="V641" s="76" t="n">
        <v>0</v>
      </c>
      <c r="W641" s="76" t="n">
        <v>0</v>
      </c>
      <c r="X641" s="76" t="n">
        <v>0</v>
      </c>
      <c r="Y641" s="76" t="n">
        <v>0</v>
      </c>
      <c r="Z641" s="76" t="n">
        <v>0</v>
      </c>
      <c r="AA641" s="76" t="n">
        <v>0</v>
      </c>
      <c r="AB641" s="76" t="n">
        <v>0</v>
      </c>
      <c r="AC641" s="76" t="n">
        <v>0</v>
      </c>
      <c r="AD641" s="76" t="n">
        <v>0</v>
      </c>
      <c r="AE641" s="76" t="n">
        <v>0</v>
      </c>
      <c r="AF641" s="76" t="n">
        <v>0</v>
      </c>
      <c r="AG641" s="76" t="n">
        <v>0</v>
      </c>
      <c r="AH641" s="76" t="n">
        <v>0</v>
      </c>
      <c r="AI641" s="76" t="n">
        <v>0</v>
      </c>
      <c r="AJ641" s="76" t="n">
        <v>0</v>
      </c>
      <c r="AK641" s="76" t="n">
        <v>0</v>
      </c>
      <c r="AL641" s="76" t="n">
        <v>0</v>
      </c>
      <c r="AM641" s="76" t="n">
        <v>0</v>
      </c>
      <c r="AN641" s="76" t="n">
        <v>0</v>
      </c>
      <c r="AO641" s="76" t="n">
        <v>0</v>
      </c>
      <c r="AP641" s="76" t="n">
        <v>0</v>
      </c>
      <c r="AQ641" s="76" t="n">
        <v>0</v>
      </c>
      <c r="AR641" s="76" t="n">
        <v>0.001414634146341464</v>
      </c>
    </row>
    <row r="642">
      <c r="A642" s="76" t="inlineStr">
        <is>
          <t>UT</t>
        </is>
      </c>
      <c r="B642" s="76" t="inlineStr">
        <is>
          <t>Geothermal</t>
        </is>
      </c>
      <c r="C642" s="76" t="n">
        <v>0.75</v>
      </c>
      <c r="D642" s="76" t="n">
        <v>0.75</v>
      </c>
      <c r="E642" s="76" t="n">
        <v>0.75</v>
      </c>
      <c r="F642" s="76" t="n">
        <v>0.75</v>
      </c>
      <c r="G642" s="76" t="n">
        <v>0.75</v>
      </c>
      <c r="H642" s="76" t="n">
        <v>0.75</v>
      </c>
      <c r="I642" s="76" t="n">
        <v>0.75</v>
      </c>
      <c r="J642" s="76" t="n">
        <v>0.75</v>
      </c>
      <c r="K642" s="76" t="n">
        <v>0.75</v>
      </c>
      <c r="L642" s="76" t="n">
        <v>0.75</v>
      </c>
      <c r="M642" s="76" t="n">
        <v>0.75</v>
      </c>
      <c r="N642" s="76" t="n">
        <v>0.75</v>
      </c>
      <c r="O642" s="76" t="n">
        <v>0.75</v>
      </c>
      <c r="P642" s="76" t="n">
        <v>0.75</v>
      </c>
      <c r="Q642" s="76" t="n">
        <v>0.75</v>
      </c>
      <c r="R642" s="76" t="n">
        <v>0.75</v>
      </c>
      <c r="S642" s="76" t="n">
        <v>0.75</v>
      </c>
      <c r="T642" s="76" t="n">
        <v>0.75</v>
      </c>
      <c r="U642" s="76" t="n">
        <v>0.75</v>
      </c>
      <c r="V642" s="76" t="n">
        <v>0.75</v>
      </c>
      <c r="W642" s="76" t="n">
        <v>0.75</v>
      </c>
      <c r="X642" s="76" t="n">
        <v>0.75</v>
      </c>
      <c r="Y642" s="76" t="n">
        <v>0.75</v>
      </c>
      <c r="Z642" s="76" t="n">
        <v>0.75</v>
      </c>
      <c r="AA642" s="76" t="n">
        <v>0.75</v>
      </c>
      <c r="AB642" s="76" t="n">
        <v>0.75</v>
      </c>
      <c r="AC642" s="76" t="n">
        <v>0.75</v>
      </c>
      <c r="AD642" s="76" t="n">
        <v>0.749</v>
      </c>
      <c r="AE642" s="76" t="n">
        <v>0.749</v>
      </c>
      <c r="AF642" s="76" t="n">
        <v>0.749</v>
      </c>
      <c r="AG642" s="76" t="n">
        <v>0.749</v>
      </c>
      <c r="AH642" s="76" t="n">
        <v>0.749</v>
      </c>
      <c r="AI642" s="76" t="n">
        <v>0.749</v>
      </c>
      <c r="AJ642" s="76" t="n">
        <v>0.749</v>
      </c>
      <c r="AK642" s="76" t="n">
        <v>0.75</v>
      </c>
      <c r="AL642" s="76" t="n">
        <v>0.75</v>
      </c>
      <c r="AM642" s="76" t="n">
        <v>0.75</v>
      </c>
      <c r="AN642" s="76" t="n">
        <v>0.75</v>
      </c>
      <c r="AO642" s="76" t="n">
        <v>0.75</v>
      </c>
      <c r="AP642" s="76" t="n">
        <v>0.75</v>
      </c>
      <c r="AQ642" s="76" t="n">
        <v>0.75</v>
      </c>
      <c r="AR642" s="76" t="n">
        <v>0.7498292682926827</v>
      </c>
    </row>
    <row r="643">
      <c r="A643" s="76" t="inlineStr">
        <is>
          <t>UT</t>
        </is>
      </c>
      <c r="B643" s="76" t="inlineStr">
        <is>
          <t>Hydro</t>
        </is>
      </c>
      <c r="C643" s="76" t="n">
        <v>0.315</v>
      </c>
      <c r="D643" s="76" t="n">
        <v>0.36</v>
      </c>
      <c r="E643" s="76" t="n">
        <v>0.4055</v>
      </c>
      <c r="F643" s="76" t="n">
        <v>0.316</v>
      </c>
      <c r="G643" s="76" t="n">
        <v>0.226</v>
      </c>
      <c r="H643" s="76" t="n">
        <v>0.265</v>
      </c>
      <c r="I643" s="76" t="n">
        <v>0.3045</v>
      </c>
      <c r="J643" s="76" t="n">
        <v>0.3045</v>
      </c>
      <c r="K643" s="76" t="n">
        <v>0.3045</v>
      </c>
      <c r="L643" s="76" t="n">
        <v>0.2555</v>
      </c>
      <c r="M643" s="76" t="n">
        <v>0.229</v>
      </c>
      <c r="N643" s="76" t="n">
        <v>0.2295</v>
      </c>
      <c r="O643" s="76" t="n">
        <v>0.2295</v>
      </c>
      <c r="P643" s="76" t="n">
        <v>0.226</v>
      </c>
      <c r="Q643" s="76" t="n">
        <v>0.223</v>
      </c>
      <c r="R643" s="76" t="n">
        <v>0.226</v>
      </c>
      <c r="S643" s="76" t="n">
        <v>0.2295</v>
      </c>
      <c r="T643" s="76" t="n">
        <v>0.229</v>
      </c>
      <c r="U643" s="76" t="n">
        <v>0.229</v>
      </c>
      <c r="V643" s="76" t="n">
        <v>0.2255</v>
      </c>
      <c r="W643" s="76" t="n">
        <v>0.2225</v>
      </c>
      <c r="X643" s="76" t="n">
        <v>0.223</v>
      </c>
      <c r="Y643" s="76" t="n">
        <v>0.2235</v>
      </c>
      <c r="Z643" s="76" t="n">
        <v>0.2235</v>
      </c>
      <c r="AA643" s="76" t="n">
        <v>0.2235</v>
      </c>
      <c r="AB643" s="76" t="n">
        <v>0.2235</v>
      </c>
      <c r="AC643" s="76" t="n">
        <v>0.2245</v>
      </c>
      <c r="AD643" s="76" t="n">
        <v>0.225</v>
      </c>
      <c r="AE643" s="76" t="n">
        <v>0.226</v>
      </c>
      <c r="AF643" s="76" t="n">
        <v>0.2265</v>
      </c>
      <c r="AG643" s="76" t="n">
        <v>0.2275</v>
      </c>
      <c r="AH643" s="76" t="n">
        <v>0.226</v>
      </c>
      <c r="AI643" s="76" t="n">
        <v>0.225</v>
      </c>
      <c r="AJ643" s="76" t="n">
        <v>0.2235</v>
      </c>
      <c r="AK643" s="76" t="n">
        <v>0.2225</v>
      </c>
      <c r="AL643" s="76" t="n">
        <v>0.221</v>
      </c>
      <c r="AM643" s="76" t="n">
        <v>0.215</v>
      </c>
      <c r="AN643" s="76" t="n">
        <v>0.2095</v>
      </c>
      <c r="AO643" s="76" t="n">
        <v>0.2035</v>
      </c>
      <c r="AP643" s="76" t="n">
        <v>0.1975</v>
      </c>
      <c r="AQ643" s="76" t="n">
        <v>0.1915</v>
      </c>
      <c r="AR643" s="76" t="n">
        <v>0.2423536585365855</v>
      </c>
    </row>
    <row r="644">
      <c r="A644" s="76" t="inlineStr">
        <is>
          <t>UT</t>
        </is>
      </c>
      <c r="B644" s="76" t="inlineStr">
        <is>
          <t>Nuclear</t>
        </is>
      </c>
      <c r="C644" s="76" t="n"/>
      <c r="D644" s="76" t="n"/>
      <c r="E644" s="76" t="n"/>
      <c r="F644" s="76" t="n"/>
      <c r="G644" s="76" t="n"/>
      <c r="H644" s="76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  <c r="AA644" s="76" t="n"/>
      <c r="AB644" s="76" t="n"/>
      <c r="AC644" s="76" t="n"/>
      <c r="AD644" s="76" t="n"/>
      <c r="AE644" s="76" t="n"/>
      <c r="AF644" s="76" t="n"/>
      <c r="AG644" s="76" t="n"/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</row>
    <row r="645">
      <c r="A645" s="76" t="inlineStr">
        <is>
          <t>UT</t>
        </is>
      </c>
      <c r="B645" s="76" t="inlineStr">
        <is>
          <t>Other</t>
        </is>
      </c>
      <c r="C645" s="76" t="n">
        <v>0</v>
      </c>
      <c r="D645" s="76" t="n">
        <v>0</v>
      </c>
      <c r="E645" s="76" t="n">
        <v>0</v>
      </c>
      <c r="F645" s="76" t="n">
        <v>0</v>
      </c>
      <c r="G645" s="76" t="n">
        <v>0</v>
      </c>
      <c r="H645" s="76" t="n">
        <v>0</v>
      </c>
      <c r="I645" s="76" t="n">
        <v>0</v>
      </c>
      <c r="J645" s="76" t="n">
        <v>0</v>
      </c>
      <c r="K645" s="76" t="n">
        <v>0</v>
      </c>
      <c r="L645" s="76" t="n">
        <v>0</v>
      </c>
      <c r="M645" s="76" t="n">
        <v>0</v>
      </c>
      <c r="N645" s="76" t="n">
        <v>0</v>
      </c>
      <c r="O645" s="76" t="n">
        <v>0</v>
      </c>
      <c r="P645" s="76" t="n">
        <v>0</v>
      </c>
      <c r="Q645" s="76" t="n">
        <v>0</v>
      </c>
      <c r="R645" s="76" t="n">
        <v>0</v>
      </c>
      <c r="S645" s="76" t="n">
        <v>0</v>
      </c>
      <c r="T645" s="76" t="n">
        <v>0</v>
      </c>
      <c r="U645" s="76" t="n">
        <v>0</v>
      </c>
      <c r="V645" s="76" t="n">
        <v>0</v>
      </c>
      <c r="W645" s="76" t="n">
        <v>0</v>
      </c>
      <c r="X645" s="76" t="n">
        <v>0</v>
      </c>
      <c r="Y645" s="76" t="n">
        <v>0</v>
      </c>
      <c r="Z645" s="76" t="n">
        <v>0</v>
      </c>
      <c r="AA645" s="76" t="n">
        <v>0</v>
      </c>
      <c r="AB645" s="76" t="n">
        <v>0</v>
      </c>
      <c r="AC645" s="76" t="n">
        <v>0</v>
      </c>
      <c r="AD645" s="76" t="n">
        <v>0</v>
      </c>
      <c r="AE645" s="76" t="n">
        <v>0</v>
      </c>
      <c r="AF645" s="76" t="n">
        <v>0</v>
      </c>
      <c r="AG645" s="76" t="n">
        <v>0</v>
      </c>
      <c r="AH645" s="76" t="n">
        <v>0</v>
      </c>
      <c r="AI645" s="76" t="n">
        <v>0</v>
      </c>
      <c r="AJ645" s="76" t="n">
        <v>0</v>
      </c>
      <c r="AK645" s="76" t="n">
        <v>0</v>
      </c>
      <c r="AL645" s="76" t="n">
        <v>0</v>
      </c>
      <c r="AM645" s="76" t="n">
        <v>0</v>
      </c>
      <c r="AN645" s="76" t="n">
        <v>0</v>
      </c>
      <c r="AO645" s="76" t="n">
        <v>0</v>
      </c>
      <c r="AP645" s="76" t="n">
        <v>0</v>
      </c>
      <c r="AQ645" s="76" t="n">
        <v>0</v>
      </c>
      <c r="AR645" s="76" t="n">
        <v>0</v>
      </c>
    </row>
    <row r="646">
      <c r="A646" s="76" t="inlineStr">
        <is>
          <t>UT</t>
        </is>
      </c>
      <c r="B646" s="76" t="inlineStr">
        <is>
          <t>Utility PV</t>
        </is>
      </c>
      <c r="C646" s="76" t="n"/>
      <c r="D646" s="76" t="n">
        <v>0.287</v>
      </c>
      <c r="E646" s="76" t="n">
        <v>0.287</v>
      </c>
      <c r="F646" s="76" t="n">
        <v>0.286</v>
      </c>
      <c r="G646" s="76" t="n">
        <v>0.284</v>
      </c>
      <c r="H646" s="76" t="n">
        <v>0.27</v>
      </c>
      <c r="I646" s="76" t="n">
        <v>0.27</v>
      </c>
      <c r="J646" s="76" t="n">
        <v>0.268</v>
      </c>
      <c r="K646" s="76" t="n">
        <v>0.267</v>
      </c>
      <c r="L646" s="76" t="n">
        <v>0.265</v>
      </c>
      <c r="M646" s="76" t="n">
        <v>0.264</v>
      </c>
      <c r="N646" s="76" t="n">
        <v>0.262</v>
      </c>
      <c r="O646" s="76" t="n">
        <v>0.261</v>
      </c>
      <c r="P646" s="76" t="n">
        <v>0.2645</v>
      </c>
      <c r="Q646" s="76" t="n">
        <v>0.265</v>
      </c>
      <c r="R646" s="76" t="n">
        <v>0.2655</v>
      </c>
      <c r="S646" s="76" t="n">
        <v>0.266</v>
      </c>
      <c r="T646" s="76" t="n">
        <v>0.264</v>
      </c>
      <c r="U646" s="76" t="n">
        <v>0.263</v>
      </c>
      <c r="V646" s="76" t="n">
        <v>0.2595</v>
      </c>
      <c r="W646" s="76" t="n">
        <v>0.256</v>
      </c>
      <c r="X646" s="76" t="n">
        <v>0.254</v>
      </c>
      <c r="Y646" s="76" t="n">
        <v>0.2525</v>
      </c>
      <c r="Z646" s="76" t="n">
        <v>0.2505</v>
      </c>
      <c r="AA646" s="76" t="n">
        <v>0.2485</v>
      </c>
      <c r="AB646" s="76" t="n">
        <v>0.2465</v>
      </c>
      <c r="AC646" s="76" t="n">
        <v>0.246</v>
      </c>
      <c r="AD646" s="76" t="n">
        <v>0.2455</v>
      </c>
      <c r="AE646" s="76" t="n">
        <v>0.245</v>
      </c>
      <c r="AF646" s="76" t="n">
        <v>0.244</v>
      </c>
      <c r="AG646" s="76" t="n">
        <v>0.243</v>
      </c>
      <c r="AH646" s="76" t="n">
        <v>0.2425</v>
      </c>
      <c r="AI646" s="76" t="n">
        <v>0.2415</v>
      </c>
      <c r="AJ646" s="76" t="n">
        <v>0.24</v>
      </c>
      <c r="AK646" s="76" t="n">
        <v>0.239</v>
      </c>
      <c r="AL646" s="76" t="n">
        <v>0.238</v>
      </c>
      <c r="AM646" s="76" t="n">
        <v>0.2385</v>
      </c>
      <c r="AN646" s="76" t="n">
        <v>0.239</v>
      </c>
      <c r="AO646" s="76" t="n">
        <v>0.2395</v>
      </c>
      <c r="AP646" s="76" t="n">
        <v>0.2405</v>
      </c>
      <c r="AQ646" s="76" t="n">
        <v>0.241</v>
      </c>
      <c r="AR646" s="76" t="n">
        <v>0.2533529411764706</v>
      </c>
    </row>
    <row r="647">
      <c r="A647" s="76" t="inlineStr">
        <is>
          <t>UT</t>
        </is>
      </c>
      <c r="B647" s="76" t="inlineStr">
        <is>
          <t>Wind offshore</t>
        </is>
      </c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  <c r="AA647" s="76" t="n"/>
      <c r="AB647" s="76" t="n"/>
      <c r="AC647" s="76" t="n"/>
      <c r="AD647" s="76" t="n"/>
      <c r="AE647" s="76" t="n"/>
      <c r="AF647" s="76" t="n"/>
      <c r="AG647" s="76" t="n"/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</row>
    <row r="648">
      <c r="A648" s="76" t="inlineStr">
        <is>
          <t>UT</t>
        </is>
      </c>
      <c r="B648" s="76" t="inlineStr">
        <is>
          <t>Wind onshore</t>
        </is>
      </c>
      <c r="C648" s="76" t="n">
        <v>0.301</v>
      </c>
      <c r="D648" s="76" t="n">
        <v>0.303</v>
      </c>
      <c r="E648" s="76" t="n">
        <v>0.304</v>
      </c>
      <c r="F648" s="76" t="n">
        <v>0.304</v>
      </c>
      <c r="G648" s="76" t="n">
        <v>0.304</v>
      </c>
      <c r="H648" s="76" t="n">
        <v>0.302</v>
      </c>
      <c r="I648" s="76" t="n">
        <v>0.301</v>
      </c>
      <c r="J648" s="76" t="n">
        <v>0.301</v>
      </c>
      <c r="K648" s="76" t="n">
        <v>0.301</v>
      </c>
      <c r="L648" s="76" t="n">
        <v>0.376</v>
      </c>
      <c r="M648" s="76" t="n">
        <v>0.376</v>
      </c>
      <c r="N648" s="76" t="n">
        <v>0.3765</v>
      </c>
      <c r="O648" s="76" t="n">
        <v>0.3765</v>
      </c>
      <c r="P648" s="76" t="n">
        <v>0.368</v>
      </c>
      <c r="Q648" s="76" t="n">
        <v>0.3595</v>
      </c>
      <c r="R648" s="76" t="n">
        <v>0.364</v>
      </c>
      <c r="S648" s="76" t="n">
        <v>0.369</v>
      </c>
      <c r="T648" s="76" t="n">
        <v>0.365</v>
      </c>
      <c r="U648" s="76" t="n">
        <v>0.3605</v>
      </c>
      <c r="V648" s="76" t="n">
        <v>0.338</v>
      </c>
      <c r="W648" s="76" t="n">
        <v>0.3155</v>
      </c>
      <c r="X648" s="76" t="n">
        <v>0.325</v>
      </c>
      <c r="Y648" s="76" t="n">
        <v>0.3305</v>
      </c>
      <c r="Z648" s="76" t="n">
        <v>0.3195</v>
      </c>
      <c r="AA648" s="76" t="n">
        <v>0.3085</v>
      </c>
      <c r="AB648" s="76" t="n">
        <v>0.2975</v>
      </c>
      <c r="AC648" s="76" t="n">
        <v>0.304</v>
      </c>
      <c r="AD648" s="76" t="n">
        <v>0.31</v>
      </c>
      <c r="AE648" s="76" t="n">
        <v>0.317</v>
      </c>
      <c r="AF648" s="76" t="n">
        <v>0.323</v>
      </c>
      <c r="AG648" s="76" t="n">
        <v>0.3295</v>
      </c>
      <c r="AH648" s="76" t="n">
        <v>0.333</v>
      </c>
      <c r="AI648" s="76" t="n">
        <v>0.337</v>
      </c>
      <c r="AJ648" s="76" t="n">
        <v>0.341</v>
      </c>
      <c r="AK648" s="76" t="n">
        <v>0.345</v>
      </c>
      <c r="AL648" s="76" t="n">
        <v>0.3485</v>
      </c>
      <c r="AM648" s="76" t="n">
        <v>0.3445</v>
      </c>
      <c r="AN648" s="76" t="n">
        <v>0.3405</v>
      </c>
      <c r="AO648" s="76" t="n">
        <v>0.336</v>
      </c>
      <c r="AP648" s="76" t="n">
        <v>0.3315</v>
      </c>
      <c r="AQ648" s="76" t="n">
        <v>0.3275</v>
      </c>
      <c r="AR648" s="76" t="n">
        <v>0.3357260273972603</v>
      </c>
    </row>
    <row r="649">
      <c r="A649" s="76" t="inlineStr">
        <is>
          <t>VA</t>
        </is>
      </c>
      <c r="B649" s="76" t="inlineStr">
        <is>
          <t>VA</t>
        </is>
      </c>
      <c r="C649" s="76" t="n">
        <v>0.2476923076923077</v>
      </c>
      <c r="D649" s="76" t="n">
        <v>0.2712857142857143</v>
      </c>
      <c r="E649" s="76" t="n">
        <v>0.2749285714285715</v>
      </c>
      <c r="F649" s="76" t="n">
        <v>0.2829473684210527</v>
      </c>
      <c r="G649" s="76" t="n">
        <v>0.2876842105263158</v>
      </c>
      <c r="H649" s="76" t="n">
        <v>0.2945714285714286</v>
      </c>
      <c r="I649" s="76" t="n">
        <v>0.3047142857142857</v>
      </c>
      <c r="J649" s="76" t="n">
        <v>0.298304347826087</v>
      </c>
      <c r="K649" s="76" t="n">
        <v>0.2985652173913044</v>
      </c>
      <c r="L649" s="76" t="n">
        <v>0.2994166666666667</v>
      </c>
      <c r="M649" s="76" t="n">
        <v>0.2925833333333333</v>
      </c>
      <c r="N649" s="76" t="n">
        <v>0.3045769230769231</v>
      </c>
      <c r="O649" s="76" t="n">
        <v>0.3079615384615385</v>
      </c>
      <c r="P649" s="76" t="n">
        <v>0.3034615384615385</v>
      </c>
      <c r="Q649" s="76" t="n">
        <v>0.2990384615384615</v>
      </c>
      <c r="R649" s="76" t="n">
        <v>0.299037037037037</v>
      </c>
      <c r="S649" s="76" t="n">
        <v>0.2948518518518519</v>
      </c>
      <c r="T649" s="76" t="n">
        <v>0.271896551724138</v>
      </c>
      <c r="U649" s="76" t="n">
        <v>0.2622068965517242</v>
      </c>
      <c r="V649" s="76" t="n">
        <v>0.2460689655172414</v>
      </c>
      <c r="W649" s="76" t="n">
        <v>0.2248620689655173</v>
      </c>
      <c r="X649" s="76" t="n">
        <v>0.2109666666666667</v>
      </c>
      <c r="Y649" s="76" t="n">
        <v>0.2066333333333333</v>
      </c>
      <c r="Z649" s="76" t="n">
        <v>0.1963548387096774</v>
      </c>
      <c r="AA649" s="76" t="n">
        <v>0.1945483870967742</v>
      </c>
      <c r="AB649" s="76" t="n">
        <v>0.1917241379310345</v>
      </c>
      <c r="AC649" s="76" t="n">
        <v>0.1793333333333333</v>
      </c>
      <c r="AD649" s="76" t="n">
        <v>0.1785333333333334</v>
      </c>
      <c r="AE649" s="76" t="n">
        <v>0.1779</v>
      </c>
      <c r="AF649" s="76" t="n">
        <v>0.1771333333333333</v>
      </c>
      <c r="AG649" s="76" t="n">
        <v>0.1765</v>
      </c>
      <c r="AH649" s="76" t="n">
        <v>0.1781666666666667</v>
      </c>
      <c r="AI649" s="76" t="n">
        <v>0.1797</v>
      </c>
      <c r="AJ649" s="76" t="n">
        <v>0.1815</v>
      </c>
      <c r="AK649" s="76" t="n">
        <v>0.1837333333333334</v>
      </c>
      <c r="AL649" s="76" t="n">
        <v>0.1868</v>
      </c>
      <c r="AM649" s="76" t="n">
        <v>0.1880333333333333</v>
      </c>
      <c r="AN649" s="76" t="n">
        <v>0.1892333333333333</v>
      </c>
      <c r="AO649" s="76" t="n">
        <v>0.1904</v>
      </c>
      <c r="AP649" s="76" t="n">
        <v>0.1914333333333333</v>
      </c>
      <c r="AQ649" s="76" t="n">
        <v>0.1924999999999999</v>
      </c>
      <c r="AR649" s="76" t="n">
        <v>0.2309495412844036</v>
      </c>
    </row>
    <row r="650">
      <c r="A650" s="76" t="inlineStr">
        <is>
          <t>VA</t>
        </is>
      </c>
      <c r="B650" s="76" t="inlineStr">
        <is>
          <t>Battery</t>
        </is>
      </c>
      <c r="C650" s="76" t="n"/>
      <c r="D650" s="76" t="n"/>
      <c r="E650" s="76" t="n"/>
      <c r="F650" s="76" t="n"/>
      <c r="G650" s="76" t="n"/>
      <c r="H650" s="76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>
        <v>-0.065</v>
      </c>
      <c r="U650" s="76" t="n">
        <v>-0.065</v>
      </c>
      <c r="V650" s="76" t="n">
        <v>-0.062</v>
      </c>
      <c r="W650" s="76" t="n">
        <v>-0.062</v>
      </c>
      <c r="X650" s="76" t="n">
        <v>-0.0645</v>
      </c>
      <c r="Y650" s="76" t="n">
        <v>-0.0655</v>
      </c>
      <c r="Z650" s="76" t="n">
        <v>-0.06133333333333333</v>
      </c>
      <c r="AA650" s="76" t="n">
        <v>-0.06033333333333333</v>
      </c>
      <c r="AB650" s="76" t="n">
        <v>-0.05933333333333333</v>
      </c>
      <c r="AC650" s="76" t="n">
        <v>-0.06675</v>
      </c>
      <c r="AD650" s="76" t="n">
        <v>-0.06825000000000001</v>
      </c>
      <c r="AE650" s="76" t="n">
        <v>-0.06925000000000001</v>
      </c>
      <c r="AF650" s="76" t="n">
        <v>-0.07050000000000001</v>
      </c>
      <c r="AG650" s="76" t="n">
        <v>-0.07100000000000001</v>
      </c>
      <c r="AH650" s="76" t="n">
        <v>-0.07050000000000001</v>
      </c>
      <c r="AI650" s="76" t="n">
        <v>-0.07025000000000001</v>
      </c>
      <c r="AJ650" s="76" t="n">
        <v>-0.07000000000000001</v>
      </c>
      <c r="AK650" s="76" t="n">
        <v>-0.06975000000000001</v>
      </c>
      <c r="AL650" s="76" t="n">
        <v>-0.06975000000000001</v>
      </c>
      <c r="AM650" s="76" t="n">
        <v>-0.06775</v>
      </c>
      <c r="AN650" s="76" t="n">
        <v>-0.06575</v>
      </c>
      <c r="AO650" s="76" t="n">
        <v>-0.06425</v>
      </c>
      <c r="AP650" s="76" t="n">
        <v>-0.06325</v>
      </c>
      <c r="AQ650" s="76" t="n">
        <v>-0.062</v>
      </c>
      <c r="AR650" s="76" t="n">
        <v>-0.06666233766233766</v>
      </c>
    </row>
    <row r="651">
      <c r="A651" s="76" t="inlineStr">
        <is>
          <t>VA</t>
        </is>
      </c>
      <c r="B651" s="76" t="inlineStr">
        <is>
          <t>Biopower</t>
        </is>
      </c>
      <c r="C651" s="76" t="n">
        <v>0.426</v>
      </c>
      <c r="D651" s="76" t="n">
        <v>0.461</v>
      </c>
      <c r="E651" s="76" t="n">
        <v>0.4485</v>
      </c>
      <c r="F651" s="76" t="n">
        <v>0.4355</v>
      </c>
      <c r="G651" s="76" t="n">
        <v>0.424</v>
      </c>
      <c r="H651" s="76" t="n">
        <v>0.4005</v>
      </c>
      <c r="I651" s="76" t="n">
        <v>0.377</v>
      </c>
      <c r="J651" s="76" t="n">
        <v>0.377</v>
      </c>
      <c r="K651" s="76" t="n">
        <v>0.377</v>
      </c>
      <c r="L651" s="76" t="n">
        <v>0.375</v>
      </c>
      <c r="M651" s="76" t="n">
        <v>0.373</v>
      </c>
      <c r="N651" s="76" t="n">
        <v>0.375</v>
      </c>
      <c r="O651" s="76" t="n">
        <v>0.377</v>
      </c>
      <c r="P651" s="76" t="n">
        <v>0.377</v>
      </c>
      <c r="Q651" s="76" t="n">
        <v>0.377</v>
      </c>
      <c r="R651" s="76" t="n">
        <v>0.377</v>
      </c>
      <c r="S651" s="76" t="n">
        <v>0.377</v>
      </c>
      <c r="T651" s="76" t="n">
        <v>0.377</v>
      </c>
      <c r="U651" s="76" t="n">
        <v>0.377</v>
      </c>
      <c r="V651" s="76" t="n">
        <v>0.377</v>
      </c>
      <c r="W651" s="76" t="n">
        <v>0.377</v>
      </c>
      <c r="X651" s="76" t="n">
        <v>0.377</v>
      </c>
      <c r="Y651" s="76" t="n">
        <v>0.377</v>
      </c>
      <c r="Z651" s="76" t="n">
        <v>0.373</v>
      </c>
      <c r="AA651" s="76" t="n">
        <v>0.3685</v>
      </c>
      <c r="AB651" s="76" t="n">
        <v>0.3645</v>
      </c>
      <c r="AC651" s="76" t="n">
        <v>0.359</v>
      </c>
      <c r="AD651" s="76" t="n">
        <v>0.353</v>
      </c>
      <c r="AE651" s="76" t="n">
        <v>0.3465</v>
      </c>
      <c r="AF651" s="76" t="n">
        <v>0.3395</v>
      </c>
      <c r="AG651" s="76" t="n">
        <v>0.3315</v>
      </c>
      <c r="AH651" s="76" t="n">
        <v>0.34</v>
      </c>
      <c r="AI651" s="76" t="n">
        <v>0.3505</v>
      </c>
      <c r="AJ651" s="76" t="n">
        <v>0.3655</v>
      </c>
      <c r="AK651" s="76" t="n">
        <v>0.388</v>
      </c>
      <c r="AL651" s="76" t="n">
        <v>0.4235</v>
      </c>
      <c r="AM651" s="76" t="n">
        <v>0.4165</v>
      </c>
      <c r="AN651" s="76" t="n">
        <v>0.4095</v>
      </c>
      <c r="AO651" s="76" t="n">
        <v>0.4025</v>
      </c>
      <c r="AP651" s="76" t="n">
        <v>0.3955</v>
      </c>
      <c r="AQ651" s="76" t="n">
        <v>0.388</v>
      </c>
      <c r="AR651" s="76" t="n">
        <v>0.3826790123456787</v>
      </c>
    </row>
    <row r="652">
      <c r="A652" s="76" t="inlineStr">
        <is>
          <t>VA</t>
        </is>
      </c>
      <c r="B652" s="76" t="inlineStr">
        <is>
          <t>Coal</t>
        </is>
      </c>
      <c r="C652" s="76" t="n">
        <v>0.5635</v>
      </c>
      <c r="D652" s="76" t="n">
        <v>0.46</v>
      </c>
      <c r="E652" s="76" t="n">
        <v>0.3705</v>
      </c>
      <c r="F652" s="76" t="n">
        <v>0.529</v>
      </c>
      <c r="G652" s="76" t="n">
        <v>0.6875</v>
      </c>
      <c r="H652" s="76" t="n">
        <v>0.6859999999999999</v>
      </c>
      <c r="I652" s="76" t="n">
        <v>0.6935</v>
      </c>
      <c r="J652" s="76" t="n">
        <v>0.7005</v>
      </c>
      <c r="K652" s="76" t="n">
        <v>0.708</v>
      </c>
      <c r="L652" s="76" t="n">
        <v>0.6445000000000001</v>
      </c>
      <c r="M652" s="76" t="n">
        <v>0.5635</v>
      </c>
      <c r="N652" s="76" t="n">
        <v>0.5895</v>
      </c>
      <c r="O652" s="76" t="n">
        <v>0.634</v>
      </c>
      <c r="P652" s="76" t="n">
        <v>0.6165</v>
      </c>
      <c r="Q652" s="76" t="n">
        <v>0.5985</v>
      </c>
      <c r="R652" s="76" t="n">
        <v>0.655</v>
      </c>
      <c r="S652" s="76" t="n">
        <v>0.7115</v>
      </c>
      <c r="T652" s="76" t="n">
        <v>0.7115</v>
      </c>
      <c r="U652" s="76" t="n">
        <v>0.7115</v>
      </c>
      <c r="V652" s="76" t="n">
        <v>0.547</v>
      </c>
      <c r="W652" s="76" t="n">
        <v>0.335</v>
      </c>
      <c r="X652" s="76" t="n">
        <v>0.272</v>
      </c>
      <c r="Y652" s="76" t="n">
        <v>0.208</v>
      </c>
      <c r="Z652" s="76" t="n">
        <v>0.208</v>
      </c>
      <c r="AA652" s="76" t="n">
        <v>0.208</v>
      </c>
      <c r="AB652" s="76" t="n"/>
      <c r="AC652" s="76" t="n"/>
      <c r="AD652" s="76" t="n"/>
      <c r="AE652" s="76" t="n"/>
      <c r="AF652" s="76" t="n"/>
      <c r="AG652" s="76" t="n"/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>
        <v>0.5444999999999999</v>
      </c>
    </row>
    <row r="653">
      <c r="A653" s="76" t="inlineStr">
        <is>
          <t>VA</t>
        </is>
      </c>
      <c r="B653" s="76" t="inlineStr">
        <is>
          <t>CSP</t>
        </is>
      </c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6" t="n"/>
      <c r="AC653" s="76" t="n"/>
      <c r="AD653" s="76" t="n"/>
      <c r="AE653" s="76" t="n"/>
      <c r="AF653" s="76" t="n"/>
      <c r="AG653" s="76" t="n"/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</row>
    <row r="654">
      <c r="A654" s="76" t="inlineStr">
        <is>
          <t>VA</t>
        </is>
      </c>
      <c r="B654" s="76" t="inlineStr">
        <is>
          <t>Dist PV</t>
        </is>
      </c>
      <c r="C654" s="76" t="n"/>
      <c r="D654" s="76" t="n"/>
      <c r="E654" s="76" t="n"/>
      <c r="F654" s="76" t="n">
        <v>0.1655</v>
      </c>
      <c r="G654" s="76" t="n">
        <v>0.1655</v>
      </c>
      <c r="H654" s="76" t="n">
        <v>0.1655</v>
      </c>
      <c r="I654" s="76" t="n">
        <v>0.1655</v>
      </c>
      <c r="J654" s="76" t="n">
        <v>0.1655</v>
      </c>
      <c r="K654" s="76" t="n">
        <v>0.1655</v>
      </c>
      <c r="L654" s="76" t="n">
        <v>0.1655</v>
      </c>
      <c r="M654" s="76" t="n">
        <v>0.1655</v>
      </c>
      <c r="N654" s="76" t="n">
        <v>0.1655</v>
      </c>
      <c r="O654" s="76" t="n">
        <v>0.1655</v>
      </c>
      <c r="P654" s="76" t="n">
        <v>0.1655</v>
      </c>
      <c r="Q654" s="76" t="n">
        <v>0.1655</v>
      </c>
      <c r="R654" s="76" t="n">
        <v>0.1655</v>
      </c>
      <c r="S654" s="76" t="n">
        <v>0.1655</v>
      </c>
      <c r="T654" s="76" t="n">
        <v>0.1655</v>
      </c>
      <c r="U654" s="76" t="n">
        <v>0.1655</v>
      </c>
      <c r="V654" s="76" t="n">
        <v>0.1655</v>
      </c>
      <c r="W654" s="76" t="n">
        <v>0.1655</v>
      </c>
      <c r="X654" s="76" t="n">
        <v>0.1655</v>
      </c>
      <c r="Y654" s="76" t="n">
        <v>0.1655</v>
      </c>
      <c r="Z654" s="76" t="n">
        <v>0.1655</v>
      </c>
      <c r="AA654" s="76" t="n">
        <v>0.1655</v>
      </c>
      <c r="AB654" s="76" t="n">
        <v>0.1655</v>
      </c>
      <c r="AC654" s="76" t="n">
        <v>0.1655</v>
      </c>
      <c r="AD654" s="76" t="n">
        <v>0.1655</v>
      </c>
      <c r="AE654" s="76" t="n">
        <v>0.1655</v>
      </c>
      <c r="AF654" s="76" t="n">
        <v>0.1655</v>
      </c>
      <c r="AG654" s="76" t="n">
        <v>0.1655</v>
      </c>
      <c r="AH654" s="76" t="n">
        <v>0.1655</v>
      </c>
      <c r="AI654" s="76" t="n">
        <v>0.1655</v>
      </c>
      <c r="AJ654" s="76" t="n">
        <v>0.1655</v>
      </c>
      <c r="AK654" s="76" t="n">
        <v>0.1655</v>
      </c>
      <c r="AL654" s="76" t="n">
        <v>0.1655</v>
      </c>
      <c r="AM654" s="76" t="n">
        <v>0.1655</v>
      </c>
      <c r="AN654" s="76" t="n">
        <v>0.1655</v>
      </c>
      <c r="AO654" s="76" t="n">
        <v>0.1655</v>
      </c>
      <c r="AP654" s="76" t="n">
        <v>0.1655</v>
      </c>
      <c r="AQ654" s="76" t="n">
        <v>0.1655</v>
      </c>
      <c r="AR654" s="76" t="n">
        <v>0.1654999999999998</v>
      </c>
    </row>
    <row r="655">
      <c r="A655" s="76" t="inlineStr">
        <is>
          <t>VA</t>
        </is>
      </c>
      <c r="B655" s="76" t="inlineStr">
        <is>
          <t>Gas CCGT</t>
        </is>
      </c>
      <c r="C655" s="76" t="n">
        <v>0.274</v>
      </c>
      <c r="D655" s="76" t="n">
        <v>0.494</v>
      </c>
      <c r="E655" s="76" t="n">
        <v>0.681</v>
      </c>
      <c r="F655" s="76" t="n">
        <v>0.6715</v>
      </c>
      <c r="G655" s="76" t="n">
        <v>0.6125</v>
      </c>
      <c r="H655" s="76" t="n">
        <v>0.7275</v>
      </c>
      <c r="I655" s="76" t="n">
        <v>0.8200000000000001</v>
      </c>
      <c r="J655" s="76" t="n">
        <v>0.8280000000000001</v>
      </c>
      <c r="K655" s="76" t="n">
        <v>0.833</v>
      </c>
      <c r="L655" s="76" t="n">
        <v>0.8325</v>
      </c>
      <c r="M655" s="76" t="n">
        <v>0.8325</v>
      </c>
      <c r="N655" s="76" t="n">
        <v>0.8335</v>
      </c>
      <c r="O655" s="76" t="n">
        <v>0.8345</v>
      </c>
      <c r="P655" s="76" t="n">
        <v>0.8015</v>
      </c>
      <c r="Q655" s="76" t="n">
        <v>0.769</v>
      </c>
      <c r="R655" s="76" t="n">
        <v>0.6555</v>
      </c>
      <c r="S655" s="76" t="n">
        <v>0.542</v>
      </c>
      <c r="T655" s="76" t="n">
        <v>0.4105</v>
      </c>
      <c r="U655" s="76" t="n">
        <v>0.2795</v>
      </c>
      <c r="V655" s="76" t="n">
        <v>0.21</v>
      </c>
      <c r="W655" s="76" t="n">
        <v>0.141</v>
      </c>
      <c r="X655" s="76" t="n">
        <v>0.1465</v>
      </c>
      <c r="Y655" s="76" t="n">
        <v>0.1525</v>
      </c>
      <c r="Z655" s="76" t="n">
        <v>0.145</v>
      </c>
      <c r="AA655" s="76" t="n">
        <v>0.1375</v>
      </c>
      <c r="AB655" s="76" t="n">
        <v>0.1305</v>
      </c>
      <c r="AC655" s="76" t="n">
        <v>0.134</v>
      </c>
      <c r="AD655" s="76" t="n">
        <v>0.1375</v>
      </c>
      <c r="AE655" s="76" t="n">
        <v>0.142</v>
      </c>
      <c r="AF655" s="76" t="n">
        <v>0.1455</v>
      </c>
      <c r="AG655" s="76" t="n">
        <v>0.149</v>
      </c>
      <c r="AH655" s="76" t="n">
        <v>0.1555</v>
      </c>
      <c r="AI655" s="76" t="n">
        <v>0.162</v>
      </c>
      <c r="AJ655" s="76" t="n">
        <v>0.168</v>
      </c>
      <c r="AK655" s="76" t="n">
        <v>0.174</v>
      </c>
      <c r="AL655" s="76" t="n">
        <v>0.1805</v>
      </c>
      <c r="AM655" s="76" t="n">
        <v>0.1865</v>
      </c>
      <c r="AN655" s="76" t="n">
        <v>0.192</v>
      </c>
      <c r="AO655" s="76" t="n">
        <v>0.198</v>
      </c>
      <c r="AP655" s="76" t="n">
        <v>0.2035</v>
      </c>
      <c r="AQ655" s="76" t="n">
        <v>0.2095</v>
      </c>
      <c r="AR655" s="76" t="n">
        <v>0.3951518987341771</v>
      </c>
    </row>
    <row r="656">
      <c r="A656" s="76" t="inlineStr">
        <is>
          <t>VA</t>
        </is>
      </c>
      <c r="B656" s="76" t="inlineStr">
        <is>
          <t>Gas CT</t>
        </is>
      </c>
      <c r="C656" s="76" t="n">
        <v>0.004</v>
      </c>
      <c r="D656" s="76" t="n">
        <v>0.004</v>
      </c>
      <c r="E656" s="76" t="n">
        <v>0.004</v>
      </c>
      <c r="F656" s="76" t="n">
        <v>0.004</v>
      </c>
      <c r="G656" s="76" t="n">
        <v>0.004</v>
      </c>
      <c r="H656" s="76" t="n">
        <v>0.004</v>
      </c>
      <c r="I656" s="76" t="n">
        <v>0.004</v>
      </c>
      <c r="J656" s="76" t="n">
        <v>0.004</v>
      </c>
      <c r="K656" s="76" t="n">
        <v>0.004</v>
      </c>
      <c r="L656" s="76" t="n">
        <v>0.004</v>
      </c>
      <c r="M656" s="76" t="n">
        <v>0.004</v>
      </c>
      <c r="N656" s="76" t="n">
        <v>0.004</v>
      </c>
      <c r="O656" s="76" t="n">
        <v>0.004</v>
      </c>
      <c r="P656" s="76" t="n">
        <v>0.002</v>
      </c>
      <c r="Q656" s="76" t="n">
        <v>0.0005</v>
      </c>
      <c r="R656" s="76" t="n">
        <v>0.0005</v>
      </c>
      <c r="S656" s="76" t="n">
        <v>0</v>
      </c>
      <c r="T656" s="76" t="n">
        <v>0</v>
      </c>
      <c r="U656" s="76" t="n">
        <v>0</v>
      </c>
      <c r="V656" s="76" t="n">
        <v>0</v>
      </c>
      <c r="W656" s="76" t="n">
        <v>0</v>
      </c>
      <c r="X656" s="76" t="n">
        <v>0</v>
      </c>
      <c r="Y656" s="76" t="n">
        <v>0</v>
      </c>
      <c r="Z656" s="76" t="n">
        <v>0</v>
      </c>
      <c r="AA656" s="76" t="n">
        <v>0</v>
      </c>
      <c r="AB656" s="76" t="n">
        <v>0</v>
      </c>
      <c r="AC656" s="76" t="n">
        <v>0</v>
      </c>
      <c r="AD656" s="76" t="n">
        <v>0</v>
      </c>
      <c r="AE656" s="76" t="n">
        <v>0</v>
      </c>
      <c r="AF656" s="76" t="n">
        <v>0</v>
      </c>
      <c r="AG656" s="76" t="n">
        <v>0</v>
      </c>
      <c r="AH656" s="76" t="n">
        <v>0</v>
      </c>
      <c r="AI656" s="76" t="n">
        <v>0</v>
      </c>
      <c r="AJ656" s="76" t="n">
        <v>0</v>
      </c>
      <c r="AK656" s="76" t="n">
        <v>0</v>
      </c>
      <c r="AL656" s="76" t="n">
        <v>0</v>
      </c>
      <c r="AM656" s="76" t="n">
        <v>0</v>
      </c>
      <c r="AN656" s="76" t="n">
        <v>0</v>
      </c>
      <c r="AO656" s="76" t="n">
        <v>0</v>
      </c>
      <c r="AP656" s="76" t="n">
        <v>0</v>
      </c>
      <c r="AQ656" s="76" t="n">
        <v>0</v>
      </c>
      <c r="AR656" s="76" t="n">
        <v>0.001341463414634147</v>
      </c>
    </row>
    <row r="657">
      <c r="A657" s="76" t="inlineStr">
        <is>
          <t>VA</t>
        </is>
      </c>
      <c r="B657" s="76" t="inlineStr">
        <is>
          <t>Geothermal</t>
        </is>
      </c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  <c r="AA657" s="76" t="n"/>
      <c r="AB657" s="76" t="n"/>
      <c r="AC657" s="76" t="n"/>
      <c r="AD657" s="76" t="n"/>
      <c r="AE657" s="76" t="n"/>
      <c r="AF657" s="76" t="n"/>
      <c r="AG657" s="76" t="n"/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</row>
    <row r="658">
      <c r="A658" s="76" t="inlineStr">
        <is>
          <t>VA</t>
        </is>
      </c>
      <c r="B658" s="76" t="inlineStr">
        <is>
          <t>Hydro</t>
        </is>
      </c>
      <c r="C658" s="76" t="n">
        <v>0.161</v>
      </c>
      <c r="D658" s="76" t="n">
        <v>0.184</v>
      </c>
      <c r="E658" s="76" t="n">
        <v>0.2066666666666667</v>
      </c>
      <c r="F658" s="76" t="n">
        <v>0.165</v>
      </c>
      <c r="G658" s="76" t="n">
        <v>0.1236666666666667</v>
      </c>
      <c r="H658" s="76" t="n">
        <v>0.1526666666666666</v>
      </c>
      <c r="I658" s="76" t="n">
        <v>0.1816666666666667</v>
      </c>
      <c r="J658" s="76" t="n">
        <v>0.179</v>
      </c>
      <c r="K658" s="76" t="n">
        <v>0.1766666666666667</v>
      </c>
      <c r="L658" s="76" t="n">
        <v>0.1786666666666667</v>
      </c>
      <c r="M658" s="76" t="n">
        <v>0.1803333333333333</v>
      </c>
      <c r="N658" s="76" t="n">
        <v>0.1803333333333333</v>
      </c>
      <c r="O658" s="76" t="n">
        <v>0.1806666666666667</v>
      </c>
      <c r="P658" s="76" t="n">
        <v>0.1793333333333333</v>
      </c>
      <c r="Q658" s="76" t="n">
        <v>0.178</v>
      </c>
      <c r="R658" s="76" t="n">
        <v>0.1796666666666667</v>
      </c>
      <c r="S658" s="76" t="n">
        <v>0.1813333333333333</v>
      </c>
      <c r="T658" s="76" t="n">
        <v>0.181</v>
      </c>
      <c r="U658" s="76" t="n">
        <v>0.1806666666666667</v>
      </c>
      <c r="V658" s="76" t="n">
        <v>0.1713333333333333</v>
      </c>
      <c r="W658" s="76" t="n">
        <v>0.1623333333333333</v>
      </c>
      <c r="X658" s="76" t="n">
        <v>0.1586666666666667</v>
      </c>
      <c r="Y658" s="76" t="n">
        <v>0.1553333333333334</v>
      </c>
      <c r="Z658" s="76" t="n">
        <v>0.1556666666666667</v>
      </c>
      <c r="AA658" s="76" t="n">
        <v>0.1563333333333334</v>
      </c>
      <c r="AB658" s="76" t="n">
        <v>0.1566666666666667</v>
      </c>
      <c r="AC658" s="76" t="n">
        <v>0.1556666666666667</v>
      </c>
      <c r="AD658" s="76" t="n">
        <v>0.1553333333333334</v>
      </c>
      <c r="AE658" s="76" t="n">
        <v>0.155</v>
      </c>
      <c r="AF658" s="76" t="n">
        <v>0.1543333333333334</v>
      </c>
      <c r="AG658" s="76" t="n">
        <v>0.154</v>
      </c>
      <c r="AH658" s="76" t="n">
        <v>0.1556666666666667</v>
      </c>
      <c r="AI658" s="76" t="n">
        <v>0.1566666666666667</v>
      </c>
      <c r="AJ658" s="76" t="n">
        <v>0.1583333333333334</v>
      </c>
      <c r="AK658" s="76" t="n">
        <v>0.1596666666666667</v>
      </c>
      <c r="AL658" s="76" t="n">
        <v>0.161</v>
      </c>
      <c r="AM658" s="76" t="n">
        <v>0.165</v>
      </c>
      <c r="AN658" s="76" t="n">
        <v>0.1686666666666667</v>
      </c>
      <c r="AO658" s="76" t="n">
        <v>0.1726666666666667</v>
      </c>
      <c r="AP658" s="76" t="n">
        <v>0.1763333333333333</v>
      </c>
      <c r="AQ658" s="76" t="n">
        <v>0.1803333333333333</v>
      </c>
      <c r="AR658" s="76" t="n">
        <v>0.167691056910569</v>
      </c>
    </row>
    <row r="659">
      <c r="A659" s="76" t="inlineStr">
        <is>
          <t>VA</t>
        </is>
      </c>
      <c r="B659" s="76" t="inlineStr">
        <is>
          <t>Nuclear</t>
        </is>
      </c>
      <c r="C659" s="76" t="n">
        <v>0.902</v>
      </c>
      <c r="D659" s="76" t="n">
        <v>0.902</v>
      </c>
      <c r="E659" s="76" t="n">
        <v>0.902</v>
      </c>
      <c r="F659" s="76" t="n">
        <v>0.902</v>
      </c>
      <c r="G659" s="76" t="n">
        <v>0.902</v>
      </c>
      <c r="H659" s="76" t="n">
        <v>0.902</v>
      </c>
      <c r="I659" s="76" t="n">
        <v>0.902</v>
      </c>
      <c r="J659" s="76" t="n">
        <v>0.902</v>
      </c>
      <c r="K659" s="76" t="n">
        <v>0.902</v>
      </c>
      <c r="L659" s="76" t="n">
        <v>0.902</v>
      </c>
      <c r="M659" s="76" t="n">
        <v>0.902</v>
      </c>
      <c r="N659" s="76" t="n">
        <v>0.902</v>
      </c>
      <c r="O659" s="76" t="n">
        <v>0.902</v>
      </c>
      <c r="P659" s="76" t="n">
        <v>0.902</v>
      </c>
      <c r="Q659" s="76" t="n">
        <v>0.902</v>
      </c>
      <c r="R659" s="76" t="n">
        <v>0.902</v>
      </c>
      <c r="S659" s="76" t="n">
        <v>0.902</v>
      </c>
      <c r="T659" s="76" t="n">
        <v>0.902</v>
      </c>
      <c r="U659" s="76" t="n">
        <v>0.902</v>
      </c>
      <c r="V659" s="76" t="n">
        <v>0.902</v>
      </c>
      <c r="W659" s="76" t="n">
        <v>0.902</v>
      </c>
      <c r="X659" s="76" t="n">
        <v>0.902</v>
      </c>
      <c r="Y659" s="76" t="n">
        <v>0.902</v>
      </c>
      <c r="Z659" s="76" t="n">
        <v>0.902</v>
      </c>
      <c r="AA659" s="76" t="n">
        <v>0.902</v>
      </c>
      <c r="AB659" s="76" t="n">
        <v>0.902</v>
      </c>
      <c r="AC659" s="76" t="n">
        <v>0.902</v>
      </c>
      <c r="AD659" s="76" t="n">
        <v>0.902</v>
      </c>
      <c r="AE659" s="76" t="n">
        <v>0.902</v>
      </c>
      <c r="AF659" s="76" t="n">
        <v>0.902</v>
      </c>
      <c r="AG659" s="76" t="n">
        <v>0.902</v>
      </c>
      <c r="AH659" s="76" t="n">
        <v>0.902</v>
      </c>
      <c r="AI659" s="76" t="n">
        <v>0.902</v>
      </c>
      <c r="AJ659" s="76" t="n">
        <v>0.902</v>
      </c>
      <c r="AK659" s="76" t="n">
        <v>0.902</v>
      </c>
      <c r="AL659" s="76" t="n">
        <v>0.902</v>
      </c>
      <c r="AM659" s="76" t="n">
        <v>0.893</v>
      </c>
      <c r="AN659" s="76" t="n">
        <v>0.883</v>
      </c>
      <c r="AO659" s="76" t="n">
        <v>0.874</v>
      </c>
      <c r="AP659" s="76" t="n">
        <v>0.864</v>
      </c>
      <c r="AQ659" s="76" t="n">
        <v>0.854</v>
      </c>
      <c r="AR659" s="76" t="n">
        <v>0.8985365853658539</v>
      </c>
    </row>
    <row r="660">
      <c r="A660" s="76" t="inlineStr">
        <is>
          <t>VA</t>
        </is>
      </c>
      <c r="B660" s="76" t="inlineStr">
        <is>
          <t>Other</t>
        </is>
      </c>
      <c r="C660" s="76" t="n">
        <v>0</v>
      </c>
      <c r="D660" s="76" t="n">
        <v>0</v>
      </c>
      <c r="E660" s="76" t="n">
        <v>0</v>
      </c>
      <c r="F660" s="76" t="n">
        <v>0.01233333333333333</v>
      </c>
      <c r="G660" s="76" t="n">
        <v>0.025</v>
      </c>
      <c r="H660" s="76" t="n">
        <v>0.01633333333333334</v>
      </c>
      <c r="I660" s="76" t="n">
        <v>0.007333333333333333</v>
      </c>
      <c r="J660" s="76" t="n">
        <v>0.003666666666666667</v>
      </c>
      <c r="K660" s="76" t="n">
        <v>0</v>
      </c>
      <c r="L660" s="76" t="n">
        <v>0</v>
      </c>
      <c r="M660" s="76" t="n">
        <v>0</v>
      </c>
      <c r="N660" s="76" t="n">
        <v>0</v>
      </c>
      <c r="O660" s="76" t="n">
        <v>0</v>
      </c>
      <c r="P660" s="76" t="n">
        <v>0</v>
      </c>
      <c r="Q660" s="76" t="n">
        <v>0</v>
      </c>
      <c r="R660" s="76" t="n">
        <v>0</v>
      </c>
      <c r="S660" s="76" t="n">
        <v>0</v>
      </c>
      <c r="T660" s="76" t="n">
        <v>0</v>
      </c>
      <c r="U660" s="76" t="n">
        <v>0</v>
      </c>
      <c r="V660" s="76" t="n">
        <v>0</v>
      </c>
      <c r="W660" s="76" t="n">
        <v>0</v>
      </c>
      <c r="X660" s="76" t="n">
        <v>0</v>
      </c>
      <c r="Y660" s="76" t="n">
        <v>0</v>
      </c>
      <c r="Z660" s="76" t="n">
        <v>0</v>
      </c>
      <c r="AA660" s="76" t="n">
        <v>0</v>
      </c>
      <c r="AB660" s="76" t="n">
        <v>0</v>
      </c>
      <c r="AC660" s="76" t="n">
        <v>0</v>
      </c>
      <c r="AD660" s="76" t="n">
        <v>0</v>
      </c>
      <c r="AE660" s="76" t="n">
        <v>0</v>
      </c>
      <c r="AF660" s="76" t="n">
        <v>0</v>
      </c>
      <c r="AG660" s="76" t="n">
        <v>0</v>
      </c>
      <c r="AH660" s="76" t="n">
        <v>0</v>
      </c>
      <c r="AI660" s="76" t="n">
        <v>0</v>
      </c>
      <c r="AJ660" s="76" t="n">
        <v>0</v>
      </c>
      <c r="AK660" s="76" t="n">
        <v>0</v>
      </c>
      <c r="AL660" s="76" t="n">
        <v>0</v>
      </c>
      <c r="AM660" s="76" t="n">
        <v>0</v>
      </c>
      <c r="AN660" s="76" t="n">
        <v>0</v>
      </c>
      <c r="AO660" s="76" t="n">
        <v>0</v>
      </c>
      <c r="AP660" s="76" t="n">
        <v>0</v>
      </c>
      <c r="AQ660" s="76" t="n">
        <v>0</v>
      </c>
      <c r="AR660" s="76" t="n">
        <v>0.001577235772357723</v>
      </c>
    </row>
    <row r="661">
      <c r="A661" s="76" t="inlineStr">
        <is>
          <t>VA</t>
        </is>
      </c>
      <c r="B661" s="76" t="inlineStr">
        <is>
          <t>Utility PV</t>
        </is>
      </c>
      <c r="C661" s="76" t="n"/>
      <c r="D661" s="76" t="n"/>
      <c r="E661" s="76" t="n"/>
      <c r="F661" s="76" t="n"/>
      <c r="G661" s="76" t="n"/>
      <c r="H661" s="76" t="n">
        <v>0.2395</v>
      </c>
      <c r="I661" s="76" t="n">
        <v>0.2395</v>
      </c>
      <c r="J661" s="76" t="n">
        <v>0.2325</v>
      </c>
      <c r="K661" s="76" t="n">
        <v>0.23225</v>
      </c>
      <c r="L661" s="76" t="n">
        <v>0.23275</v>
      </c>
      <c r="M661" s="76" t="n">
        <v>0.232</v>
      </c>
      <c r="N661" s="76" t="n">
        <v>0.22975</v>
      </c>
      <c r="O661" s="76" t="n">
        <v>0.22875</v>
      </c>
      <c r="P661" s="76" t="n">
        <v>0.228</v>
      </c>
      <c r="Q661" s="76" t="n">
        <v>0.22725</v>
      </c>
      <c r="R661" s="76" t="n">
        <v>0.228</v>
      </c>
      <c r="S661" s="76" t="n">
        <v>0.228</v>
      </c>
      <c r="T661" s="76" t="n">
        <v>0.2265</v>
      </c>
      <c r="U661" s="76" t="n">
        <v>0.225</v>
      </c>
      <c r="V661" s="76" t="n">
        <v>0.225</v>
      </c>
      <c r="W661" s="76" t="n">
        <v>0.2245</v>
      </c>
      <c r="X661" s="76" t="n">
        <v>0.22175</v>
      </c>
      <c r="Y661" s="76" t="n">
        <v>0.2185</v>
      </c>
      <c r="Z661" s="76" t="n">
        <v>0.22</v>
      </c>
      <c r="AA661" s="76" t="n">
        <v>0.2205</v>
      </c>
      <c r="AB661" s="76" t="n">
        <v>0.2205</v>
      </c>
      <c r="AC661" s="76" t="n">
        <v>0.2195</v>
      </c>
      <c r="AD661" s="76" t="n">
        <v>0.2185</v>
      </c>
      <c r="AE661" s="76" t="n">
        <v>0.21725</v>
      </c>
      <c r="AF661" s="76" t="n">
        <v>0.21625</v>
      </c>
      <c r="AG661" s="76" t="n">
        <v>0.2155</v>
      </c>
      <c r="AH661" s="76" t="n">
        <v>0.21425</v>
      </c>
      <c r="AI661" s="76" t="n">
        <v>0.21325</v>
      </c>
      <c r="AJ661" s="76" t="n">
        <v>0.21225</v>
      </c>
      <c r="AK661" s="76" t="n">
        <v>0.21125</v>
      </c>
      <c r="AL661" s="76" t="n">
        <v>0.21025</v>
      </c>
      <c r="AM661" s="76" t="n">
        <v>0.20975</v>
      </c>
      <c r="AN661" s="76" t="n">
        <v>0.20925</v>
      </c>
      <c r="AO661" s="76" t="n">
        <v>0.20875</v>
      </c>
      <c r="AP661" s="76" t="n">
        <v>0.20825</v>
      </c>
      <c r="AQ661" s="76" t="n">
        <v>0.20725</v>
      </c>
      <c r="AR661" s="76" t="n">
        <v>0.2209285714285714</v>
      </c>
    </row>
    <row r="662">
      <c r="A662" s="76" t="inlineStr">
        <is>
          <t>VA</t>
        </is>
      </c>
      <c r="B662" s="76" t="inlineStr">
        <is>
          <t>Wind offshore</t>
        </is>
      </c>
      <c r="C662" s="76" t="n"/>
      <c r="D662" s="76" t="n"/>
      <c r="E662" s="76" t="n"/>
      <c r="F662" s="76" t="n"/>
      <c r="G662" s="76" t="n"/>
      <c r="H662" s="76" t="n"/>
      <c r="I662" s="76" t="n"/>
      <c r="J662" s="76" t="n"/>
      <c r="K662" s="76" t="n"/>
      <c r="L662" s="76" t="n"/>
      <c r="M662" s="76" t="n"/>
      <c r="N662" s="76" t="n">
        <v>0.426</v>
      </c>
      <c r="O662" s="76" t="n">
        <v>0.426</v>
      </c>
      <c r="P662" s="76" t="n">
        <v>0.426</v>
      </c>
      <c r="Q662" s="76" t="n">
        <v>0.426</v>
      </c>
      <c r="R662" s="76" t="n">
        <v>0.426</v>
      </c>
      <c r="S662" s="76" t="n">
        <v>0.426</v>
      </c>
      <c r="T662" s="76" t="n">
        <v>0.426</v>
      </c>
      <c r="U662" s="76" t="n">
        <v>0.426</v>
      </c>
      <c r="V662" s="76" t="n">
        <v>0.417</v>
      </c>
      <c r="W662" s="76" t="n">
        <v>0.408</v>
      </c>
      <c r="X662" s="76" t="n">
        <v>0.417</v>
      </c>
      <c r="Y662" s="76" t="n">
        <v>0.426</v>
      </c>
      <c r="Z662" s="76" t="n">
        <v>0.414</v>
      </c>
      <c r="AA662" s="76" t="n">
        <v>0.403</v>
      </c>
      <c r="AB662" s="76" t="n">
        <v>0.391</v>
      </c>
      <c r="AC662" s="76" t="n">
        <v>0.316</v>
      </c>
      <c r="AD662" s="76" t="n">
        <v>0.312</v>
      </c>
      <c r="AE662" s="76" t="n">
        <v>0.311</v>
      </c>
      <c r="AF662" s="76" t="n">
        <v>0.31</v>
      </c>
      <c r="AG662" s="76" t="n">
        <v>0.31</v>
      </c>
      <c r="AH662" s="76" t="n">
        <v>0.322</v>
      </c>
      <c r="AI662" s="76" t="n">
        <v>0.33</v>
      </c>
      <c r="AJ662" s="76" t="n">
        <v>0.337</v>
      </c>
      <c r="AK662" s="76" t="n">
        <v>0.342</v>
      </c>
      <c r="AL662" s="76" t="n">
        <v>0.346</v>
      </c>
      <c r="AM662" s="76" t="n">
        <v>0.366</v>
      </c>
      <c r="AN662" s="76" t="n">
        <v>0.386</v>
      </c>
      <c r="AO662" s="76" t="n">
        <v>0.405</v>
      </c>
      <c r="AP662" s="76" t="n">
        <v>0.425</v>
      </c>
      <c r="AQ662" s="76" t="n">
        <v>0.445</v>
      </c>
      <c r="AR662" s="76" t="n">
        <v>0.3849</v>
      </c>
    </row>
    <row r="663">
      <c r="A663" s="76" t="inlineStr">
        <is>
          <t>VA</t>
        </is>
      </c>
      <c r="B663" s="76" t="inlineStr">
        <is>
          <t>Wind onshore</t>
        </is>
      </c>
      <c r="C663" s="76" t="n"/>
      <c r="D663" s="76" t="n"/>
      <c r="E663" s="76" t="n"/>
      <c r="F663" s="76" t="n"/>
      <c r="G663" s="76" t="n"/>
      <c r="H663" s="76" t="n"/>
      <c r="I663" s="76" t="n"/>
      <c r="J663" s="76" t="n"/>
      <c r="K663" s="76" t="n"/>
      <c r="L663" s="76" t="n">
        <v>0.443</v>
      </c>
      <c r="M663" s="76" t="n">
        <v>0.443</v>
      </c>
      <c r="N663" s="76" t="n">
        <v>0.4325</v>
      </c>
      <c r="O663" s="76" t="n">
        <v>0.4305</v>
      </c>
      <c r="P663" s="76" t="n">
        <v>0.428</v>
      </c>
      <c r="Q663" s="76" t="n">
        <v>0.426</v>
      </c>
      <c r="R663" s="76" t="n">
        <v>0.419</v>
      </c>
      <c r="S663" s="76" t="n">
        <v>0.418</v>
      </c>
      <c r="T663" s="76" t="n">
        <v>0.37825</v>
      </c>
      <c r="U663" s="76" t="n">
        <v>0.37525</v>
      </c>
      <c r="V663" s="76" t="n">
        <v>0.38375</v>
      </c>
      <c r="W663" s="76" t="n">
        <v>0.38</v>
      </c>
      <c r="X663" s="76" t="n">
        <v>0.38075</v>
      </c>
      <c r="Y663" s="76" t="n">
        <v>0.38125</v>
      </c>
      <c r="Z663" s="76" t="n">
        <v>0.3735</v>
      </c>
      <c r="AA663" s="76" t="n">
        <v>0.3665</v>
      </c>
      <c r="AB663" s="76" t="n">
        <v>0.36025</v>
      </c>
      <c r="AC663" s="76" t="n">
        <v>0.359</v>
      </c>
      <c r="AD663" s="76" t="n">
        <v>0.358</v>
      </c>
      <c r="AE663" s="76" t="n">
        <v>0.357</v>
      </c>
      <c r="AF663" s="76" t="n">
        <v>0.356</v>
      </c>
      <c r="AG663" s="76" t="n">
        <v>0.355</v>
      </c>
      <c r="AH663" s="76" t="n">
        <v>0.3565</v>
      </c>
      <c r="AI663" s="76" t="n">
        <v>0.3575</v>
      </c>
      <c r="AJ663" s="76" t="n">
        <v>0.35825</v>
      </c>
      <c r="AK663" s="76" t="n">
        <v>0.35925</v>
      </c>
      <c r="AL663" s="76" t="n">
        <v>0.36025</v>
      </c>
      <c r="AM663" s="76" t="n">
        <v>0.36275</v>
      </c>
      <c r="AN663" s="76" t="n">
        <v>0.36575</v>
      </c>
      <c r="AO663" s="76" t="n">
        <v>0.3685</v>
      </c>
      <c r="AP663" s="76" t="n">
        <v>0.37125</v>
      </c>
      <c r="AQ663" s="76" t="n">
        <v>0.37425</v>
      </c>
      <c r="AR663" s="76" t="n">
        <v>0.3752321428571427</v>
      </c>
    </row>
    <row r="664">
      <c r="A664" s="76" t="inlineStr">
        <is>
          <t>VT</t>
        </is>
      </c>
      <c r="B664" s="76" t="inlineStr">
        <is>
          <t>VT</t>
        </is>
      </c>
      <c r="C664" s="76" t="n">
        <v>0.401</v>
      </c>
      <c r="D664" s="76" t="n">
        <v>0.3525714285714286</v>
      </c>
      <c r="E664" s="76" t="n">
        <v>0.3195714285714286</v>
      </c>
      <c r="F664" s="76" t="n">
        <v>0.35</v>
      </c>
      <c r="G664" s="76" t="n">
        <v>0.3828571428571428</v>
      </c>
      <c r="H664" s="76" t="n">
        <v>0.304625</v>
      </c>
      <c r="I664" s="76" t="n">
        <v>0.274375</v>
      </c>
      <c r="J664" s="76" t="n">
        <v>0.2745</v>
      </c>
      <c r="K664" s="76" t="n">
        <v>0.2745</v>
      </c>
      <c r="L664" s="76" t="n">
        <v>0.27225</v>
      </c>
      <c r="M664" s="76" t="n">
        <v>0.27</v>
      </c>
      <c r="N664" s="76" t="n">
        <v>0.272875</v>
      </c>
      <c r="O664" s="76" t="n">
        <v>0.274</v>
      </c>
      <c r="P664" s="76" t="n">
        <v>0.272875</v>
      </c>
      <c r="Q664" s="76" t="n">
        <v>0.271625</v>
      </c>
      <c r="R664" s="76" t="n">
        <v>0.271625</v>
      </c>
      <c r="S664" s="76" t="n">
        <v>0.271625</v>
      </c>
      <c r="T664" s="76" t="n">
        <v>0.2685</v>
      </c>
      <c r="U664" s="76" t="n">
        <v>0.265375</v>
      </c>
      <c r="V664" s="76" t="n">
        <v>0.26625</v>
      </c>
      <c r="W664" s="76" t="n">
        <v>0.267125</v>
      </c>
      <c r="X664" s="76" t="n">
        <v>0.267125</v>
      </c>
      <c r="Y664" s="76" t="n">
        <v>0.313</v>
      </c>
      <c r="Z664" s="76" t="n">
        <v>0.3137142857142857</v>
      </c>
      <c r="AA664" s="76" t="n">
        <v>0.3162857142857143</v>
      </c>
      <c r="AB664" s="76" t="n">
        <v>0.3842857142857143</v>
      </c>
      <c r="AC664" s="76" t="n">
        <v>0.326625</v>
      </c>
      <c r="AD664" s="76" t="n">
        <v>0.325875</v>
      </c>
      <c r="AE664" s="76" t="n">
        <v>0.325125</v>
      </c>
      <c r="AF664" s="76" t="n">
        <v>0.3245</v>
      </c>
      <c r="AG664" s="76" t="n">
        <v>0.324</v>
      </c>
      <c r="AH664" s="76" t="n">
        <v>0.32375</v>
      </c>
      <c r="AI664" s="76" t="n">
        <v>0.3235</v>
      </c>
      <c r="AJ664" s="76" t="n">
        <v>0.32325</v>
      </c>
      <c r="AK664" s="76" t="n">
        <v>0.323</v>
      </c>
      <c r="AL664" s="76" t="n">
        <v>0.3225</v>
      </c>
      <c r="AM664" s="76" t="n">
        <v>0.323375</v>
      </c>
      <c r="AN664" s="76" t="n">
        <v>0.324</v>
      </c>
      <c r="AO664" s="76" t="n">
        <v>0.3246249999999999</v>
      </c>
      <c r="AP664" s="76" t="n">
        <v>0.325375</v>
      </c>
      <c r="AQ664" s="76" t="n">
        <v>0.3265</v>
      </c>
      <c r="AR664" s="76" t="n">
        <v>0.3068364779874215</v>
      </c>
    </row>
    <row r="665">
      <c r="A665" s="76" t="inlineStr">
        <is>
          <t>VT</t>
        </is>
      </c>
      <c r="B665" s="76" t="inlineStr">
        <is>
          <t>Battery</t>
        </is>
      </c>
      <c r="C665" s="76" t="n"/>
      <c r="D665" s="76" t="n"/>
      <c r="E665" s="76" t="n"/>
      <c r="F665" s="76" t="n"/>
      <c r="G665" s="76" t="n"/>
      <c r="H665" s="76" t="n">
        <v>-0.001</v>
      </c>
      <c r="I665" s="76" t="n">
        <v>-0.001</v>
      </c>
      <c r="J665" s="76" t="n">
        <v>0</v>
      </c>
      <c r="K665" s="76" t="n">
        <v>0</v>
      </c>
      <c r="L665" s="76" t="n">
        <v>0</v>
      </c>
      <c r="M665" s="76" t="n">
        <v>0</v>
      </c>
      <c r="N665" s="76" t="n">
        <v>-0.002</v>
      </c>
      <c r="O665" s="76" t="n">
        <v>-0.004</v>
      </c>
      <c r="P665" s="76" t="n">
        <v>-0.012</v>
      </c>
      <c r="Q665" s="76" t="n">
        <v>-0.02</v>
      </c>
      <c r="R665" s="76" t="n">
        <v>-0.018</v>
      </c>
      <c r="S665" s="76" t="n">
        <v>-0.016</v>
      </c>
      <c r="T665" s="76" t="n">
        <v>-0.042</v>
      </c>
      <c r="U665" s="76" t="n">
        <v>-0.067</v>
      </c>
      <c r="V665" s="76" t="n">
        <v>-0.061</v>
      </c>
      <c r="W665" s="76" t="n">
        <v>-0.055</v>
      </c>
      <c r="X665" s="76" t="n">
        <v>-0.055</v>
      </c>
      <c r="Y665" s="76" t="n"/>
      <c r="Z665" s="76" t="n"/>
      <c r="AA665" s="76" t="n"/>
      <c r="AB665" s="76" t="n"/>
      <c r="AC665" s="76" t="n">
        <v>-0.07000000000000001</v>
      </c>
      <c r="AD665" s="76" t="n">
        <v>-0.07000000000000001</v>
      </c>
      <c r="AE665" s="76" t="n">
        <v>-0.07000000000000001</v>
      </c>
      <c r="AF665" s="76" t="n">
        <v>-0.07000000000000001</v>
      </c>
      <c r="AG665" s="76" t="n">
        <v>-0.07000000000000001</v>
      </c>
      <c r="AH665" s="76" t="n">
        <v>-0.07199999999999999</v>
      </c>
      <c r="AI665" s="76" t="n">
        <v>-0.073</v>
      </c>
      <c r="AJ665" s="76" t="n">
        <v>-0.074</v>
      </c>
      <c r="AK665" s="76" t="n">
        <v>-0.075</v>
      </c>
      <c r="AL665" s="76" t="n">
        <v>-0.076</v>
      </c>
      <c r="AM665" s="76" t="n">
        <v>-0.073</v>
      </c>
      <c r="AN665" s="76" t="n">
        <v>-0.07099999999999999</v>
      </c>
      <c r="AO665" s="76" t="n">
        <v>-0.06900000000000001</v>
      </c>
      <c r="AP665" s="76" t="n">
        <v>-0.067</v>
      </c>
      <c r="AQ665" s="76" t="n">
        <v>-0.065</v>
      </c>
      <c r="AR665" s="76" t="n">
        <v>-0.04434374999999999</v>
      </c>
    </row>
    <row r="666">
      <c r="A666" s="76" t="inlineStr">
        <is>
          <t>VT</t>
        </is>
      </c>
      <c r="B666" s="76" t="inlineStr">
        <is>
          <t>Biopower</t>
        </is>
      </c>
      <c r="C666" s="76" t="n">
        <v>0.537</v>
      </c>
      <c r="D666" s="76" t="n">
        <v>0.328</v>
      </c>
      <c r="E666" s="76" t="n">
        <v>0.119</v>
      </c>
      <c r="F666" s="76" t="n">
        <v>0.338</v>
      </c>
      <c r="G666" s="76" t="n">
        <v>0.573</v>
      </c>
      <c r="H666" s="76" t="n">
        <v>0.324</v>
      </c>
      <c r="I666" s="76" t="n">
        <v>0.075</v>
      </c>
      <c r="J666" s="76" t="n">
        <v>0.07199999999999999</v>
      </c>
      <c r="K666" s="76" t="n">
        <v>0.06900000000000001</v>
      </c>
      <c r="L666" s="76" t="n">
        <v>0.042</v>
      </c>
      <c r="M666" s="76" t="n">
        <v>0.016</v>
      </c>
      <c r="N666" s="76" t="n">
        <v>0.016</v>
      </c>
      <c r="O666" s="76" t="n">
        <v>0.016</v>
      </c>
      <c r="P666" s="76" t="n">
        <v>0.016</v>
      </c>
      <c r="Q666" s="76" t="n">
        <v>0.016</v>
      </c>
      <c r="R666" s="76" t="n">
        <v>0.016</v>
      </c>
      <c r="S666" s="76" t="n">
        <v>0.016</v>
      </c>
      <c r="T666" s="76" t="n">
        <v>0.016</v>
      </c>
      <c r="U666" s="76" t="n">
        <v>0.016</v>
      </c>
      <c r="V666" s="76" t="n">
        <v>0.016</v>
      </c>
      <c r="W666" s="76" t="n">
        <v>0.016</v>
      </c>
      <c r="X666" s="76" t="n">
        <v>0.016</v>
      </c>
      <c r="Y666" s="76" t="n">
        <v>0.016</v>
      </c>
      <c r="Z666" s="76" t="n">
        <v>0.023</v>
      </c>
      <c r="AA666" s="76" t="n">
        <v>0.044</v>
      </c>
      <c r="AB666" s="76" t="n">
        <v>0.522</v>
      </c>
      <c r="AC666" s="76" t="n">
        <v>0.522</v>
      </c>
      <c r="AD666" s="76" t="n">
        <v>0.522</v>
      </c>
      <c r="AE666" s="76" t="n">
        <v>0.522</v>
      </c>
      <c r="AF666" s="76" t="n">
        <v>0.522</v>
      </c>
      <c r="AG666" s="76" t="n">
        <v>0.522</v>
      </c>
      <c r="AH666" s="76" t="n">
        <v>0.522</v>
      </c>
      <c r="AI666" s="76" t="n">
        <v>0.522</v>
      </c>
      <c r="AJ666" s="76" t="n">
        <v>0.522</v>
      </c>
      <c r="AK666" s="76" t="n">
        <v>0.522</v>
      </c>
      <c r="AL666" s="76" t="n">
        <v>0.522</v>
      </c>
      <c r="AM666" s="76" t="n">
        <v>0.522</v>
      </c>
      <c r="AN666" s="76" t="n">
        <v>0.522</v>
      </c>
      <c r="AO666" s="76" t="n">
        <v>0.522</v>
      </c>
      <c r="AP666" s="76" t="n">
        <v>0.522</v>
      </c>
      <c r="AQ666" s="76" t="n">
        <v>0.522</v>
      </c>
      <c r="AR666" s="76" t="n">
        <v>0.270829268292683</v>
      </c>
    </row>
    <row r="667">
      <c r="A667" s="76" t="inlineStr">
        <is>
          <t>VT</t>
        </is>
      </c>
      <c r="B667" s="76" t="inlineStr">
        <is>
          <t>Coal</t>
        </is>
      </c>
      <c r="C667" s="76" t="n"/>
      <c r="D667" s="76" t="n"/>
      <c r="E667" s="76" t="n"/>
      <c r="F667" s="76" t="n"/>
      <c r="G667" s="76" t="n"/>
      <c r="H667" s="76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  <c r="AE667" s="76" t="n"/>
      <c r="AF667" s="76" t="n"/>
      <c r="AG667" s="76" t="n"/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</row>
    <row r="668">
      <c r="A668" s="76" t="inlineStr">
        <is>
          <t>VT</t>
        </is>
      </c>
      <c r="B668" s="76" t="inlineStr">
        <is>
          <t>CSP</t>
        </is>
      </c>
      <c r="C668" s="76" t="n"/>
      <c r="D668" s="76" t="n"/>
      <c r="E668" s="76" t="n"/>
      <c r="F668" s="76" t="n"/>
      <c r="G668" s="76" t="n"/>
      <c r="H668" s="76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  <c r="AA668" s="76" t="n"/>
      <c r="AB668" s="76" t="n"/>
      <c r="AC668" s="76" t="n"/>
      <c r="AD668" s="76" t="n"/>
      <c r="AE668" s="76" t="n"/>
      <c r="AF668" s="76" t="n"/>
      <c r="AG668" s="76" t="n"/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</row>
    <row r="669">
      <c r="A669" s="76" t="inlineStr">
        <is>
          <t>VT</t>
        </is>
      </c>
      <c r="B669" s="76" t="inlineStr">
        <is>
          <t>Dist PV</t>
        </is>
      </c>
      <c r="C669" s="76" t="n">
        <v>0.151</v>
      </c>
      <c r="D669" s="76" t="n">
        <v>0.151</v>
      </c>
      <c r="E669" s="76" t="n">
        <v>0.151</v>
      </c>
      <c r="F669" s="76" t="n">
        <v>0.151</v>
      </c>
      <c r="G669" s="76" t="n">
        <v>0.151</v>
      </c>
      <c r="H669" s="76" t="n">
        <v>0.151</v>
      </c>
      <c r="I669" s="76" t="n">
        <v>0.151</v>
      </c>
      <c r="J669" s="76" t="n">
        <v>0.151</v>
      </c>
      <c r="K669" s="76" t="n">
        <v>0.151</v>
      </c>
      <c r="L669" s="76" t="n">
        <v>0.151</v>
      </c>
      <c r="M669" s="76" t="n">
        <v>0.151</v>
      </c>
      <c r="N669" s="76" t="n">
        <v>0.151</v>
      </c>
      <c r="O669" s="76" t="n">
        <v>0.151</v>
      </c>
      <c r="P669" s="76" t="n">
        <v>0.151</v>
      </c>
      <c r="Q669" s="76" t="n">
        <v>0.151</v>
      </c>
      <c r="R669" s="76" t="n">
        <v>0.151</v>
      </c>
      <c r="S669" s="76" t="n">
        <v>0.151</v>
      </c>
      <c r="T669" s="76" t="n">
        <v>0.151</v>
      </c>
      <c r="U669" s="76" t="n">
        <v>0.151</v>
      </c>
      <c r="V669" s="76" t="n">
        <v>0.151</v>
      </c>
      <c r="W669" s="76" t="n">
        <v>0.151</v>
      </c>
      <c r="X669" s="76" t="n">
        <v>0.151</v>
      </c>
      <c r="Y669" s="76" t="n">
        <v>0.151</v>
      </c>
      <c r="Z669" s="76" t="n">
        <v>0.151</v>
      </c>
      <c r="AA669" s="76" t="n">
        <v>0.151</v>
      </c>
      <c r="AB669" s="76" t="n">
        <v>0.151</v>
      </c>
      <c r="AC669" s="76" t="n">
        <v>0.151</v>
      </c>
      <c r="AD669" s="76" t="n">
        <v>0.151</v>
      </c>
      <c r="AE669" s="76" t="n">
        <v>0.151</v>
      </c>
      <c r="AF669" s="76" t="n">
        <v>0.151</v>
      </c>
      <c r="AG669" s="76" t="n">
        <v>0.151</v>
      </c>
      <c r="AH669" s="76" t="n">
        <v>0.151</v>
      </c>
      <c r="AI669" s="76" t="n">
        <v>0.151</v>
      </c>
      <c r="AJ669" s="76" t="n">
        <v>0.151</v>
      </c>
      <c r="AK669" s="76" t="n">
        <v>0.151</v>
      </c>
      <c r="AL669" s="76" t="n">
        <v>0.151</v>
      </c>
      <c r="AM669" s="76" t="n">
        <v>0.151</v>
      </c>
      <c r="AN669" s="76" t="n">
        <v>0.151</v>
      </c>
      <c r="AO669" s="76" t="n">
        <v>0.151</v>
      </c>
      <c r="AP669" s="76" t="n">
        <v>0.151</v>
      </c>
      <c r="AQ669" s="76" t="n">
        <v>0.151</v>
      </c>
      <c r="AR669" s="76" t="n">
        <v>0.1509999999999999</v>
      </c>
    </row>
    <row r="670">
      <c r="A670" s="76" t="inlineStr">
        <is>
          <t>VT</t>
        </is>
      </c>
      <c r="B670" s="76" t="inlineStr">
        <is>
          <t>Gas CCGT</t>
        </is>
      </c>
      <c r="C670" s="76" t="n"/>
      <c r="D670" s="76" t="n"/>
      <c r="E670" s="76" t="n"/>
      <c r="F670" s="76" t="n"/>
      <c r="G670" s="76" t="n"/>
      <c r="H670" s="76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  <c r="AE670" s="76" t="n"/>
      <c r="AF670" s="76" t="n"/>
      <c r="AG670" s="76" t="n"/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</row>
    <row r="671">
      <c r="A671" s="76" t="inlineStr">
        <is>
          <t>VT</t>
        </is>
      </c>
      <c r="B671" s="76" t="inlineStr">
        <is>
          <t>Gas CT</t>
        </is>
      </c>
      <c r="C671" s="76" t="n">
        <v>0.004</v>
      </c>
      <c r="D671" s="76" t="n">
        <v>0.004</v>
      </c>
      <c r="E671" s="76" t="n">
        <v>0.004</v>
      </c>
      <c r="F671" s="76" t="n">
        <v>0.004</v>
      </c>
      <c r="G671" s="76" t="n">
        <v>0.004</v>
      </c>
      <c r="H671" s="76" t="n">
        <v>0.004</v>
      </c>
      <c r="I671" s="76" t="n">
        <v>0.004</v>
      </c>
      <c r="J671" s="76" t="n">
        <v>0.004</v>
      </c>
      <c r="K671" s="76" t="n">
        <v>0.004</v>
      </c>
      <c r="L671" s="76" t="n">
        <v>0.004</v>
      </c>
      <c r="M671" s="76" t="n">
        <v>0.004</v>
      </c>
      <c r="N671" s="76" t="n">
        <v>0.003</v>
      </c>
      <c r="O671" s="76" t="n">
        <v>0.002</v>
      </c>
      <c r="P671" s="76" t="n">
        <v>0.002</v>
      </c>
      <c r="Q671" s="76" t="n">
        <v>0.001</v>
      </c>
      <c r="R671" s="76" t="n">
        <v>0</v>
      </c>
      <c r="S671" s="76" t="n">
        <v>0</v>
      </c>
      <c r="T671" s="76" t="n">
        <v>0</v>
      </c>
      <c r="U671" s="76" t="n">
        <v>0</v>
      </c>
      <c r="V671" s="76" t="n">
        <v>0</v>
      </c>
      <c r="W671" s="76" t="n">
        <v>0</v>
      </c>
      <c r="X671" s="76" t="n">
        <v>0</v>
      </c>
      <c r="Y671" s="76" t="n">
        <v>0</v>
      </c>
      <c r="Z671" s="76" t="n">
        <v>0</v>
      </c>
      <c r="AA671" s="76" t="n">
        <v>0</v>
      </c>
      <c r="AB671" s="76" t="n">
        <v>0</v>
      </c>
      <c r="AC671" s="76" t="n">
        <v>0</v>
      </c>
      <c r="AD671" s="76" t="n">
        <v>0</v>
      </c>
      <c r="AE671" s="76" t="n">
        <v>0</v>
      </c>
      <c r="AF671" s="76" t="n">
        <v>0</v>
      </c>
      <c r="AG671" s="76" t="n">
        <v>0</v>
      </c>
      <c r="AH671" s="76" t="n">
        <v>0</v>
      </c>
      <c r="AI671" s="76" t="n">
        <v>0</v>
      </c>
      <c r="AJ671" s="76" t="n">
        <v>0</v>
      </c>
      <c r="AK671" s="76" t="n">
        <v>0</v>
      </c>
      <c r="AL671" s="76" t="n">
        <v>0</v>
      </c>
      <c r="AM671" s="76" t="n">
        <v>0</v>
      </c>
      <c r="AN671" s="76" t="n">
        <v>0</v>
      </c>
      <c r="AO671" s="76" t="n">
        <v>0</v>
      </c>
      <c r="AP671" s="76" t="n">
        <v>0</v>
      </c>
      <c r="AQ671" s="76" t="n">
        <v>0</v>
      </c>
      <c r="AR671" s="76" t="n">
        <v>0.00126829268292683</v>
      </c>
    </row>
    <row r="672">
      <c r="A672" s="76" t="inlineStr">
        <is>
          <t>VT</t>
        </is>
      </c>
      <c r="B672" s="76" t="inlineStr">
        <is>
          <t>Geothermal</t>
        </is>
      </c>
      <c r="C672" s="76" t="n"/>
      <c r="D672" s="76" t="n"/>
      <c r="E672" s="76" t="n"/>
      <c r="F672" s="76" t="n"/>
      <c r="G672" s="76" t="n"/>
      <c r="H672" s="76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  <c r="AA672" s="76" t="n"/>
      <c r="AB672" s="76" t="n"/>
      <c r="AC672" s="76" t="n"/>
      <c r="AD672" s="76" t="n"/>
      <c r="AE672" s="76" t="n"/>
      <c r="AF672" s="76" t="n"/>
      <c r="AG672" s="76" t="n"/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</row>
    <row r="673">
      <c r="A673" s="76" t="inlineStr">
        <is>
          <t>VT</t>
        </is>
      </c>
      <c r="B673" s="76" t="inlineStr">
        <is>
          <t>Hydro</t>
        </is>
      </c>
      <c r="C673" s="76" t="n">
        <v>0.5659999999999999</v>
      </c>
      <c r="D673" s="76" t="n">
        <v>0.536</v>
      </c>
      <c r="E673" s="76" t="n">
        <v>0.505</v>
      </c>
      <c r="F673" s="76" t="n">
        <v>0.499</v>
      </c>
      <c r="G673" s="76" t="n">
        <v>0.493</v>
      </c>
      <c r="H673" s="76" t="n">
        <v>0.498</v>
      </c>
      <c r="I673" s="76" t="n">
        <v>0.504</v>
      </c>
      <c r="J673" s="76" t="n">
        <v>0.504</v>
      </c>
      <c r="K673" s="76" t="n">
        <v>0.505</v>
      </c>
      <c r="L673" s="76" t="n">
        <v>0.505</v>
      </c>
      <c r="M673" s="76" t="n">
        <v>0.505</v>
      </c>
      <c r="N673" s="76" t="n">
        <v>0.505</v>
      </c>
      <c r="O673" s="76" t="n">
        <v>0.505</v>
      </c>
      <c r="P673" s="76" t="n">
        <v>0.505</v>
      </c>
      <c r="Q673" s="76" t="n">
        <v>0.505</v>
      </c>
      <c r="R673" s="76" t="n">
        <v>0.505</v>
      </c>
      <c r="S673" s="76" t="n">
        <v>0.505</v>
      </c>
      <c r="T673" s="76" t="n">
        <v>0.505</v>
      </c>
      <c r="U673" s="76" t="n">
        <v>0.505</v>
      </c>
      <c r="V673" s="76" t="n">
        <v>0.505</v>
      </c>
      <c r="W673" s="76" t="n">
        <v>0.505</v>
      </c>
      <c r="X673" s="76" t="n">
        <v>0.505</v>
      </c>
      <c r="Y673" s="76" t="n">
        <v>0.505</v>
      </c>
      <c r="Z673" s="76" t="n">
        <v>0.505</v>
      </c>
      <c r="AA673" s="76" t="n">
        <v>0.505</v>
      </c>
      <c r="AB673" s="76" t="n">
        <v>0.505</v>
      </c>
      <c r="AC673" s="76" t="n">
        <v>0.505</v>
      </c>
      <c r="AD673" s="76" t="n">
        <v>0.505</v>
      </c>
      <c r="AE673" s="76" t="n">
        <v>0.505</v>
      </c>
      <c r="AF673" s="76" t="n">
        <v>0.505</v>
      </c>
      <c r="AG673" s="76" t="n">
        <v>0.506</v>
      </c>
      <c r="AH673" s="76" t="n">
        <v>0.506</v>
      </c>
      <c r="AI673" s="76" t="n">
        <v>0.506</v>
      </c>
      <c r="AJ673" s="76" t="n">
        <v>0.506</v>
      </c>
      <c r="AK673" s="76" t="n">
        <v>0.506</v>
      </c>
      <c r="AL673" s="76" t="n">
        <v>0.506</v>
      </c>
      <c r="AM673" s="76" t="n">
        <v>0.506</v>
      </c>
      <c r="AN673" s="76" t="n">
        <v>0.506</v>
      </c>
      <c r="AO673" s="76" t="n">
        <v>0.506</v>
      </c>
      <c r="AP673" s="76" t="n">
        <v>0.506</v>
      </c>
      <c r="AQ673" s="76" t="n">
        <v>0.506</v>
      </c>
      <c r="AR673" s="76" t="n">
        <v>0.5068536585365857</v>
      </c>
    </row>
    <row r="674">
      <c r="A674" s="76" t="inlineStr">
        <is>
          <t>VT</t>
        </is>
      </c>
      <c r="B674" s="76" t="inlineStr">
        <is>
          <t>Nuclear</t>
        </is>
      </c>
      <c r="C674" s="76" t="n"/>
      <c r="D674" s="76" t="n"/>
      <c r="E674" s="76" t="n"/>
      <c r="F674" s="76" t="n"/>
      <c r="G674" s="76" t="n"/>
      <c r="H674" s="76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  <c r="AA674" s="76" t="n"/>
      <c r="AB674" s="76" t="n"/>
      <c r="AC674" s="76" t="n"/>
      <c r="AD674" s="76" t="n"/>
      <c r="AE674" s="76" t="n"/>
      <c r="AF674" s="76" t="n"/>
      <c r="AG674" s="76" t="n"/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</row>
    <row r="675">
      <c r="A675" s="76" t="inlineStr">
        <is>
          <t>VT</t>
        </is>
      </c>
      <c r="B675" s="76" t="inlineStr">
        <is>
          <t>Other</t>
        </is>
      </c>
      <c r="C675" s="76" t="n">
        <v>0.847</v>
      </c>
      <c r="D675" s="76" t="n">
        <v>0.854</v>
      </c>
      <c r="E675" s="76" t="n">
        <v>0.859</v>
      </c>
      <c r="F675" s="76" t="n">
        <v>0.86</v>
      </c>
      <c r="G675" s="76" t="n">
        <v>0.861</v>
      </c>
      <c r="H675" s="76" t="n">
        <v>0.863</v>
      </c>
      <c r="I675" s="76" t="n">
        <v>0.865</v>
      </c>
      <c r="J675" s="76" t="n">
        <v>0.867</v>
      </c>
      <c r="K675" s="76" t="n">
        <v>0.868</v>
      </c>
      <c r="L675" s="76" t="n">
        <v>0.868</v>
      </c>
      <c r="M675" s="76" t="n">
        <v>0.868</v>
      </c>
      <c r="N675" s="76" t="n">
        <v>0.871</v>
      </c>
      <c r="O675" s="76" t="n">
        <v>0.874</v>
      </c>
      <c r="P675" s="76" t="n">
        <v>0.874</v>
      </c>
      <c r="Q675" s="76" t="n">
        <v>0.874</v>
      </c>
      <c r="R675" s="76" t="n">
        <v>0.874</v>
      </c>
      <c r="S675" s="76" t="n">
        <v>0.873</v>
      </c>
      <c r="T675" s="76" t="n">
        <v>0.873</v>
      </c>
      <c r="U675" s="76" t="n">
        <v>0.873</v>
      </c>
      <c r="V675" s="76" t="n">
        <v>0.873</v>
      </c>
      <c r="W675" s="76" t="n">
        <v>0.873</v>
      </c>
      <c r="X675" s="76" t="n">
        <v>0.873</v>
      </c>
      <c r="Y675" s="76" t="n">
        <v>0.873</v>
      </c>
      <c r="Z675" s="76" t="n">
        <v>0.873</v>
      </c>
      <c r="AA675" s="76" t="n">
        <v>0.873</v>
      </c>
      <c r="AB675" s="76" t="n">
        <v>0.873</v>
      </c>
      <c r="AC675" s="76" t="n">
        <v>0.873</v>
      </c>
      <c r="AD675" s="76" t="n">
        <v>0.873</v>
      </c>
      <c r="AE675" s="76" t="n">
        <v>0.873</v>
      </c>
      <c r="AF675" s="76" t="n">
        <v>0.873</v>
      </c>
      <c r="AG675" s="76" t="n">
        <v>0.873</v>
      </c>
      <c r="AH675" s="76" t="n">
        <v>0.874</v>
      </c>
      <c r="AI675" s="76" t="n">
        <v>0.874</v>
      </c>
      <c r="AJ675" s="76" t="n">
        <v>0.874</v>
      </c>
      <c r="AK675" s="76" t="n">
        <v>0.875</v>
      </c>
      <c r="AL675" s="76" t="n">
        <v>0.875</v>
      </c>
      <c r="AM675" s="76" t="n">
        <v>0.875</v>
      </c>
      <c r="AN675" s="76" t="n">
        <v>0.875</v>
      </c>
      <c r="AO675" s="76" t="n">
        <v>0.875</v>
      </c>
      <c r="AP675" s="76" t="n">
        <v>0.875</v>
      </c>
      <c r="AQ675" s="76" t="n">
        <v>0.875</v>
      </c>
      <c r="AR675" s="76" t="n">
        <v>0.8704634146341466</v>
      </c>
    </row>
    <row r="676">
      <c r="A676" s="76" t="inlineStr">
        <is>
          <t>VT</t>
        </is>
      </c>
      <c r="B676" s="76" t="inlineStr">
        <is>
          <t>Utility PV</t>
        </is>
      </c>
      <c r="C676" s="76" t="n"/>
      <c r="D676" s="76" t="n">
        <v>0.207</v>
      </c>
      <c r="E676" s="76" t="n">
        <v>0.207</v>
      </c>
      <c r="F676" s="76" t="n">
        <v>0.206</v>
      </c>
      <c r="G676" s="76" t="n">
        <v>0.206</v>
      </c>
      <c r="H676" s="76" t="n">
        <v>0.206</v>
      </c>
      <c r="I676" s="76" t="n">
        <v>0.205</v>
      </c>
      <c r="J676" s="76" t="n">
        <v>0.205</v>
      </c>
      <c r="K676" s="76" t="n">
        <v>0.204</v>
      </c>
      <c r="L676" s="76" t="n">
        <v>0.203</v>
      </c>
      <c r="M676" s="76" t="n">
        <v>0.203</v>
      </c>
      <c r="N676" s="76" t="n">
        <v>0.202</v>
      </c>
      <c r="O676" s="76" t="n">
        <v>0.201</v>
      </c>
      <c r="P676" s="76" t="n">
        <v>0.2</v>
      </c>
      <c r="Q676" s="76" t="n">
        <v>0.199</v>
      </c>
      <c r="R676" s="76" t="n">
        <v>0.198</v>
      </c>
      <c r="S676" s="76" t="n">
        <v>0.197</v>
      </c>
      <c r="T676" s="76" t="n">
        <v>0.196</v>
      </c>
      <c r="U676" s="76" t="n">
        <v>0.195</v>
      </c>
      <c r="V676" s="76" t="n">
        <v>0.194</v>
      </c>
      <c r="W676" s="76" t="n">
        <v>0.193</v>
      </c>
      <c r="X676" s="76" t="n">
        <v>0.192</v>
      </c>
      <c r="Y676" s="76" t="n">
        <v>0.191</v>
      </c>
      <c r="Z676" s="76" t="n">
        <v>0.19</v>
      </c>
      <c r="AA676" s="76" t="n">
        <v>0.189</v>
      </c>
      <c r="AB676" s="76" t="n">
        <v>0.188</v>
      </c>
      <c r="AC676" s="76" t="n">
        <v>0.187</v>
      </c>
      <c r="AD676" s="76" t="n">
        <v>0.186</v>
      </c>
      <c r="AE676" s="76" t="n">
        <v>0.185</v>
      </c>
      <c r="AF676" s="76" t="n">
        <v>0.184</v>
      </c>
      <c r="AG676" s="76" t="n">
        <v>0.183</v>
      </c>
      <c r="AH676" s="76" t="n">
        <v>0.181</v>
      </c>
      <c r="AI676" s="76" t="n">
        <v>0.178</v>
      </c>
      <c r="AJ676" s="76" t="n">
        <v>0.175</v>
      </c>
      <c r="AK676" s="76" t="n">
        <v>0.171</v>
      </c>
      <c r="AL676" s="76" t="n">
        <v>0.167</v>
      </c>
      <c r="AM676" s="76" t="n">
        <v>0.167</v>
      </c>
      <c r="AN676" s="76" t="n">
        <v>0.167</v>
      </c>
      <c r="AO676" s="76" t="n">
        <v>0.167</v>
      </c>
      <c r="AP676" s="76" t="n">
        <v>0.167</v>
      </c>
      <c r="AQ676" s="76" t="n">
        <v>0.17</v>
      </c>
      <c r="AR676" s="76" t="n">
        <v>0.1903</v>
      </c>
    </row>
    <row r="677">
      <c r="A677" s="76" t="inlineStr">
        <is>
          <t>VT</t>
        </is>
      </c>
      <c r="B677" s="76" t="inlineStr">
        <is>
          <t>Wind offshore</t>
        </is>
      </c>
      <c r="C677" s="76" t="n"/>
      <c r="D677" s="76" t="n"/>
      <c r="E677" s="76" t="n"/>
      <c r="F677" s="76" t="n"/>
      <c r="G677" s="76" t="n"/>
      <c r="H677" s="76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  <c r="AA677" s="76" t="n"/>
      <c r="AB677" s="76" t="n"/>
      <c r="AC677" s="76" t="n"/>
      <c r="AD677" s="76" t="n"/>
      <c r="AE677" s="76" t="n"/>
      <c r="AF677" s="76" t="n"/>
      <c r="AG677" s="76" t="n"/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</row>
    <row r="678">
      <c r="A678" s="76" t="inlineStr">
        <is>
          <t>VT</t>
        </is>
      </c>
      <c r="B678" s="76" t="inlineStr">
        <is>
          <t>Wind onshore</t>
        </is>
      </c>
      <c r="C678" s="76" t="n">
        <v>0.301</v>
      </c>
      <c r="D678" s="76" t="n">
        <v>0.388</v>
      </c>
      <c r="E678" s="76" t="n">
        <v>0.392</v>
      </c>
      <c r="F678" s="76" t="n">
        <v>0.392</v>
      </c>
      <c r="G678" s="76" t="n">
        <v>0.392</v>
      </c>
      <c r="H678" s="76" t="n">
        <v>0.392</v>
      </c>
      <c r="I678" s="76" t="n">
        <v>0.392</v>
      </c>
      <c r="J678" s="76" t="n">
        <v>0.393</v>
      </c>
      <c r="K678" s="76" t="n">
        <v>0.395</v>
      </c>
      <c r="L678" s="76" t="n">
        <v>0.405</v>
      </c>
      <c r="M678" s="76" t="n">
        <v>0.413</v>
      </c>
      <c r="N678" s="76" t="n">
        <v>0.437</v>
      </c>
      <c r="O678" s="76" t="n">
        <v>0.447</v>
      </c>
      <c r="P678" s="76" t="n">
        <v>0.447</v>
      </c>
      <c r="Q678" s="76" t="n">
        <v>0.447</v>
      </c>
      <c r="R678" s="76" t="n">
        <v>0.447</v>
      </c>
      <c r="S678" s="76" t="n">
        <v>0.447</v>
      </c>
      <c r="T678" s="76" t="n">
        <v>0.449</v>
      </c>
      <c r="U678" s="76" t="n">
        <v>0.45</v>
      </c>
      <c r="V678" s="76" t="n">
        <v>0.452</v>
      </c>
      <c r="W678" s="76" t="n">
        <v>0.454</v>
      </c>
      <c r="X678" s="76" t="n">
        <v>0.455</v>
      </c>
      <c r="Y678" s="76" t="n">
        <v>0.455</v>
      </c>
      <c r="Z678" s="76" t="n">
        <v>0.454</v>
      </c>
      <c r="AA678" s="76" t="n">
        <v>0.452</v>
      </c>
      <c r="AB678" s="76" t="n">
        <v>0.451</v>
      </c>
      <c r="AC678" s="76" t="n">
        <v>0.445</v>
      </c>
      <c r="AD678" s="76" t="n">
        <v>0.44</v>
      </c>
      <c r="AE678" s="76" t="n">
        <v>0.435</v>
      </c>
      <c r="AF678" s="76" t="n">
        <v>0.431</v>
      </c>
      <c r="AG678" s="76" t="n">
        <v>0.427</v>
      </c>
      <c r="AH678" s="76" t="n">
        <v>0.428</v>
      </c>
      <c r="AI678" s="76" t="n">
        <v>0.43</v>
      </c>
      <c r="AJ678" s="76" t="n">
        <v>0.432</v>
      </c>
      <c r="AK678" s="76" t="n">
        <v>0.434</v>
      </c>
      <c r="AL678" s="76" t="n">
        <v>0.435</v>
      </c>
      <c r="AM678" s="76" t="n">
        <v>0.439</v>
      </c>
      <c r="AN678" s="76" t="n">
        <v>0.442</v>
      </c>
      <c r="AO678" s="76" t="n">
        <v>0.445</v>
      </c>
      <c r="AP678" s="76" t="n">
        <v>0.449</v>
      </c>
      <c r="AQ678" s="76" t="n">
        <v>0.453</v>
      </c>
      <c r="AR678" s="76" t="n">
        <v>0.4283902439024391</v>
      </c>
    </row>
    <row r="679">
      <c r="A679" s="76" t="inlineStr">
        <is>
          <t>WA</t>
        </is>
      </c>
      <c r="B679" s="76" t="inlineStr">
        <is>
          <t>WA</t>
        </is>
      </c>
      <c r="C679" s="76" t="n">
        <v>0.3720909090909091</v>
      </c>
      <c r="D679" s="76" t="n">
        <v>0.3554583333333333</v>
      </c>
      <c r="E679" s="76" t="n">
        <v>0.3665</v>
      </c>
      <c r="F679" s="76" t="n">
        <v>0.35484</v>
      </c>
      <c r="G679" s="76" t="n">
        <v>0.35844</v>
      </c>
      <c r="H679" s="76" t="n">
        <v>0.337923076923077</v>
      </c>
      <c r="I679" s="76" t="n">
        <v>0.34572</v>
      </c>
      <c r="J679" s="76" t="n">
        <v>0.3413846153846155</v>
      </c>
      <c r="K679" s="76" t="n">
        <v>0.3416538461538462</v>
      </c>
      <c r="L679" s="76" t="n">
        <v>0.3278518518518518</v>
      </c>
      <c r="M679" s="76" t="n">
        <v>0.3201851851851852</v>
      </c>
      <c r="N679" s="76" t="n">
        <v>0.3190370370370371</v>
      </c>
      <c r="O679" s="76" t="n">
        <v>0.3178518518518519</v>
      </c>
      <c r="P679" s="76" t="n">
        <v>0.3211851851851852</v>
      </c>
      <c r="Q679" s="76" t="n">
        <v>0.3246296296296296</v>
      </c>
      <c r="R679" s="76" t="n">
        <v>0.3204074074074074</v>
      </c>
      <c r="S679" s="76" t="n">
        <v>0.3129230769230769</v>
      </c>
      <c r="T679" s="76" t="n">
        <v>0.3113076923076923</v>
      </c>
      <c r="U679" s="76" t="n">
        <v>0.3091538461538462</v>
      </c>
      <c r="V679" s="76" t="n">
        <v>0.2892068965517241</v>
      </c>
      <c r="W679" s="76" t="n">
        <v>0.2874137931034483</v>
      </c>
      <c r="X679" s="76" t="n">
        <v>0.2851034482758621</v>
      </c>
      <c r="Y679" s="76" t="n">
        <v>0.2820344827586207</v>
      </c>
      <c r="Z679" s="76" t="n">
        <v>0.2797931034482759</v>
      </c>
      <c r="AA679" s="76" t="n">
        <v>0.2788275862068965</v>
      </c>
      <c r="AB679" s="76" t="n">
        <v>0.2824482758620689</v>
      </c>
      <c r="AC679" s="76" t="n">
        <v>0.2782413793103448</v>
      </c>
      <c r="AD679" s="76" t="n">
        <v>0.2739310344827586</v>
      </c>
      <c r="AE679" s="76" t="n">
        <v>0.2695862068965517</v>
      </c>
      <c r="AF679" s="76" t="n">
        <v>0.2651034482758621</v>
      </c>
      <c r="AG679" s="76" t="n">
        <v>0.2690357142857143</v>
      </c>
      <c r="AH679" s="76" t="n">
        <v>0.2675806451612903</v>
      </c>
      <c r="AI679" s="76" t="n">
        <v>0.2686774193548387</v>
      </c>
      <c r="AJ679" s="76" t="n">
        <v>0.2696129032258064</v>
      </c>
      <c r="AK679" s="76" t="n">
        <v>0.2707096774193548</v>
      </c>
      <c r="AL679" s="76" t="n">
        <v>0.2669</v>
      </c>
      <c r="AM679" s="76" t="n">
        <v>0.2677666666666667</v>
      </c>
      <c r="AN679" s="76" t="n">
        <v>0.2679000000000001</v>
      </c>
      <c r="AO679" s="76" t="n">
        <v>0.2679333333333334</v>
      </c>
      <c r="AP679" s="76" t="n">
        <v>0.2678666666666666</v>
      </c>
      <c r="AQ679" s="76" t="n">
        <v>0.2677</v>
      </c>
      <c r="AR679" s="76" t="n">
        <v>0.2995179666958809</v>
      </c>
    </row>
    <row r="680">
      <c r="A680" s="76" t="inlineStr">
        <is>
          <t>WA</t>
        </is>
      </c>
      <c r="B680" s="76" t="inlineStr">
        <is>
          <t>Battery</t>
        </is>
      </c>
      <c r="C680" s="76" t="n"/>
      <c r="D680" s="76" t="n"/>
      <c r="E680" s="76" t="n"/>
      <c r="F680" s="76" t="n">
        <v>0</v>
      </c>
      <c r="G680" s="76" t="n">
        <v>0</v>
      </c>
      <c r="H680" s="76" t="n">
        <v>-0.0145</v>
      </c>
      <c r="I680" s="76" t="n">
        <v>-0.0145</v>
      </c>
      <c r="J680" s="76" t="n">
        <v>-0.008500000000000001</v>
      </c>
      <c r="K680" s="76" t="n">
        <v>-0.005</v>
      </c>
      <c r="L680" s="76" t="n">
        <v>-0.009333333333333334</v>
      </c>
      <c r="M680" s="76" t="n">
        <v>-0.009333333333333334</v>
      </c>
      <c r="N680" s="76" t="n">
        <v>-0.008</v>
      </c>
      <c r="O680" s="76" t="n">
        <v>-0.006333333333333333</v>
      </c>
      <c r="P680" s="76" t="n">
        <v>-0.009333333333333334</v>
      </c>
      <c r="Q680" s="76" t="n">
        <v>-0.01133333333333333</v>
      </c>
      <c r="R680" s="76" t="n">
        <v>-0.01</v>
      </c>
      <c r="S680" s="76" t="n">
        <v>-0.008333333333333333</v>
      </c>
      <c r="T680" s="76" t="n">
        <v>-0.012</v>
      </c>
      <c r="U680" s="76" t="n">
        <v>-0.016</v>
      </c>
      <c r="V680" s="76" t="n">
        <v>-0.02675</v>
      </c>
      <c r="W680" s="76" t="n">
        <v>-0.02725</v>
      </c>
      <c r="X680" s="76" t="n">
        <v>-0.02325</v>
      </c>
      <c r="Y680" s="76" t="n">
        <v>-0.024</v>
      </c>
      <c r="Z680" s="76" t="n">
        <v>-0.02325</v>
      </c>
      <c r="AA680" s="76" t="n">
        <v>-0.02275</v>
      </c>
      <c r="AB680" s="76" t="n">
        <v>-0.02225</v>
      </c>
      <c r="AC680" s="76" t="n">
        <v>-0.024</v>
      </c>
      <c r="AD680" s="76" t="n">
        <v>-0.0255</v>
      </c>
      <c r="AE680" s="76" t="n">
        <v>-0.02725</v>
      </c>
      <c r="AF680" s="76" t="n">
        <v>-0.0295</v>
      </c>
      <c r="AG680" s="76" t="n">
        <v>-0.051</v>
      </c>
      <c r="AH680" s="76" t="n">
        <v>-0.03575</v>
      </c>
      <c r="AI680" s="76" t="n">
        <v>-0.034</v>
      </c>
      <c r="AJ680" s="76" t="n">
        <v>-0.03325</v>
      </c>
      <c r="AK680" s="76" t="n">
        <v>-0.0325</v>
      </c>
      <c r="AL680" s="76" t="n">
        <v>-0.03225</v>
      </c>
      <c r="AM680" s="76" t="n">
        <v>-0.02375</v>
      </c>
      <c r="AN680" s="76" t="n">
        <v>-0.021</v>
      </c>
      <c r="AO680" s="76" t="n">
        <v>-0.0195</v>
      </c>
      <c r="AP680" s="76" t="n">
        <v>-0.018</v>
      </c>
      <c r="AQ680" s="76" t="n">
        <v>-0.01725</v>
      </c>
      <c r="AR680" s="76" t="n">
        <v>-0.02133858267716535</v>
      </c>
    </row>
    <row r="681">
      <c r="A681" s="76" t="inlineStr">
        <is>
          <t>WA</t>
        </is>
      </c>
      <c r="B681" s="76" t="inlineStr">
        <is>
          <t>Biopower</t>
        </is>
      </c>
      <c r="C681" s="76" t="n">
        <v>0.3256666666666667</v>
      </c>
      <c r="D681" s="76" t="n">
        <v>0.306</v>
      </c>
      <c r="E681" s="76" t="n">
        <v>0.4023333333333334</v>
      </c>
      <c r="F681" s="76" t="n">
        <v>0.4246666666666667</v>
      </c>
      <c r="G681" s="76" t="n">
        <v>0.4473333333333334</v>
      </c>
      <c r="H681" s="76" t="n">
        <v>0.4246666666666667</v>
      </c>
      <c r="I681" s="76" t="n">
        <v>0.4023333333333334</v>
      </c>
      <c r="J681" s="76" t="n">
        <v>0.4023333333333334</v>
      </c>
      <c r="K681" s="76" t="n">
        <v>0.4023333333333334</v>
      </c>
      <c r="L681" s="76" t="n">
        <v>0.4003333333333334</v>
      </c>
      <c r="M681" s="76" t="n">
        <v>0.3980000000000001</v>
      </c>
      <c r="N681" s="76" t="n">
        <v>0.4003333333333334</v>
      </c>
      <c r="O681" s="76" t="n">
        <v>0.4023333333333334</v>
      </c>
      <c r="P681" s="76" t="n">
        <v>0.4023333333333334</v>
      </c>
      <c r="Q681" s="76" t="n">
        <v>0.4023333333333334</v>
      </c>
      <c r="R681" s="76" t="n">
        <v>0.4023333333333334</v>
      </c>
      <c r="S681" s="76" t="n">
        <v>0.4023333333333334</v>
      </c>
      <c r="T681" s="76" t="n">
        <v>0.4023333333333334</v>
      </c>
      <c r="U681" s="76" t="n">
        <v>0.4023333333333334</v>
      </c>
      <c r="V681" s="76" t="n">
        <v>0.4023333333333334</v>
      </c>
      <c r="W681" s="76" t="n">
        <v>0.4023333333333334</v>
      </c>
      <c r="X681" s="76" t="n">
        <v>0.4023333333333334</v>
      </c>
      <c r="Y681" s="76" t="n">
        <v>0.4023333333333334</v>
      </c>
      <c r="Z681" s="76" t="n">
        <v>0.4066666666666667</v>
      </c>
      <c r="AA681" s="76" t="n">
        <v>0.424</v>
      </c>
      <c r="AB681" s="76" t="n">
        <v>0.4853333333333333</v>
      </c>
      <c r="AC681" s="76" t="n">
        <v>0.4693333333333333</v>
      </c>
      <c r="AD681" s="76" t="n">
        <v>0.4526666666666667</v>
      </c>
      <c r="AE681" s="76" t="n">
        <v>0.436</v>
      </c>
      <c r="AF681" s="76" t="n">
        <v>0.42</v>
      </c>
      <c r="AG681" s="76" t="n">
        <v>0.4033333333333333</v>
      </c>
      <c r="AH681" s="76" t="n">
        <v>0.4033333333333333</v>
      </c>
      <c r="AI681" s="76" t="n">
        <v>0.4033333333333333</v>
      </c>
      <c r="AJ681" s="76" t="n">
        <v>0.4033333333333333</v>
      </c>
      <c r="AK681" s="76" t="n">
        <v>0.4033333333333333</v>
      </c>
      <c r="AL681" s="76" t="n">
        <v>0.393</v>
      </c>
      <c r="AM681" s="76" t="n">
        <v>0.393</v>
      </c>
      <c r="AN681" s="76" t="n">
        <v>0.393</v>
      </c>
      <c r="AO681" s="76" t="n">
        <v>0.393</v>
      </c>
      <c r="AP681" s="76" t="n">
        <v>0.393</v>
      </c>
      <c r="AQ681" s="76" t="n">
        <v>0.393</v>
      </c>
      <c r="AR681" s="76" t="n">
        <v>0.4062735042735042</v>
      </c>
    </row>
    <row r="682">
      <c r="A682" s="76" t="inlineStr">
        <is>
          <t>WA</t>
        </is>
      </c>
      <c r="B682" s="76" t="inlineStr">
        <is>
          <t>Coal</t>
        </is>
      </c>
      <c r="C682" s="76" t="n">
        <v>0.846</v>
      </c>
      <c r="D682" s="76" t="n">
        <v>0.846</v>
      </c>
      <c r="E682" s="76" t="n">
        <v>0.846</v>
      </c>
      <c r="F682" s="76" t="n">
        <v>0.846</v>
      </c>
      <c r="G682" s="76" t="n">
        <v>0.846</v>
      </c>
      <c r="H682" s="76" t="n">
        <v>0.62</v>
      </c>
      <c r="I682" s="76" t="n">
        <v>0.395</v>
      </c>
      <c r="J682" s="76" t="n">
        <v>0.5669999999999999</v>
      </c>
      <c r="K682" s="76" t="n">
        <v>0.739</v>
      </c>
      <c r="L682" s="76" t="n">
        <v>0.546</v>
      </c>
      <c r="M682" s="76" t="n">
        <v>0.161</v>
      </c>
      <c r="N682" s="76" t="n">
        <v>0.149</v>
      </c>
      <c r="O682" s="76" t="n">
        <v>0.136</v>
      </c>
      <c r="P682" s="76" t="n">
        <v>0.27</v>
      </c>
      <c r="Q682" s="76" t="n">
        <v>0.404</v>
      </c>
      <c r="R682" s="76" t="n">
        <v>0.404</v>
      </c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76" t="n"/>
      <c r="AC682" s="76" t="n"/>
      <c r="AD682" s="76" t="n"/>
      <c r="AE682" s="76" t="n"/>
      <c r="AF682" s="76" t="n"/>
      <c r="AG682" s="76" t="n"/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>
        <v>0.5388124999999999</v>
      </c>
    </row>
    <row r="683">
      <c r="A683" s="76" t="inlineStr">
        <is>
          <t>WA</t>
        </is>
      </c>
      <c r="B683" s="76" t="inlineStr">
        <is>
          <t>CSP</t>
        </is>
      </c>
      <c r="C683" s="76" t="n"/>
      <c r="D683" s="76" t="n"/>
      <c r="E683" s="76" t="n"/>
      <c r="F683" s="76" t="n"/>
      <c r="G683" s="76" t="n"/>
      <c r="H683" s="76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6" t="n"/>
      <c r="AC683" s="76" t="n"/>
      <c r="AD683" s="76" t="n"/>
      <c r="AE683" s="76" t="n"/>
      <c r="AF683" s="76" t="n"/>
      <c r="AG683" s="76" t="n"/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</row>
    <row r="684">
      <c r="A684" s="76" t="inlineStr">
        <is>
          <t>WA</t>
        </is>
      </c>
      <c r="B684" s="76" t="inlineStr">
        <is>
          <t>Dist PV</t>
        </is>
      </c>
      <c r="C684" s="76" t="n">
        <v>0.159</v>
      </c>
      <c r="D684" s="76" t="n">
        <v>0.15775</v>
      </c>
      <c r="E684" s="76" t="n">
        <v>0.15775</v>
      </c>
      <c r="F684" s="76" t="n">
        <v>0.15775</v>
      </c>
      <c r="G684" s="76" t="n">
        <v>0.15775</v>
      </c>
      <c r="H684" s="76" t="n">
        <v>0.15775</v>
      </c>
      <c r="I684" s="76" t="n">
        <v>0.15775</v>
      </c>
      <c r="J684" s="76" t="n">
        <v>0.15775</v>
      </c>
      <c r="K684" s="76" t="n">
        <v>0.15775</v>
      </c>
      <c r="L684" s="76" t="n">
        <v>0.15775</v>
      </c>
      <c r="M684" s="76" t="n">
        <v>0.15775</v>
      </c>
      <c r="N684" s="76" t="n">
        <v>0.15775</v>
      </c>
      <c r="O684" s="76" t="n">
        <v>0.15775</v>
      </c>
      <c r="P684" s="76" t="n">
        <v>0.15775</v>
      </c>
      <c r="Q684" s="76" t="n">
        <v>0.15775</v>
      </c>
      <c r="R684" s="76" t="n">
        <v>0.15775</v>
      </c>
      <c r="S684" s="76" t="n">
        <v>0.15775</v>
      </c>
      <c r="T684" s="76" t="n">
        <v>0.15775</v>
      </c>
      <c r="U684" s="76" t="n">
        <v>0.15775</v>
      </c>
      <c r="V684" s="76" t="n">
        <v>0.15775</v>
      </c>
      <c r="W684" s="76" t="n">
        <v>0.15775</v>
      </c>
      <c r="X684" s="76" t="n">
        <v>0.15525</v>
      </c>
      <c r="Y684" s="76" t="n">
        <v>0.15325</v>
      </c>
      <c r="Z684" s="76" t="n">
        <v>0.15525</v>
      </c>
      <c r="AA684" s="76" t="n">
        <v>0.1565</v>
      </c>
      <c r="AB684" s="76" t="n">
        <v>0.15775</v>
      </c>
      <c r="AC684" s="76" t="n">
        <v>0.15775</v>
      </c>
      <c r="AD684" s="76" t="n">
        <v>0.15775</v>
      </c>
      <c r="AE684" s="76" t="n">
        <v>0.15775</v>
      </c>
      <c r="AF684" s="76" t="n">
        <v>0.15775</v>
      </c>
      <c r="AG684" s="76" t="n">
        <v>0.15775</v>
      </c>
      <c r="AH684" s="76" t="n">
        <v>0.15775</v>
      </c>
      <c r="AI684" s="76" t="n">
        <v>0.15775</v>
      </c>
      <c r="AJ684" s="76" t="n">
        <v>0.15775</v>
      </c>
      <c r="AK684" s="76" t="n">
        <v>0.15775</v>
      </c>
      <c r="AL684" s="76" t="n">
        <v>0.15775</v>
      </c>
      <c r="AM684" s="76" t="n">
        <v>0.15775</v>
      </c>
      <c r="AN684" s="76" t="n">
        <v>0.15775</v>
      </c>
      <c r="AO684" s="76" t="n">
        <v>0.15775</v>
      </c>
      <c r="AP684" s="76" t="n">
        <v>0.15775</v>
      </c>
      <c r="AQ684" s="76" t="n">
        <v>0.15775</v>
      </c>
      <c r="AR684" s="76" t="n">
        <v>0.1575092024539877</v>
      </c>
    </row>
    <row r="685">
      <c r="A685" s="76" t="inlineStr">
        <is>
          <t>WA</t>
        </is>
      </c>
      <c r="B685" s="76" t="inlineStr">
        <is>
          <t>Gas CCGT</t>
        </is>
      </c>
      <c r="C685" s="76" t="n">
        <v>0.496</v>
      </c>
      <c r="D685" s="76" t="n">
        <v>0.38</v>
      </c>
      <c r="E685" s="76" t="n">
        <v>0.2635</v>
      </c>
      <c r="F685" s="76" t="n">
        <v>0.3285</v>
      </c>
      <c r="G685" s="76" t="n">
        <v>0.4005</v>
      </c>
      <c r="H685" s="76" t="n">
        <v>0.48</v>
      </c>
      <c r="I685" s="76" t="n">
        <v>0.5620000000000001</v>
      </c>
      <c r="J685" s="76" t="n">
        <v>0.474</v>
      </c>
      <c r="K685" s="76" t="n">
        <v>0.3865</v>
      </c>
      <c r="L685" s="76" t="n">
        <v>0.4785</v>
      </c>
      <c r="M685" s="76" t="n">
        <v>0.571</v>
      </c>
      <c r="N685" s="76" t="n">
        <v>0.5569999999999999</v>
      </c>
      <c r="O685" s="76" t="n">
        <v>0.5429999999999999</v>
      </c>
      <c r="P685" s="76" t="n">
        <v>0.526</v>
      </c>
      <c r="Q685" s="76" t="n">
        <v>0.5095000000000001</v>
      </c>
      <c r="R685" s="76" t="n">
        <v>0.452</v>
      </c>
      <c r="S685" s="76" t="n">
        <v>0.395</v>
      </c>
      <c r="T685" s="76" t="n">
        <v>0.368</v>
      </c>
      <c r="U685" s="76" t="n">
        <v>0.3415</v>
      </c>
      <c r="V685" s="76" t="n">
        <v>0.3169999999999999</v>
      </c>
      <c r="W685" s="76" t="n">
        <v>0.293</v>
      </c>
      <c r="X685" s="76" t="n">
        <v>0.25</v>
      </c>
      <c r="Y685" s="76" t="n">
        <v>0.2065</v>
      </c>
      <c r="Z685" s="76" t="n">
        <v>0.1645</v>
      </c>
      <c r="AA685" s="76" t="n">
        <v>0.1225</v>
      </c>
      <c r="AB685" s="76" t="n">
        <v>0.081</v>
      </c>
      <c r="AC685" s="76" t="n">
        <v>0.06850000000000001</v>
      </c>
      <c r="AD685" s="76" t="n">
        <v>0.055</v>
      </c>
      <c r="AE685" s="76" t="n">
        <v>0.0425</v>
      </c>
      <c r="AF685" s="76" t="n">
        <v>0.029</v>
      </c>
      <c r="AG685" s="76" t="n">
        <v>0.0165</v>
      </c>
      <c r="AH685" s="76" t="n">
        <v>0.0185</v>
      </c>
      <c r="AI685" s="76" t="n">
        <v>0.0215</v>
      </c>
      <c r="AJ685" s="76" t="n">
        <v>0.0235</v>
      </c>
      <c r="AK685" s="76" t="n">
        <v>0.026</v>
      </c>
      <c r="AL685" s="76" t="n">
        <v>0.0285</v>
      </c>
      <c r="AM685" s="76" t="n">
        <v>0.023</v>
      </c>
      <c r="AN685" s="76" t="n">
        <v>0.017</v>
      </c>
      <c r="AO685" s="76" t="n">
        <v>0.0115</v>
      </c>
      <c r="AP685" s="76" t="n">
        <v>0.0055</v>
      </c>
      <c r="AQ685" s="76" t="n">
        <v>0</v>
      </c>
      <c r="AR685" s="76" t="n">
        <v>0.2520365853658538</v>
      </c>
    </row>
    <row r="686">
      <c r="A686" s="76" t="inlineStr">
        <is>
          <t>WA</t>
        </is>
      </c>
      <c r="B686" s="76" t="inlineStr">
        <is>
          <t>Gas CT</t>
        </is>
      </c>
      <c r="C686" s="76" t="n">
        <v>0</v>
      </c>
      <c r="D686" s="76" t="n">
        <v>0</v>
      </c>
      <c r="E686" s="76" t="n">
        <v>0</v>
      </c>
      <c r="F686" s="76" t="n">
        <v>0</v>
      </c>
      <c r="G686" s="76" t="n">
        <v>0</v>
      </c>
      <c r="H686" s="76" t="n">
        <v>0</v>
      </c>
      <c r="I686" s="76" t="n">
        <v>0</v>
      </c>
      <c r="J686" s="76" t="n">
        <v>0</v>
      </c>
      <c r="K686" s="76" t="n">
        <v>0</v>
      </c>
      <c r="L686" s="76" t="n">
        <v>0</v>
      </c>
      <c r="M686" s="76" t="n">
        <v>0</v>
      </c>
      <c r="N686" s="76" t="n">
        <v>0</v>
      </c>
      <c r="O686" s="76" t="n">
        <v>0</v>
      </c>
      <c r="P686" s="76" t="n">
        <v>0</v>
      </c>
      <c r="Q686" s="76" t="n">
        <v>0</v>
      </c>
      <c r="R686" s="76" t="n">
        <v>0</v>
      </c>
      <c r="S686" s="76" t="n">
        <v>0</v>
      </c>
      <c r="T686" s="76" t="n">
        <v>0</v>
      </c>
      <c r="U686" s="76" t="n">
        <v>0</v>
      </c>
      <c r="V686" s="76" t="n">
        <v>0</v>
      </c>
      <c r="W686" s="76" t="n">
        <v>0</v>
      </c>
      <c r="X686" s="76" t="n">
        <v>0</v>
      </c>
      <c r="Y686" s="76" t="n">
        <v>0</v>
      </c>
      <c r="Z686" s="76" t="n">
        <v>0</v>
      </c>
      <c r="AA686" s="76" t="n">
        <v>0</v>
      </c>
      <c r="AB686" s="76" t="n">
        <v>0</v>
      </c>
      <c r="AC686" s="76" t="n">
        <v>0</v>
      </c>
      <c r="AD686" s="76" t="n">
        <v>0</v>
      </c>
      <c r="AE686" s="76" t="n">
        <v>0</v>
      </c>
      <c r="AF686" s="76" t="n">
        <v>0</v>
      </c>
      <c r="AG686" s="76" t="n">
        <v>0</v>
      </c>
      <c r="AH686" s="76" t="n">
        <v>0</v>
      </c>
      <c r="AI686" s="76" t="n">
        <v>0</v>
      </c>
      <c r="AJ686" s="76" t="n">
        <v>0</v>
      </c>
      <c r="AK686" s="76" t="n">
        <v>0</v>
      </c>
      <c r="AL686" s="76" t="n">
        <v>0</v>
      </c>
      <c r="AM686" s="76" t="n">
        <v>0</v>
      </c>
      <c r="AN686" s="76" t="n">
        <v>0</v>
      </c>
      <c r="AO686" s="76" t="n">
        <v>0</v>
      </c>
      <c r="AP686" s="76" t="n">
        <v>0</v>
      </c>
      <c r="AQ686" s="76" t="n">
        <v>0</v>
      </c>
      <c r="AR686" s="76" t="n">
        <v>0</v>
      </c>
    </row>
    <row r="687">
      <c r="A687" s="76" t="inlineStr">
        <is>
          <t>WA</t>
        </is>
      </c>
      <c r="B687" s="76" t="inlineStr">
        <is>
          <t>Geothermal</t>
        </is>
      </c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  <c r="AA687" s="76" t="n"/>
      <c r="AB687" s="76" t="n"/>
      <c r="AC687" s="76" t="n"/>
      <c r="AD687" s="76" t="n"/>
      <c r="AE687" s="76" t="n"/>
      <c r="AF687" s="76" t="n"/>
      <c r="AG687" s="76" t="n"/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</row>
    <row r="688">
      <c r="A688" s="76" t="inlineStr">
        <is>
          <t>WA</t>
        </is>
      </c>
      <c r="B688" s="76" t="inlineStr">
        <is>
          <t>Hydro</t>
        </is>
      </c>
      <c r="C688" s="76" t="n">
        <v>0.35575</v>
      </c>
      <c r="D688" s="76" t="n">
        <v>0.40825</v>
      </c>
      <c r="E688" s="76" t="n">
        <v>0.46075</v>
      </c>
      <c r="F688" s="76" t="n">
        <v>0.4305</v>
      </c>
      <c r="G688" s="76" t="n">
        <v>0.4</v>
      </c>
      <c r="H688" s="76" t="n">
        <v>0.39825</v>
      </c>
      <c r="I688" s="76" t="n">
        <v>0.396</v>
      </c>
      <c r="J688" s="76" t="n">
        <v>0.396</v>
      </c>
      <c r="K688" s="76" t="n">
        <v>0.396</v>
      </c>
      <c r="L688" s="76" t="n">
        <v>0.3965</v>
      </c>
      <c r="M688" s="76" t="n">
        <v>0.3965</v>
      </c>
      <c r="N688" s="76" t="n">
        <v>0.3965</v>
      </c>
      <c r="O688" s="76" t="n">
        <v>0.3965</v>
      </c>
      <c r="P688" s="76" t="n">
        <v>0.39675</v>
      </c>
      <c r="Q688" s="76" t="n">
        <v>0.39675</v>
      </c>
      <c r="R688" s="76" t="n">
        <v>0.39675</v>
      </c>
      <c r="S688" s="76" t="n">
        <v>0.39675</v>
      </c>
      <c r="T688" s="76" t="n">
        <v>0.39675</v>
      </c>
      <c r="U688" s="76" t="n">
        <v>0.39675</v>
      </c>
      <c r="V688" s="76" t="n">
        <v>0.39675</v>
      </c>
      <c r="W688" s="76" t="n">
        <v>0.39675</v>
      </c>
      <c r="X688" s="76" t="n">
        <v>0.39675</v>
      </c>
      <c r="Y688" s="76" t="n">
        <v>0.39675</v>
      </c>
      <c r="Z688" s="76" t="n">
        <v>0.39675</v>
      </c>
      <c r="AA688" s="76" t="n">
        <v>0.39675</v>
      </c>
      <c r="AB688" s="76" t="n">
        <v>0.39675</v>
      </c>
      <c r="AC688" s="76" t="n">
        <v>0.39675</v>
      </c>
      <c r="AD688" s="76" t="n">
        <v>0.39675</v>
      </c>
      <c r="AE688" s="76" t="n">
        <v>0.3965</v>
      </c>
      <c r="AF688" s="76" t="n">
        <v>0.3965</v>
      </c>
      <c r="AG688" s="76" t="n">
        <v>0.3965</v>
      </c>
      <c r="AH688" s="76" t="n">
        <v>0.3965</v>
      </c>
      <c r="AI688" s="76" t="n">
        <v>0.3965</v>
      </c>
      <c r="AJ688" s="76" t="n">
        <v>0.3965</v>
      </c>
      <c r="AK688" s="76" t="n">
        <v>0.3965</v>
      </c>
      <c r="AL688" s="76" t="n">
        <v>0.3965</v>
      </c>
      <c r="AM688" s="76" t="n">
        <v>0.3965</v>
      </c>
      <c r="AN688" s="76" t="n">
        <v>0.3965</v>
      </c>
      <c r="AO688" s="76" t="n">
        <v>0.39675</v>
      </c>
      <c r="AP688" s="76" t="n">
        <v>0.39675</v>
      </c>
      <c r="AQ688" s="76" t="n">
        <v>0.39675</v>
      </c>
      <c r="AR688" s="76" t="n">
        <v>0.3983902439024397</v>
      </c>
    </row>
    <row r="689">
      <c r="A689" s="76" t="inlineStr">
        <is>
          <t>WA</t>
        </is>
      </c>
      <c r="B689" s="76" t="inlineStr">
        <is>
          <t>Nuclear</t>
        </is>
      </c>
      <c r="C689" s="76" t="n">
        <v>0.902</v>
      </c>
      <c r="D689" s="76" t="n">
        <v>0.902</v>
      </c>
      <c r="E689" s="76" t="n">
        <v>0.902</v>
      </c>
      <c r="F689" s="76" t="n">
        <v>0.902</v>
      </c>
      <c r="G689" s="76" t="n">
        <v>0.902</v>
      </c>
      <c r="H689" s="76" t="n">
        <v>0.902</v>
      </c>
      <c r="I689" s="76" t="n">
        <v>0.902</v>
      </c>
      <c r="J689" s="76" t="n">
        <v>0.902</v>
      </c>
      <c r="K689" s="76" t="n">
        <v>0.902</v>
      </c>
      <c r="L689" s="76" t="n">
        <v>0.902</v>
      </c>
      <c r="M689" s="76" t="n">
        <v>0.902</v>
      </c>
      <c r="N689" s="76" t="n">
        <v>0.902</v>
      </c>
      <c r="O689" s="76" t="n">
        <v>0.902</v>
      </c>
      <c r="P689" s="76" t="n">
        <v>0.902</v>
      </c>
      <c r="Q689" s="76" t="n">
        <v>0.902</v>
      </c>
      <c r="R689" s="76" t="n">
        <v>0.902</v>
      </c>
      <c r="S689" s="76" t="n">
        <v>0.902</v>
      </c>
      <c r="T689" s="76" t="n">
        <v>0.902</v>
      </c>
      <c r="U689" s="76" t="n">
        <v>0.902</v>
      </c>
      <c r="V689" s="76" t="n">
        <v>0.902</v>
      </c>
      <c r="W689" s="76" t="n">
        <v>0.902</v>
      </c>
      <c r="X689" s="76" t="n">
        <v>0.902</v>
      </c>
      <c r="Y689" s="76" t="n">
        <v>0.902</v>
      </c>
      <c r="Z689" s="76" t="n">
        <v>0.902</v>
      </c>
      <c r="AA689" s="76" t="n">
        <v>0.902</v>
      </c>
      <c r="AB689" s="76" t="n">
        <v>0.902</v>
      </c>
      <c r="AC689" s="76" t="n">
        <v>0.858</v>
      </c>
      <c r="AD689" s="76" t="n">
        <v>0.8129999999999999</v>
      </c>
      <c r="AE689" s="76" t="n">
        <v>0.769</v>
      </c>
      <c r="AF689" s="76" t="n">
        <v>0.724</v>
      </c>
      <c r="AG689" s="76" t="n">
        <v>0.68</v>
      </c>
      <c r="AH689" s="76" t="n">
        <v>0.68</v>
      </c>
      <c r="AI689" s="76" t="n">
        <v>0.68</v>
      </c>
      <c r="AJ689" s="76" t="n">
        <v>0.68</v>
      </c>
      <c r="AK689" s="76" t="n">
        <v>0.68</v>
      </c>
      <c r="AL689" s="76" t="n">
        <v>0.68</v>
      </c>
      <c r="AM689" s="76" t="n">
        <v>0.68</v>
      </c>
      <c r="AN689" s="76" t="n">
        <v>0.68</v>
      </c>
      <c r="AO689" s="76" t="n">
        <v>0.68</v>
      </c>
      <c r="AP689" s="76" t="n">
        <v>0.68</v>
      </c>
      <c r="AQ689" s="76" t="n">
        <v>0.68</v>
      </c>
      <c r="AR689" s="76" t="n">
        <v>0.8316097560975609</v>
      </c>
    </row>
    <row r="690">
      <c r="A690" s="76" t="inlineStr">
        <is>
          <t>WA</t>
        </is>
      </c>
      <c r="B690" s="76" t="inlineStr">
        <is>
          <t>Other</t>
        </is>
      </c>
      <c r="C690" s="76" t="n">
        <v>0.873</v>
      </c>
      <c r="D690" s="76" t="n">
        <v>0.8734999999999999</v>
      </c>
      <c r="E690" s="76" t="n">
        <v>0.874</v>
      </c>
      <c r="F690" s="76" t="n">
        <v>0.8734999999999999</v>
      </c>
      <c r="G690" s="76" t="n">
        <v>0.8734999999999999</v>
      </c>
      <c r="H690" s="76" t="n">
        <v>0.874</v>
      </c>
      <c r="I690" s="76" t="n">
        <v>0.874</v>
      </c>
      <c r="J690" s="76" t="n">
        <v>0.874</v>
      </c>
      <c r="K690" s="76" t="n">
        <v>0.874</v>
      </c>
      <c r="L690" s="76" t="n">
        <v>0.8745000000000001</v>
      </c>
      <c r="M690" s="76" t="n">
        <v>0.875</v>
      </c>
      <c r="N690" s="76" t="n">
        <v>0.875</v>
      </c>
      <c r="O690" s="76" t="n">
        <v>0.875</v>
      </c>
      <c r="P690" s="76" t="n">
        <v>0.875</v>
      </c>
      <c r="Q690" s="76" t="n">
        <v>0.875</v>
      </c>
      <c r="R690" s="76" t="n">
        <v>0.875</v>
      </c>
      <c r="S690" s="76" t="n">
        <v>0.875</v>
      </c>
      <c r="T690" s="76" t="n">
        <v>0.875</v>
      </c>
      <c r="U690" s="76" t="n">
        <v>0.875</v>
      </c>
      <c r="V690" s="76" t="n">
        <v>0.875</v>
      </c>
      <c r="W690" s="76" t="n">
        <v>0.875</v>
      </c>
      <c r="X690" s="76" t="n">
        <v>0.875</v>
      </c>
      <c r="Y690" s="76" t="n">
        <v>0.875</v>
      </c>
      <c r="Z690" s="76" t="n">
        <v>0.875</v>
      </c>
      <c r="AA690" s="76" t="n">
        <v>0.875</v>
      </c>
      <c r="AB690" s="76" t="n">
        <v>0.875</v>
      </c>
      <c r="AC690" s="76" t="n">
        <v>0.875</v>
      </c>
      <c r="AD690" s="76" t="n">
        <v>0.875</v>
      </c>
      <c r="AE690" s="76" t="n">
        <v>0.875</v>
      </c>
      <c r="AF690" s="76" t="n">
        <v>0.875</v>
      </c>
      <c r="AG690" s="76" t="n">
        <v>0.875</v>
      </c>
      <c r="AH690" s="76" t="n">
        <v>0.875</v>
      </c>
      <c r="AI690" s="76" t="n">
        <v>0.875</v>
      </c>
      <c r="AJ690" s="76" t="n">
        <v>0.875</v>
      </c>
      <c r="AK690" s="76" t="n">
        <v>0.875</v>
      </c>
      <c r="AL690" s="76" t="n">
        <v>0.875</v>
      </c>
      <c r="AM690" s="76" t="n">
        <v>0.875</v>
      </c>
      <c r="AN690" s="76" t="n">
        <v>0.875</v>
      </c>
      <c r="AO690" s="76" t="n">
        <v>0.875</v>
      </c>
      <c r="AP690" s="76" t="n">
        <v>0.875</v>
      </c>
      <c r="AQ690" s="76" t="n">
        <v>0.875</v>
      </c>
      <c r="AR690" s="76" t="n">
        <v>0.8747073170731707</v>
      </c>
    </row>
    <row r="691">
      <c r="A691" s="76" t="inlineStr">
        <is>
          <t>WA</t>
        </is>
      </c>
      <c r="B691" s="76" t="inlineStr">
        <is>
          <t>Utility PV</t>
        </is>
      </c>
      <c r="C691" s="76" t="n">
        <v>0.218</v>
      </c>
      <c r="D691" s="76" t="n">
        <v>0.217</v>
      </c>
      <c r="E691" s="76" t="n">
        <v>0.216</v>
      </c>
      <c r="F691" s="76" t="n">
        <v>0.215</v>
      </c>
      <c r="G691" s="76" t="n">
        <v>0.214</v>
      </c>
      <c r="H691" s="76" t="n">
        <v>0.213</v>
      </c>
      <c r="I691" s="76" t="n">
        <v>0.212</v>
      </c>
      <c r="J691" s="76" t="n">
        <v>0.216</v>
      </c>
      <c r="K691" s="76" t="n">
        <v>0.2155</v>
      </c>
      <c r="L691" s="76" t="n">
        <v>0.2145</v>
      </c>
      <c r="M691" s="76" t="n">
        <v>0.2135</v>
      </c>
      <c r="N691" s="76" t="n">
        <v>0.2125</v>
      </c>
      <c r="O691" s="76" t="n">
        <v>0.2115</v>
      </c>
      <c r="P691" s="76" t="n">
        <v>0.2105</v>
      </c>
      <c r="Q691" s="76" t="n">
        <v>0.2095</v>
      </c>
      <c r="R691" s="76" t="n">
        <v>0.208</v>
      </c>
      <c r="S691" s="76" t="n">
        <v>0.207</v>
      </c>
      <c r="T691" s="76" t="n">
        <v>0.206</v>
      </c>
      <c r="U691" s="76" t="n">
        <v>0.205</v>
      </c>
      <c r="V691" s="76" t="n">
        <v>0.21675</v>
      </c>
      <c r="W691" s="76" t="n">
        <v>0.2165</v>
      </c>
      <c r="X691" s="76" t="n">
        <v>0.21725</v>
      </c>
      <c r="Y691" s="76" t="n">
        <v>0.21725</v>
      </c>
      <c r="Z691" s="76" t="n">
        <v>0.2165</v>
      </c>
      <c r="AA691" s="76" t="n">
        <v>0.21625</v>
      </c>
      <c r="AB691" s="76" t="n">
        <v>0.2155</v>
      </c>
      <c r="AC691" s="76" t="n">
        <v>0.21475</v>
      </c>
      <c r="AD691" s="76" t="n">
        <v>0.21425</v>
      </c>
      <c r="AE691" s="76" t="n">
        <v>0.2135</v>
      </c>
      <c r="AF691" s="76" t="n">
        <v>0.2125</v>
      </c>
      <c r="AG691" s="76" t="n">
        <v>0.2115</v>
      </c>
      <c r="AH691" s="76" t="n">
        <v>0.211</v>
      </c>
      <c r="AI691" s="76" t="n">
        <v>0.21025</v>
      </c>
      <c r="AJ691" s="76" t="n">
        <v>0.20975</v>
      </c>
      <c r="AK691" s="76" t="n">
        <v>0.209</v>
      </c>
      <c r="AL691" s="76" t="n">
        <v>0.20825</v>
      </c>
      <c r="AM691" s="76" t="n">
        <v>0.2075</v>
      </c>
      <c r="AN691" s="76" t="n">
        <v>0.20725</v>
      </c>
      <c r="AO691" s="76" t="n">
        <v>0.20675</v>
      </c>
      <c r="AP691" s="76" t="n">
        <v>0.20625</v>
      </c>
      <c r="AQ691" s="76" t="n">
        <v>0.2055</v>
      </c>
      <c r="AR691" s="76" t="n">
        <v>0.2119327731092436</v>
      </c>
    </row>
    <row r="692">
      <c r="A692" s="76" t="inlineStr">
        <is>
          <t>WA</t>
        </is>
      </c>
      <c r="B692" s="76" t="inlineStr">
        <is>
          <t>Wind offshore</t>
        </is>
      </c>
      <c r="C692" s="76" t="n"/>
      <c r="D692" s="76" t="n"/>
      <c r="E692" s="76" t="n"/>
      <c r="F692" s="76" t="n"/>
      <c r="G692" s="76" t="n"/>
      <c r="H692" s="76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  <c r="AA692" s="76" t="n"/>
      <c r="AB692" s="76" t="n"/>
      <c r="AC692" s="76" t="n"/>
      <c r="AD692" s="76" t="n"/>
      <c r="AE692" s="76" t="n"/>
      <c r="AF692" s="76" t="n"/>
      <c r="AG692" s="76" t="n"/>
      <c r="AH692" s="76" t="n">
        <v>0.363</v>
      </c>
      <c r="AI692" s="76" t="n">
        <v>0.363</v>
      </c>
      <c r="AJ692" s="76" t="n">
        <v>0.363</v>
      </c>
      <c r="AK692" s="76" t="n">
        <v>0.363</v>
      </c>
      <c r="AL692" s="76" t="n">
        <v>0.363</v>
      </c>
      <c r="AM692" s="76" t="n">
        <v>0.3655</v>
      </c>
      <c r="AN692" s="76" t="n">
        <v>0.368</v>
      </c>
      <c r="AO692" s="76" t="n">
        <v>0.3715</v>
      </c>
      <c r="AP692" s="76" t="n">
        <v>0.374</v>
      </c>
      <c r="AQ692" s="76" t="n">
        <v>0.377</v>
      </c>
      <c r="AR692" s="76" t="n">
        <v>0.3671</v>
      </c>
    </row>
    <row r="693">
      <c r="A693" s="76" t="inlineStr">
        <is>
          <t>WA</t>
        </is>
      </c>
      <c r="B693" s="76" t="inlineStr">
        <is>
          <t>Wind onshore</t>
        </is>
      </c>
      <c r="C693" s="76" t="n">
        <v>0.3025</v>
      </c>
      <c r="D693" s="76" t="n">
        <v>0.2923333333333333</v>
      </c>
      <c r="E693" s="76" t="n">
        <v>0.292</v>
      </c>
      <c r="F693" s="76" t="n">
        <v>0.2923333333333333</v>
      </c>
      <c r="G693" s="76" t="n">
        <v>0.2926666666666667</v>
      </c>
      <c r="H693" s="76" t="n">
        <v>0.2913333333333333</v>
      </c>
      <c r="I693" s="76" t="n">
        <v>0.2896666666666667</v>
      </c>
      <c r="J693" s="76" t="n">
        <v>0.2913333333333333</v>
      </c>
      <c r="K693" s="76" t="n">
        <v>0.2926666666666667</v>
      </c>
      <c r="L693" s="76" t="n">
        <v>0.293</v>
      </c>
      <c r="M693" s="76" t="n">
        <v>0.2933333333333333</v>
      </c>
      <c r="N693" s="76" t="n">
        <v>0.2933333333333333</v>
      </c>
      <c r="O693" s="76" t="n">
        <v>0.2933333333333333</v>
      </c>
      <c r="P693" s="76" t="n">
        <v>0.2933333333333333</v>
      </c>
      <c r="Q693" s="76" t="n">
        <v>0.2933333333333333</v>
      </c>
      <c r="R693" s="76" t="n">
        <v>0.2933333333333333</v>
      </c>
      <c r="S693" s="76" t="n">
        <v>0.2933333333333333</v>
      </c>
      <c r="T693" s="76" t="n">
        <v>0.3016666666666667</v>
      </c>
      <c r="U693" s="76" t="n">
        <v>0.3053333333333333</v>
      </c>
      <c r="V693" s="76" t="n">
        <v>0.3053333333333333</v>
      </c>
      <c r="W693" s="76" t="n">
        <v>0.305</v>
      </c>
      <c r="X693" s="76" t="n">
        <v>0.3083333333333333</v>
      </c>
      <c r="Y693" s="76" t="n">
        <v>0.3113333333333334</v>
      </c>
      <c r="Z693" s="76" t="n">
        <v>0.3106666666666667</v>
      </c>
      <c r="AA693" s="76" t="n">
        <v>0.31</v>
      </c>
      <c r="AB693" s="76" t="n">
        <v>0.31</v>
      </c>
      <c r="AC693" s="76" t="n">
        <v>0.3116666666666667</v>
      </c>
      <c r="AD693" s="76" t="n">
        <v>0.3133333333333334</v>
      </c>
      <c r="AE693" s="76" t="n">
        <v>0.3146666666666667</v>
      </c>
      <c r="AF693" s="76" t="n">
        <v>0.3156666666666667</v>
      </c>
      <c r="AG693" s="76" t="n">
        <v>0.3166666666666667</v>
      </c>
      <c r="AH693" s="76" t="n">
        <v>0.3246666666666667</v>
      </c>
      <c r="AI693" s="76" t="n">
        <v>0.3326666666666667</v>
      </c>
      <c r="AJ693" s="76" t="n">
        <v>0.3406666666666667</v>
      </c>
      <c r="AK693" s="76" t="n">
        <v>0.3503333333333333</v>
      </c>
      <c r="AL693" s="76" t="n">
        <v>0.3623333333333333</v>
      </c>
      <c r="AM693" s="76" t="n">
        <v>0.3626666666666667</v>
      </c>
      <c r="AN693" s="76" t="n">
        <v>0.363</v>
      </c>
      <c r="AO693" s="76" t="n">
        <v>0.363</v>
      </c>
      <c r="AP693" s="76" t="n">
        <v>0.3633333333333333</v>
      </c>
      <c r="AQ693" s="76" t="n">
        <v>0.3633333333333333</v>
      </c>
      <c r="AR693" s="76" t="n">
        <v>0.3134754098360656</v>
      </c>
    </row>
    <row r="694">
      <c r="A694" s="76" t="inlineStr">
        <is>
          <t>WI</t>
        </is>
      </c>
      <c r="B694" s="76" t="inlineStr">
        <is>
          <t>WI</t>
        </is>
      </c>
      <c r="C694" s="76" t="n">
        <v>0.270076923076923</v>
      </c>
      <c r="D694" s="76" t="n">
        <v>0.283775</v>
      </c>
      <c r="E694" s="76" t="n">
        <v>0.3112051282051281</v>
      </c>
      <c r="F694" s="76" t="n">
        <v>0.3081219512195121</v>
      </c>
      <c r="G694" s="76" t="n">
        <v>0.3216585365853658</v>
      </c>
      <c r="H694" s="76" t="n">
        <v>0.3252619047619046</v>
      </c>
      <c r="I694" s="76" t="n">
        <v>0.3283571428571428</v>
      </c>
      <c r="J694" s="76" t="n">
        <v>0.3256444444444444</v>
      </c>
      <c r="K694" s="76" t="n">
        <v>0.3293555555555555</v>
      </c>
      <c r="L694" s="76" t="n">
        <v>0.3263555555555555</v>
      </c>
      <c r="M694" s="76" t="n">
        <v>0.3097727272727272</v>
      </c>
      <c r="N694" s="76" t="n">
        <v>0.3097555555555556</v>
      </c>
      <c r="O694" s="76" t="n">
        <v>0.3055555555555555</v>
      </c>
      <c r="P694" s="76" t="n">
        <v>0.3041041666666666</v>
      </c>
      <c r="Q694" s="76" t="n">
        <v>0.3136458333333333</v>
      </c>
      <c r="R694" s="76" t="n">
        <v>0.2740384615384616</v>
      </c>
      <c r="S694" s="76" t="n">
        <v>0.2630192307692307</v>
      </c>
      <c r="T694" s="76" t="n">
        <v>0.2569230769230769</v>
      </c>
      <c r="U694" s="76" t="n">
        <v>0.2506538461538461</v>
      </c>
      <c r="V694" s="76" t="n">
        <v>0.2352641509433962</v>
      </c>
      <c r="W694" s="76" t="n">
        <v>0.2251509433962264</v>
      </c>
      <c r="X694" s="76" t="n">
        <v>0.2259814814814814</v>
      </c>
      <c r="Y694" s="76" t="n">
        <v>0.2081923076923077</v>
      </c>
      <c r="Z694" s="76" t="n">
        <v>0.2081730769230769</v>
      </c>
      <c r="AA694" s="76" t="n">
        <v>0.2080769230769231</v>
      </c>
      <c r="AB694" s="76" t="n">
        <v>0.2012857142857143</v>
      </c>
      <c r="AC694" s="76" t="n">
        <v>0.200469387755102</v>
      </c>
      <c r="AD694" s="76" t="n">
        <v>0.1997755102040816</v>
      </c>
      <c r="AE694" s="76" t="n">
        <v>0.199265306122449</v>
      </c>
      <c r="AF694" s="76" t="n">
        <v>0.1986326530612245</v>
      </c>
      <c r="AG694" s="76" t="n">
        <v>0.1982040816326531</v>
      </c>
      <c r="AH694" s="76" t="n">
        <v>0.1977755102040816</v>
      </c>
      <c r="AI694" s="76" t="n">
        <v>0.197265306122449</v>
      </c>
      <c r="AJ694" s="76" t="n">
        <v>0.1967755102040816</v>
      </c>
      <c r="AK694" s="76" t="n">
        <v>0.1963061224489796</v>
      </c>
      <c r="AL694" s="76" t="n">
        <v>0.1957551020408163</v>
      </c>
      <c r="AM694" s="76" t="n">
        <v>0.2034509803921569</v>
      </c>
      <c r="AN694" s="76" t="n">
        <v>0.2018431372549019</v>
      </c>
      <c r="AO694" s="76" t="n">
        <v>0.2001176470588235</v>
      </c>
      <c r="AP694" s="76" t="n">
        <v>0.1982941176470588</v>
      </c>
      <c r="AQ694" s="76" t="n">
        <v>0.1964901960784314</v>
      </c>
      <c r="AR694" s="76" t="n">
        <v>0.2459211997966446</v>
      </c>
    </row>
    <row r="695">
      <c r="A695" s="76" t="inlineStr">
        <is>
          <t>WI</t>
        </is>
      </c>
      <c r="B695" s="76" t="inlineStr">
        <is>
          <t>Battery</t>
        </is>
      </c>
      <c r="C695" s="76" t="n"/>
      <c r="D695" s="76" t="n"/>
      <c r="E695" s="76" t="n"/>
      <c r="F695" s="76" t="n"/>
      <c r="G695" s="76" t="n"/>
      <c r="H695" s="76" t="n"/>
      <c r="I695" s="76" t="n"/>
      <c r="J695" s="76" t="n"/>
      <c r="K695" s="76" t="n"/>
      <c r="L695" s="76" t="n"/>
      <c r="M695" s="76" t="n"/>
      <c r="N695" s="76" t="n"/>
      <c r="O695" s="76" t="n"/>
      <c r="P695" s="76" t="n">
        <v>-0.042</v>
      </c>
      <c r="Q695" s="76" t="n">
        <v>-0.042</v>
      </c>
      <c r="R695" s="76" t="n">
        <v>-0.05940000000000001</v>
      </c>
      <c r="S695" s="76" t="n">
        <v>-0.05940000000000001</v>
      </c>
      <c r="T695" s="76" t="n">
        <v>-0.05839999999999999</v>
      </c>
      <c r="U695" s="76" t="n">
        <v>-0.0578</v>
      </c>
      <c r="V695" s="76" t="n">
        <v>-0.05366666666666667</v>
      </c>
      <c r="W695" s="76" t="n">
        <v>-0.052</v>
      </c>
      <c r="X695" s="76" t="n">
        <v>-0.055</v>
      </c>
      <c r="Y695" s="76" t="n">
        <v>-0.0575</v>
      </c>
      <c r="Z695" s="76" t="n">
        <v>-0.0575</v>
      </c>
      <c r="AA695" s="76" t="n">
        <v>-0.05633333333333334</v>
      </c>
      <c r="AB695" s="76" t="n">
        <v>-0.0545</v>
      </c>
      <c r="AC695" s="76" t="n">
        <v>-0.05816666666666667</v>
      </c>
      <c r="AD695" s="76" t="n">
        <v>-0.061</v>
      </c>
      <c r="AE695" s="76" t="n">
        <v>-0.06333333333333334</v>
      </c>
      <c r="AF695" s="76" t="n">
        <v>-0.06533333333333334</v>
      </c>
      <c r="AG695" s="76" t="n">
        <v>-0.067</v>
      </c>
      <c r="AH695" s="76" t="n">
        <v>-0.06716666666666667</v>
      </c>
      <c r="AI695" s="76" t="n">
        <v>-0.0675</v>
      </c>
      <c r="AJ695" s="76" t="n">
        <v>-0.0675</v>
      </c>
      <c r="AK695" s="76" t="n">
        <v>-0.06733333333333334</v>
      </c>
      <c r="AL695" s="76" t="n">
        <v>-0.0675</v>
      </c>
      <c r="AM695" s="76" t="n">
        <v>-0.06616666666666667</v>
      </c>
      <c r="AN695" s="76" t="n">
        <v>-0.06466666666666666</v>
      </c>
      <c r="AO695" s="76" t="n">
        <v>-0.063</v>
      </c>
      <c r="AP695" s="76" t="n">
        <v>-0.06183333333333333</v>
      </c>
      <c r="AQ695" s="76" t="n">
        <v>-0.06033333333333333</v>
      </c>
      <c r="AR695" s="76" t="n">
        <v>-0.06094155844155844</v>
      </c>
    </row>
    <row r="696">
      <c r="A696" s="76" t="inlineStr">
        <is>
          <t>WI</t>
        </is>
      </c>
      <c r="B696" s="76" t="inlineStr">
        <is>
          <t>Biopower</t>
        </is>
      </c>
      <c r="C696" s="76" t="n">
        <v>0.3574000000000001</v>
      </c>
      <c r="D696" s="76" t="n">
        <v>0.3612</v>
      </c>
      <c r="E696" s="76" t="n">
        <v>0.3982</v>
      </c>
      <c r="F696" s="76" t="n">
        <v>0.2993333333333333</v>
      </c>
      <c r="G696" s="76" t="n">
        <v>0.2848333333333333</v>
      </c>
      <c r="H696" s="76" t="n">
        <v>0.2698333333333333</v>
      </c>
      <c r="I696" s="76" t="n">
        <v>0.2616666666666667</v>
      </c>
      <c r="J696" s="76" t="n">
        <v>0.2578333333333334</v>
      </c>
      <c r="K696" s="76" t="n">
        <v>0.2533333333333334</v>
      </c>
      <c r="L696" s="76" t="n">
        <v>0.2533333333333334</v>
      </c>
      <c r="M696" s="76" t="n">
        <v>0.2533333333333334</v>
      </c>
      <c r="N696" s="76" t="n">
        <v>0.2533333333333334</v>
      </c>
      <c r="O696" s="76" t="n">
        <v>0.2533333333333334</v>
      </c>
      <c r="P696" s="76" t="n">
        <v>0.2621666666666667</v>
      </c>
      <c r="Q696" s="76" t="n">
        <v>0.2885</v>
      </c>
      <c r="R696" s="76" t="n">
        <v>0.2885</v>
      </c>
      <c r="S696" s="76" t="n">
        <v>0.2885</v>
      </c>
      <c r="T696" s="76" t="n">
        <v>0.2903333333333333</v>
      </c>
      <c r="U696" s="76" t="n">
        <v>0.292</v>
      </c>
      <c r="V696" s="76" t="n">
        <v>0.2903333333333333</v>
      </c>
      <c r="W696" s="76" t="n">
        <v>0.2885</v>
      </c>
      <c r="X696" s="76" t="n">
        <v>0.2943333333333333</v>
      </c>
      <c r="Y696" s="76" t="n">
        <v>0.3</v>
      </c>
      <c r="Z696" s="76" t="n">
        <v>0.3071666666666666</v>
      </c>
      <c r="AA696" s="76" t="n">
        <v>0.3138333333333334</v>
      </c>
      <c r="AB696" s="76" t="n">
        <v>0.32</v>
      </c>
      <c r="AC696" s="76" t="n">
        <v>0.3236666666666666</v>
      </c>
      <c r="AD696" s="76" t="n">
        <v>0.3271666666666667</v>
      </c>
      <c r="AE696" s="76" t="n">
        <v>0.331</v>
      </c>
      <c r="AF696" s="76" t="n">
        <v>0.3343333333333334</v>
      </c>
      <c r="AG696" s="76" t="n">
        <v>0.338</v>
      </c>
      <c r="AH696" s="76" t="n">
        <v>0.3298333333333333</v>
      </c>
      <c r="AI696" s="76" t="n">
        <v>0.3221666666666667</v>
      </c>
      <c r="AJ696" s="76" t="n">
        <v>0.314</v>
      </c>
      <c r="AK696" s="76" t="n">
        <v>0.306</v>
      </c>
      <c r="AL696" s="76" t="n">
        <v>0.298</v>
      </c>
      <c r="AM696" s="76" t="n">
        <v>0.2816666666666667</v>
      </c>
      <c r="AN696" s="76" t="n">
        <v>0.2646666666666667</v>
      </c>
      <c r="AO696" s="76" t="n">
        <v>0.2473333333333333</v>
      </c>
      <c r="AP696" s="76" t="n">
        <v>0.2295</v>
      </c>
      <c r="AQ696" s="76" t="n">
        <v>0.2108333333333333</v>
      </c>
      <c r="AR696" s="76" t="n">
        <v>0.2926707818930043</v>
      </c>
    </row>
    <row r="697">
      <c r="A697" s="76" t="inlineStr">
        <is>
          <t>WI</t>
        </is>
      </c>
      <c r="B697" s="76" t="inlineStr">
        <is>
          <t>Coal</t>
        </is>
      </c>
      <c r="C697" s="76" t="n">
        <v>0.4976666666666667</v>
      </c>
      <c r="D697" s="76" t="n">
        <v>0.3975</v>
      </c>
      <c r="E697" s="76" t="n">
        <v>0.3546</v>
      </c>
      <c r="F697" s="76" t="n">
        <v>0.5464</v>
      </c>
      <c r="G697" s="76" t="n">
        <v>0.7645999999999999</v>
      </c>
      <c r="H697" s="76" t="n">
        <v>0.7236</v>
      </c>
      <c r="I697" s="76" t="n">
        <v>0.655</v>
      </c>
      <c r="J697" s="76" t="n">
        <v>0.6984</v>
      </c>
      <c r="K697" s="76" t="n">
        <v>0.7448</v>
      </c>
      <c r="L697" s="76" t="n">
        <v>0.6866000000000001</v>
      </c>
      <c r="M697" s="76" t="n">
        <v>0.57325</v>
      </c>
      <c r="N697" s="76" t="n">
        <v>0.54625</v>
      </c>
      <c r="O697" s="76" t="n">
        <v>0.51925</v>
      </c>
      <c r="P697" s="76" t="n">
        <v>0.58375</v>
      </c>
      <c r="Q697" s="76" t="n">
        <v>0.66525</v>
      </c>
      <c r="R697" s="76" t="n">
        <v>0.665</v>
      </c>
      <c r="S697" s="76" t="n">
        <v>0.66475</v>
      </c>
      <c r="T697" s="76" t="n">
        <v>0.6245000000000001</v>
      </c>
      <c r="U697" s="76" t="n">
        <v>0.582</v>
      </c>
      <c r="V697" s="76" t="n">
        <v>0.48675</v>
      </c>
      <c r="W697" s="76" t="n">
        <v>0.3915</v>
      </c>
      <c r="X697" s="76" t="n">
        <v>0.3664999999999999</v>
      </c>
      <c r="Y697" s="76" t="n">
        <v>0.319</v>
      </c>
      <c r="Z697" s="76" t="n">
        <v>0.319</v>
      </c>
      <c r="AA697" s="76" t="n">
        <v>0.319</v>
      </c>
      <c r="AB697" s="76" t="n"/>
      <c r="AC697" s="76" t="n"/>
      <c r="AD697" s="76" t="n"/>
      <c r="AE697" s="76" t="n"/>
      <c r="AF697" s="76" t="n"/>
      <c r="AG697" s="76" t="n"/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>
        <v>0.5576788990825692</v>
      </c>
    </row>
    <row r="698">
      <c r="A698" s="76" t="inlineStr">
        <is>
          <t>WI</t>
        </is>
      </c>
      <c r="B698" s="76" t="inlineStr">
        <is>
          <t>CSP</t>
        </is>
      </c>
      <c r="C698" s="76" t="n"/>
      <c r="D698" s="76" t="n"/>
      <c r="E698" s="76" t="n"/>
      <c r="F698" s="76" t="n"/>
      <c r="G698" s="76" t="n"/>
      <c r="H698" s="76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  <c r="AA698" s="76" t="n"/>
      <c r="AB698" s="76" t="n"/>
      <c r="AC698" s="76" t="n"/>
      <c r="AD698" s="76" t="n"/>
      <c r="AE698" s="76" t="n"/>
      <c r="AF698" s="76" t="n"/>
      <c r="AG698" s="76" t="n"/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</row>
    <row r="699">
      <c r="A699" s="76" t="inlineStr">
        <is>
          <t>WI</t>
        </is>
      </c>
      <c r="B699" s="76" t="inlineStr">
        <is>
          <t>Dist PV</t>
        </is>
      </c>
      <c r="C699" s="76" t="n">
        <v>0.1558</v>
      </c>
      <c r="D699" s="76" t="n">
        <v>0.1565</v>
      </c>
      <c r="E699" s="76" t="n">
        <v>0.1565</v>
      </c>
      <c r="F699" s="76" t="n">
        <v>0.1565</v>
      </c>
      <c r="G699" s="76" t="n">
        <v>0.1565</v>
      </c>
      <c r="H699" s="76" t="n">
        <v>0.1565</v>
      </c>
      <c r="I699" s="76" t="n">
        <v>0.1565</v>
      </c>
      <c r="J699" s="76" t="n">
        <v>0.1565</v>
      </c>
      <c r="K699" s="76" t="n">
        <v>0.1565</v>
      </c>
      <c r="L699" s="76" t="n">
        <v>0.1565</v>
      </c>
      <c r="M699" s="76" t="n">
        <v>0.1565</v>
      </c>
      <c r="N699" s="76" t="n">
        <v>0.1563333333333334</v>
      </c>
      <c r="O699" s="76" t="n">
        <v>0.1563333333333334</v>
      </c>
      <c r="P699" s="76" t="n">
        <v>0.1563333333333334</v>
      </c>
      <c r="Q699" s="76" t="n">
        <v>0.1565</v>
      </c>
      <c r="R699" s="76" t="n">
        <v>0.1563333333333334</v>
      </c>
      <c r="S699" s="76" t="n">
        <v>0.1563333333333334</v>
      </c>
      <c r="T699" s="76" t="n">
        <v>0.1536666666666667</v>
      </c>
      <c r="U699" s="76" t="n">
        <v>0.1521666666666667</v>
      </c>
      <c r="V699" s="76" t="n">
        <v>0.1543333333333334</v>
      </c>
      <c r="W699" s="76" t="n">
        <v>0.156</v>
      </c>
      <c r="X699" s="76" t="n">
        <v>0.1555</v>
      </c>
      <c r="Y699" s="76" t="n">
        <v>0.155</v>
      </c>
      <c r="Z699" s="76" t="n">
        <v>0.155</v>
      </c>
      <c r="AA699" s="76" t="n">
        <v>0.155</v>
      </c>
      <c r="AB699" s="76" t="n">
        <v>0.155</v>
      </c>
      <c r="AC699" s="76" t="n">
        <v>0.1553333333333334</v>
      </c>
      <c r="AD699" s="76" t="n">
        <v>0.1556666666666667</v>
      </c>
      <c r="AE699" s="76" t="n">
        <v>0.1558333333333334</v>
      </c>
      <c r="AF699" s="76" t="n">
        <v>0.156</v>
      </c>
      <c r="AG699" s="76" t="n">
        <v>0.1561666666666667</v>
      </c>
      <c r="AH699" s="76" t="n">
        <v>0.1561666666666667</v>
      </c>
      <c r="AI699" s="76" t="n">
        <v>0.1561666666666667</v>
      </c>
      <c r="AJ699" s="76" t="n">
        <v>0.1561666666666667</v>
      </c>
      <c r="AK699" s="76" t="n">
        <v>0.1561666666666667</v>
      </c>
      <c r="AL699" s="76" t="n">
        <v>0.1563333333333334</v>
      </c>
      <c r="AM699" s="76" t="n">
        <v>0.1563333333333334</v>
      </c>
      <c r="AN699" s="76" t="n">
        <v>0.1563333333333334</v>
      </c>
      <c r="AO699" s="76" t="n">
        <v>0.1565</v>
      </c>
      <c r="AP699" s="76" t="n">
        <v>0.1565</v>
      </c>
      <c r="AQ699" s="76" t="n">
        <v>0.1565</v>
      </c>
      <c r="AR699" s="76" t="n">
        <v>0.1559224489795918</v>
      </c>
    </row>
    <row r="700">
      <c r="A700" s="76" t="inlineStr">
        <is>
          <t>WI</t>
        </is>
      </c>
      <c r="B700" s="76" t="inlineStr">
        <is>
          <t>Gas CCGT</t>
        </is>
      </c>
      <c r="C700" s="76" t="n">
        <v>0.06133333333333333</v>
      </c>
      <c r="D700" s="76" t="n">
        <v>0.44</v>
      </c>
      <c r="E700" s="76" t="n">
        <v>0.8186666666666667</v>
      </c>
      <c r="F700" s="76" t="n">
        <v>0.597</v>
      </c>
      <c r="G700" s="76" t="n">
        <v>0.375</v>
      </c>
      <c r="H700" s="76" t="n">
        <v>0.6196666666666667</v>
      </c>
      <c r="I700" s="76" t="n">
        <v>0.8646666666666668</v>
      </c>
      <c r="J700" s="76" t="n">
        <v>0.8483333333333333</v>
      </c>
      <c r="K700" s="76" t="n">
        <v>0.8323333333333333</v>
      </c>
      <c r="L700" s="76" t="n">
        <v>0.8576666666666667</v>
      </c>
      <c r="M700" s="76" t="n">
        <v>0.8756666666666666</v>
      </c>
      <c r="N700" s="76" t="n">
        <v>0.854</v>
      </c>
      <c r="O700" s="76" t="n">
        <v>0.8326666666666668</v>
      </c>
      <c r="P700" s="76" t="n">
        <v>0.8210000000000001</v>
      </c>
      <c r="Q700" s="76" t="n">
        <v>0.8093333333333333</v>
      </c>
      <c r="R700" s="76" t="n">
        <v>0.644</v>
      </c>
      <c r="S700" s="76" t="n">
        <v>0.4786666666666666</v>
      </c>
      <c r="T700" s="76" t="n">
        <v>0.4183333333333333</v>
      </c>
      <c r="U700" s="76" t="n">
        <v>0.358</v>
      </c>
      <c r="V700" s="76" t="n">
        <v>0.3096666666666667</v>
      </c>
      <c r="W700" s="76" t="n">
        <v>0.261</v>
      </c>
      <c r="X700" s="76" t="n">
        <v>0.2703333333333333</v>
      </c>
      <c r="Y700" s="76" t="n">
        <v>0.2793333333333334</v>
      </c>
      <c r="Z700" s="76" t="n">
        <v>0.2693333333333334</v>
      </c>
      <c r="AA700" s="76" t="n">
        <v>0.259</v>
      </c>
      <c r="AB700" s="76" t="n">
        <v>0.249</v>
      </c>
      <c r="AC700" s="76" t="n">
        <v>0.239</v>
      </c>
      <c r="AD700" s="76" t="n">
        <v>0.2286666666666667</v>
      </c>
      <c r="AE700" s="76" t="n">
        <v>0.2186666666666667</v>
      </c>
      <c r="AF700" s="76" t="n">
        <v>0.2086666666666667</v>
      </c>
      <c r="AG700" s="76" t="n">
        <v>0.1986666666666667</v>
      </c>
      <c r="AH700" s="76" t="n">
        <v>0.2093333333333333</v>
      </c>
      <c r="AI700" s="76" t="n">
        <v>0.2203333333333334</v>
      </c>
      <c r="AJ700" s="76" t="n">
        <v>0.2313333333333333</v>
      </c>
      <c r="AK700" s="76" t="n">
        <v>0.2423333333333333</v>
      </c>
      <c r="AL700" s="76" t="n">
        <v>0.2526666666666667</v>
      </c>
      <c r="AM700" s="76" t="n">
        <v>0.25</v>
      </c>
      <c r="AN700" s="76" t="n">
        <v>0.2466666666666667</v>
      </c>
      <c r="AO700" s="76" t="n">
        <v>0.2433333333333333</v>
      </c>
      <c r="AP700" s="76" t="n">
        <v>0.24</v>
      </c>
      <c r="AQ700" s="76" t="n">
        <v>0.237</v>
      </c>
      <c r="AR700" s="76" t="n">
        <v>0.4334308943089429</v>
      </c>
    </row>
    <row r="701">
      <c r="A701" s="76" t="inlineStr">
        <is>
          <t>WI</t>
        </is>
      </c>
      <c r="B701" s="76" t="inlineStr">
        <is>
          <t>Gas CT</t>
        </is>
      </c>
      <c r="C701" s="76" t="n">
        <v>0.004</v>
      </c>
      <c r="D701" s="76" t="n">
        <v>0.011</v>
      </c>
      <c r="E701" s="76" t="n">
        <v>0.01783333333333333</v>
      </c>
      <c r="F701" s="76" t="n">
        <v>0.007833333333333335</v>
      </c>
      <c r="G701" s="76" t="n">
        <v>0.008</v>
      </c>
      <c r="H701" s="76" t="n">
        <v>0.01566666666666667</v>
      </c>
      <c r="I701" s="76" t="n">
        <v>0.02183333333333333</v>
      </c>
      <c r="J701" s="76" t="n">
        <v>0.0245</v>
      </c>
      <c r="K701" s="76" t="n">
        <v>0.02616666666666667</v>
      </c>
      <c r="L701" s="76" t="n">
        <v>0.02916666666666667</v>
      </c>
      <c r="M701" s="76" t="n">
        <v>0.0315</v>
      </c>
      <c r="N701" s="76" t="n">
        <v>0.02616666666666667</v>
      </c>
      <c r="O701" s="76" t="n">
        <v>0.0205</v>
      </c>
      <c r="P701" s="76" t="n">
        <v>0.023</v>
      </c>
      <c r="Q701" s="76" t="n">
        <v>0.02566666666666667</v>
      </c>
      <c r="R701" s="76" t="n">
        <v>0.01733333333333334</v>
      </c>
      <c r="S701" s="76" t="n">
        <v>0.008166666666666666</v>
      </c>
      <c r="T701" s="76" t="n">
        <v>0.007499999999999999</v>
      </c>
      <c r="U701" s="76" t="n">
        <v>0.0065</v>
      </c>
      <c r="V701" s="76" t="n">
        <v>0.005</v>
      </c>
      <c r="W701" s="76" t="n">
        <v>0.003333333333333334</v>
      </c>
      <c r="X701" s="76" t="n">
        <v>0.003833333333333334</v>
      </c>
      <c r="Y701" s="76" t="n">
        <v>0.004333333333333333</v>
      </c>
      <c r="Z701" s="76" t="n">
        <v>0.007</v>
      </c>
      <c r="AA701" s="76" t="n">
        <v>0.0095</v>
      </c>
      <c r="AB701" s="76" t="n">
        <v>0.01216666666666667</v>
      </c>
      <c r="AC701" s="76" t="n">
        <v>0.01133333333333333</v>
      </c>
      <c r="AD701" s="76" t="n">
        <v>0.01083333333333333</v>
      </c>
      <c r="AE701" s="76" t="n">
        <v>0.0105</v>
      </c>
      <c r="AF701" s="76" t="n">
        <v>0.009833333333333335</v>
      </c>
      <c r="AG701" s="76" t="n">
        <v>0.009166666666666667</v>
      </c>
      <c r="AH701" s="76" t="n">
        <v>0.008500000000000001</v>
      </c>
      <c r="AI701" s="76" t="n">
        <v>0.007833333333333333</v>
      </c>
      <c r="AJ701" s="76" t="n">
        <v>0.007333333333333333</v>
      </c>
      <c r="AK701" s="76" t="n">
        <v>0.006833333333333334</v>
      </c>
      <c r="AL701" s="76" t="n">
        <v>0.006166666666666667</v>
      </c>
      <c r="AM701" s="76" t="n">
        <v>0.005166666666666667</v>
      </c>
      <c r="AN701" s="76" t="n">
        <v>0.004166666666666667</v>
      </c>
      <c r="AO701" s="76" t="n">
        <v>0.003166666666666667</v>
      </c>
      <c r="AP701" s="76" t="n">
        <v>0.002333333333333334</v>
      </c>
      <c r="AQ701" s="76" t="n">
        <v>0.001333333333333333</v>
      </c>
      <c r="AR701" s="76" t="n">
        <v>0.01175609756097559</v>
      </c>
    </row>
    <row r="702">
      <c r="A702" s="76" t="inlineStr">
        <is>
          <t>WI</t>
        </is>
      </c>
      <c r="B702" s="76" t="inlineStr">
        <is>
          <t>Geothermal</t>
        </is>
      </c>
      <c r="C702" s="76" t="n"/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76" t="n"/>
      <c r="AC702" s="76" t="n"/>
      <c r="AD702" s="76" t="n"/>
      <c r="AE702" s="76" t="n"/>
      <c r="AF702" s="76" t="n"/>
      <c r="AG702" s="76" t="n"/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</row>
    <row r="703">
      <c r="A703" s="76" t="inlineStr">
        <is>
          <t>WI</t>
        </is>
      </c>
      <c r="B703" s="76" t="inlineStr">
        <is>
          <t>Hydro</t>
        </is>
      </c>
      <c r="C703" s="76" t="n">
        <v>0.7202500000000001</v>
      </c>
      <c r="D703" s="76" t="n">
        <v>0.72525</v>
      </c>
      <c r="E703" s="76" t="n">
        <v>0.7305</v>
      </c>
      <c r="F703" s="76" t="n">
        <v>0.78525</v>
      </c>
      <c r="G703" s="76" t="n">
        <v>0.8392499999999999</v>
      </c>
      <c r="H703" s="76" t="n">
        <v>0.77725</v>
      </c>
      <c r="I703" s="76" t="n">
        <v>0.715</v>
      </c>
      <c r="J703" s="76" t="n">
        <v>0.7152499999999999</v>
      </c>
      <c r="K703" s="76" t="n">
        <v>0.71575</v>
      </c>
      <c r="L703" s="76" t="n">
        <v>0.71775</v>
      </c>
      <c r="M703" s="76" t="n">
        <v>0.71975</v>
      </c>
      <c r="N703" s="76" t="n">
        <v>0.71975</v>
      </c>
      <c r="O703" s="76" t="n">
        <v>0.71975</v>
      </c>
      <c r="P703" s="76" t="n">
        <v>0.71975</v>
      </c>
      <c r="Q703" s="76" t="n">
        <v>0.71975</v>
      </c>
      <c r="R703" s="76" t="n">
        <v>0.71975</v>
      </c>
      <c r="S703" s="76" t="n">
        <v>0.71975</v>
      </c>
      <c r="T703" s="76" t="n">
        <v>0.71975</v>
      </c>
      <c r="U703" s="76" t="n">
        <v>0.71975</v>
      </c>
      <c r="V703" s="76" t="n">
        <v>0.71975</v>
      </c>
      <c r="W703" s="76" t="n">
        <v>0.71975</v>
      </c>
      <c r="X703" s="76" t="n">
        <v>0.71975</v>
      </c>
      <c r="Y703" s="76" t="n">
        <v>0.72</v>
      </c>
      <c r="Z703" s="76" t="n">
        <v>0.72</v>
      </c>
      <c r="AA703" s="76" t="n">
        <v>0.72</v>
      </c>
      <c r="AB703" s="76" t="n">
        <v>0.72</v>
      </c>
      <c r="AC703" s="76" t="n">
        <v>0.72</v>
      </c>
      <c r="AD703" s="76" t="n">
        <v>0.72</v>
      </c>
      <c r="AE703" s="76" t="n">
        <v>0.72</v>
      </c>
      <c r="AF703" s="76" t="n">
        <v>0.72</v>
      </c>
      <c r="AG703" s="76" t="n">
        <v>0.72</v>
      </c>
      <c r="AH703" s="76" t="n">
        <v>0.72</v>
      </c>
      <c r="AI703" s="76" t="n">
        <v>0.72</v>
      </c>
      <c r="AJ703" s="76" t="n">
        <v>0.72</v>
      </c>
      <c r="AK703" s="76" t="n">
        <v>0.72</v>
      </c>
      <c r="AL703" s="76" t="n">
        <v>0.72</v>
      </c>
      <c r="AM703" s="76" t="n">
        <v>0.7155</v>
      </c>
      <c r="AN703" s="76" t="n">
        <v>0.711</v>
      </c>
      <c r="AO703" s="76" t="n">
        <v>0.70625</v>
      </c>
      <c r="AP703" s="76" t="n">
        <v>0.70175</v>
      </c>
      <c r="AQ703" s="76" t="n">
        <v>0.6972499999999999</v>
      </c>
      <c r="AR703" s="76" t="n">
        <v>0.7241524390243904</v>
      </c>
    </row>
    <row r="704">
      <c r="A704" s="76" t="inlineStr">
        <is>
          <t>WI</t>
        </is>
      </c>
      <c r="B704" s="76" t="inlineStr">
        <is>
          <t>Nuclear</t>
        </is>
      </c>
      <c r="C704" s="76" t="n">
        <v>0.902</v>
      </c>
      <c r="D704" s="76" t="n">
        <v>0.902</v>
      </c>
      <c r="E704" s="76" t="n">
        <v>0.902</v>
      </c>
      <c r="F704" s="76" t="n">
        <v>0.902</v>
      </c>
      <c r="G704" s="76" t="n">
        <v>0.902</v>
      </c>
      <c r="H704" s="76" t="n">
        <v>0.902</v>
      </c>
      <c r="I704" s="76" t="n">
        <v>0.902</v>
      </c>
      <c r="J704" s="76" t="n">
        <v>0.902</v>
      </c>
      <c r="K704" s="76" t="n">
        <v>0.902</v>
      </c>
      <c r="L704" s="76" t="n">
        <v>0.902</v>
      </c>
      <c r="M704" s="76" t="n">
        <v>0.902</v>
      </c>
      <c r="N704" s="76" t="n">
        <v>0.902</v>
      </c>
      <c r="O704" s="76" t="n">
        <v>0.902</v>
      </c>
      <c r="P704" s="76" t="n">
        <v>0.902</v>
      </c>
      <c r="Q704" s="76" t="n">
        <v>0.902</v>
      </c>
      <c r="R704" s="76" t="n">
        <v>0.902</v>
      </c>
      <c r="S704" s="76" t="n">
        <v>0.902</v>
      </c>
      <c r="T704" s="76" t="n">
        <v>0.902</v>
      </c>
      <c r="U704" s="76" t="n">
        <v>0.902</v>
      </c>
      <c r="V704" s="76" t="n">
        <v>0.902</v>
      </c>
      <c r="W704" s="76" t="n">
        <v>0.902</v>
      </c>
      <c r="X704" s="76" t="n">
        <v>0.902</v>
      </c>
      <c r="Y704" s="76" t="n"/>
      <c r="Z704" s="76" t="n"/>
      <c r="AA704" s="76" t="n"/>
      <c r="AB704" s="76" t="n"/>
      <c r="AC704" s="76" t="n"/>
      <c r="AD704" s="76" t="n"/>
      <c r="AE704" s="76" t="n"/>
      <c r="AF704" s="76" t="n"/>
      <c r="AG704" s="76" t="n"/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>
        <v>0.9019999999999999</v>
      </c>
    </row>
    <row r="705">
      <c r="A705" s="76" t="inlineStr">
        <is>
          <t>WI</t>
        </is>
      </c>
      <c r="B705" s="76" t="inlineStr">
        <is>
          <t>Other</t>
        </is>
      </c>
      <c r="C705" s="76" t="n">
        <v>0</v>
      </c>
      <c r="D705" s="76" t="n">
        <v>0</v>
      </c>
      <c r="E705" s="76" t="n">
        <v>0</v>
      </c>
      <c r="F705" s="76" t="n">
        <v>0</v>
      </c>
      <c r="G705" s="76" t="n">
        <v>0</v>
      </c>
      <c r="H705" s="76" t="n">
        <v>0</v>
      </c>
      <c r="I705" s="76" t="n">
        <v>0</v>
      </c>
      <c r="J705" s="76" t="n">
        <v>0</v>
      </c>
      <c r="K705" s="76" t="n">
        <v>0</v>
      </c>
      <c r="L705" s="76" t="n">
        <v>0</v>
      </c>
      <c r="M705" s="76" t="n">
        <v>0</v>
      </c>
      <c r="N705" s="76" t="n">
        <v>0</v>
      </c>
      <c r="O705" s="76" t="n">
        <v>0</v>
      </c>
      <c r="P705" s="76" t="n">
        <v>0</v>
      </c>
      <c r="Q705" s="76" t="n">
        <v>0</v>
      </c>
      <c r="R705" s="76" t="n">
        <v>0</v>
      </c>
      <c r="S705" s="76" t="n">
        <v>0</v>
      </c>
      <c r="T705" s="76" t="n">
        <v>0</v>
      </c>
      <c r="U705" s="76" t="n">
        <v>0</v>
      </c>
      <c r="V705" s="76" t="n">
        <v>0</v>
      </c>
      <c r="W705" s="76" t="n">
        <v>0</v>
      </c>
      <c r="X705" s="76" t="n">
        <v>0</v>
      </c>
      <c r="Y705" s="76" t="n">
        <v>0</v>
      </c>
      <c r="Z705" s="76" t="n">
        <v>0</v>
      </c>
      <c r="AA705" s="76" t="n">
        <v>0</v>
      </c>
      <c r="AB705" s="76" t="n">
        <v>0</v>
      </c>
      <c r="AC705" s="76" t="n">
        <v>0</v>
      </c>
      <c r="AD705" s="76" t="n">
        <v>0</v>
      </c>
      <c r="AE705" s="76" t="n">
        <v>0</v>
      </c>
      <c r="AF705" s="76" t="n">
        <v>0</v>
      </c>
      <c r="AG705" s="76" t="n">
        <v>0</v>
      </c>
      <c r="AH705" s="76" t="n">
        <v>0</v>
      </c>
      <c r="AI705" s="76" t="n">
        <v>0</v>
      </c>
      <c r="AJ705" s="76" t="n">
        <v>0</v>
      </c>
      <c r="AK705" s="76" t="n">
        <v>0</v>
      </c>
      <c r="AL705" s="76" t="n">
        <v>0</v>
      </c>
      <c r="AM705" s="76" t="n">
        <v>0</v>
      </c>
      <c r="AN705" s="76" t="n">
        <v>0</v>
      </c>
      <c r="AO705" s="76" t="n">
        <v>0</v>
      </c>
      <c r="AP705" s="76" t="n">
        <v>0</v>
      </c>
      <c r="AQ705" s="76" t="n">
        <v>0</v>
      </c>
      <c r="AR705" s="76" t="n">
        <v>0</v>
      </c>
    </row>
    <row r="706">
      <c r="A706" s="76" t="inlineStr">
        <is>
          <t>WI</t>
        </is>
      </c>
      <c r="B706" s="76" t="inlineStr">
        <is>
          <t>Utility PV</t>
        </is>
      </c>
      <c r="C706" s="76" t="n"/>
      <c r="D706" s="76" t="n"/>
      <c r="E706" s="76" t="n"/>
      <c r="F706" s="76" t="n">
        <v>0.238</v>
      </c>
      <c r="G706" s="76" t="n">
        <v>0.238</v>
      </c>
      <c r="H706" s="76" t="n">
        <v>0.237</v>
      </c>
      <c r="I706" s="76" t="n">
        <v>0.2365</v>
      </c>
      <c r="J706" s="76" t="n">
        <v>0.2316</v>
      </c>
      <c r="K706" s="76" t="n">
        <v>0.231</v>
      </c>
      <c r="L706" s="76" t="n">
        <v>0.23</v>
      </c>
      <c r="M706" s="76" t="n">
        <v>0.229</v>
      </c>
      <c r="N706" s="76" t="n">
        <v>0.2278</v>
      </c>
      <c r="O706" s="76" t="n">
        <v>0.2268</v>
      </c>
      <c r="P706" s="76" t="n">
        <v>0.2308333333333333</v>
      </c>
      <c r="Q706" s="76" t="n">
        <v>0.2305</v>
      </c>
      <c r="R706" s="76" t="n">
        <v>0.2313333333333333</v>
      </c>
      <c r="S706" s="76" t="n">
        <v>0.2305</v>
      </c>
      <c r="T706" s="76" t="n">
        <v>0.2301666666666667</v>
      </c>
      <c r="U706" s="76" t="n">
        <v>0.2298333333333333</v>
      </c>
      <c r="V706" s="76" t="n">
        <v>0.2281666666666667</v>
      </c>
      <c r="W706" s="76" t="n">
        <v>0.2265</v>
      </c>
      <c r="X706" s="76" t="n">
        <v>0.2255</v>
      </c>
      <c r="Y706" s="76" t="n">
        <v>0.2246666666666667</v>
      </c>
      <c r="Z706" s="76" t="n">
        <v>0.2235</v>
      </c>
      <c r="AA706" s="76" t="n">
        <v>0.2223333333333334</v>
      </c>
      <c r="AB706" s="76" t="n">
        <v>0.2216666666666667</v>
      </c>
      <c r="AC706" s="76" t="n">
        <v>0.2203333333333334</v>
      </c>
      <c r="AD706" s="76" t="n">
        <v>0.219</v>
      </c>
      <c r="AE706" s="76" t="n">
        <v>0.2178333333333334</v>
      </c>
      <c r="AF706" s="76" t="n">
        <v>0.2165</v>
      </c>
      <c r="AG706" s="76" t="n">
        <v>0.2153333333333333</v>
      </c>
      <c r="AH706" s="76" t="n">
        <v>0.216</v>
      </c>
      <c r="AI706" s="76" t="n">
        <v>0.2153333333333333</v>
      </c>
      <c r="AJ706" s="76" t="n">
        <v>0.2148333333333333</v>
      </c>
      <c r="AK706" s="76" t="n">
        <v>0.2143333333333333</v>
      </c>
      <c r="AL706" s="76" t="n">
        <v>0.2135</v>
      </c>
      <c r="AM706" s="76" t="n">
        <v>0.213</v>
      </c>
      <c r="AN706" s="76" t="n">
        <v>0.2126666666666667</v>
      </c>
      <c r="AO706" s="76" t="n">
        <v>0.212</v>
      </c>
      <c r="AP706" s="76" t="n">
        <v>0.2116666666666667</v>
      </c>
      <c r="AQ706" s="76" t="n">
        <v>0.2111666666666666</v>
      </c>
      <c r="AR706" s="76" t="n">
        <v>0.2224411764705884</v>
      </c>
    </row>
    <row r="707">
      <c r="A707" s="76" t="inlineStr">
        <is>
          <t>WI</t>
        </is>
      </c>
      <c r="B707" s="76" t="inlineStr">
        <is>
          <t>Wind offshore</t>
        </is>
      </c>
      <c r="C707" s="76" t="n"/>
      <c r="D707" s="76" t="n"/>
      <c r="E707" s="76" t="n"/>
      <c r="F707" s="76" t="n"/>
      <c r="G707" s="76" t="n"/>
      <c r="H707" s="76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76" t="n"/>
      <c r="AC707" s="76" t="n"/>
      <c r="AD707" s="76" t="n"/>
      <c r="AE707" s="76" t="n"/>
      <c r="AF707" s="76" t="n"/>
      <c r="AG707" s="76" t="n"/>
      <c r="AH707" s="76" t="n"/>
      <c r="AI707" s="76" t="n"/>
      <c r="AJ707" s="76" t="n"/>
      <c r="AK707" s="76" t="n"/>
      <c r="AL707" s="76" t="n"/>
      <c r="AM707" s="76" t="n">
        <v>0.389</v>
      </c>
      <c r="AN707" s="76" t="n">
        <v>0.389</v>
      </c>
      <c r="AO707" s="76" t="n">
        <v>0.389</v>
      </c>
      <c r="AP707" s="76" t="n">
        <v>0.389</v>
      </c>
      <c r="AQ707" s="76" t="n">
        <v>0.389</v>
      </c>
      <c r="AR707" s="76" t="n">
        <v>0.389</v>
      </c>
    </row>
    <row r="708">
      <c r="A708" s="76" t="inlineStr">
        <is>
          <t>WI</t>
        </is>
      </c>
      <c r="B708" s="76" t="inlineStr">
        <is>
          <t>Wind onshore</t>
        </is>
      </c>
      <c r="C708" s="76" t="n">
        <v>0.33</v>
      </c>
      <c r="D708" s="76" t="n">
        <v>0.344</v>
      </c>
      <c r="E708" s="76" t="n">
        <v>0.349</v>
      </c>
      <c r="F708" s="76" t="n">
        <v>0.349</v>
      </c>
      <c r="G708" s="76" t="n">
        <v>0.349</v>
      </c>
      <c r="H708" s="76" t="n">
        <v>0.349</v>
      </c>
      <c r="I708" s="76" t="n">
        <v>0.349</v>
      </c>
      <c r="J708" s="76" t="n">
        <v>0.3543333333333334</v>
      </c>
      <c r="K708" s="76" t="n">
        <v>0.3546666666666667</v>
      </c>
      <c r="L708" s="76" t="n">
        <v>0.3743333333333334</v>
      </c>
      <c r="M708" s="76" t="n">
        <v>0.3786666666666667</v>
      </c>
      <c r="N708" s="76" t="n">
        <v>0.41425</v>
      </c>
      <c r="O708" s="76" t="n">
        <v>0.41975</v>
      </c>
      <c r="P708" s="76" t="n">
        <v>0.4051999999999999</v>
      </c>
      <c r="Q708" s="76" t="n">
        <v>0.404</v>
      </c>
      <c r="R708" s="76" t="n">
        <v>0.4026</v>
      </c>
      <c r="S708" s="76" t="n">
        <v>0.3994</v>
      </c>
      <c r="T708" s="76" t="n">
        <v>0.4056</v>
      </c>
      <c r="U708" s="76" t="n">
        <v>0.4114</v>
      </c>
      <c r="V708" s="76" t="n">
        <v>0.4134</v>
      </c>
      <c r="W708" s="76" t="n">
        <v>0.4138</v>
      </c>
      <c r="X708" s="76" t="n">
        <v>0.4</v>
      </c>
      <c r="Y708" s="76" t="n">
        <v>0.3986666666666667</v>
      </c>
      <c r="Z708" s="76" t="n">
        <v>0.3948333333333334</v>
      </c>
      <c r="AA708" s="76" t="n">
        <v>0.39</v>
      </c>
      <c r="AB708" s="76" t="n">
        <v>0.385</v>
      </c>
      <c r="AC708" s="76" t="n">
        <v>0.3851666666666667</v>
      </c>
      <c r="AD708" s="76" t="n">
        <v>0.3855</v>
      </c>
      <c r="AE708" s="76" t="n">
        <v>0.3861666666666666</v>
      </c>
      <c r="AF708" s="76" t="n">
        <v>0.3865</v>
      </c>
      <c r="AG708" s="76" t="n">
        <v>0.3876666666666667</v>
      </c>
      <c r="AH708" s="76" t="n">
        <v>0.3871666666666667</v>
      </c>
      <c r="AI708" s="76" t="n">
        <v>0.3868333333333334</v>
      </c>
      <c r="AJ708" s="76" t="n">
        <v>0.3865</v>
      </c>
      <c r="AK708" s="76" t="n">
        <v>0.3860000000000001</v>
      </c>
      <c r="AL708" s="76" t="n">
        <v>0.3858333333333333</v>
      </c>
      <c r="AM708" s="76" t="n">
        <v>0.4076666666666666</v>
      </c>
      <c r="AN708" s="76" t="n">
        <v>0.4155</v>
      </c>
      <c r="AO708" s="76" t="n">
        <v>0.4228333333333333</v>
      </c>
      <c r="AP708" s="76" t="n">
        <v>0.4298333333333333</v>
      </c>
      <c r="AQ708" s="76" t="n">
        <v>0.4376666666666667</v>
      </c>
      <c r="AR708" s="76" t="n">
        <v>0.3926766169154224</v>
      </c>
    </row>
    <row r="709">
      <c r="A709" s="76" t="inlineStr">
        <is>
          <t>WV</t>
        </is>
      </c>
      <c r="B709" s="76" t="inlineStr">
        <is>
          <t>WV</t>
        </is>
      </c>
      <c r="C709" s="76" t="n">
        <v>0.5496666666666667</v>
      </c>
      <c r="D709" s="76" t="n">
        <v>0.4503636363636364</v>
      </c>
      <c r="E709" s="76" t="n">
        <v>0.4018181818181818</v>
      </c>
      <c r="F709" s="76" t="n">
        <v>0.4071538461538461</v>
      </c>
      <c r="G709" s="76" t="n">
        <v>0.4549230769230769</v>
      </c>
      <c r="H709" s="76" t="n">
        <v>0.4378461538461539</v>
      </c>
      <c r="I709" s="76" t="n">
        <v>0.4182307692307692</v>
      </c>
      <c r="J709" s="76" t="n">
        <v>0.4202307692307692</v>
      </c>
      <c r="K709" s="76" t="n">
        <v>0.4577499999999999</v>
      </c>
      <c r="L709" s="76" t="n">
        <v>0.4755384615384616</v>
      </c>
      <c r="M709" s="76" t="n">
        <v>0.459</v>
      </c>
      <c r="N709" s="76" t="n">
        <v>0.4542142857142856</v>
      </c>
      <c r="O709" s="76" t="n">
        <v>0.4521428571428571</v>
      </c>
      <c r="P709" s="76" t="n">
        <v>0.4527142857142857</v>
      </c>
      <c r="Q709" s="76" t="n">
        <v>0.4530714285714285</v>
      </c>
      <c r="R709" s="76" t="n">
        <v>0.4360714285714286</v>
      </c>
      <c r="S709" s="76" t="n">
        <v>0.4513076923076922</v>
      </c>
      <c r="T709" s="76" t="n">
        <v>0.4337692307692308</v>
      </c>
      <c r="U709" s="76" t="n">
        <v>0.4161538461538461</v>
      </c>
      <c r="V709" s="76" t="n">
        <v>0.3515</v>
      </c>
      <c r="W709" s="76" t="n">
        <v>0.3401875</v>
      </c>
      <c r="X709" s="76" t="n">
        <v>0.3363125</v>
      </c>
      <c r="Y709" s="76" t="n">
        <v>0.3326250000000001</v>
      </c>
      <c r="Z709" s="76" t="n">
        <v>0.335</v>
      </c>
      <c r="AA709" s="76" t="n">
        <v>0.337</v>
      </c>
      <c r="AB709" s="76" t="n">
        <v>0.3747142857142857</v>
      </c>
      <c r="AC709" s="76" t="n">
        <v>0.3750714285714286</v>
      </c>
      <c r="AD709" s="76" t="n">
        <v>0.3755714285714286</v>
      </c>
      <c r="AE709" s="76" t="n">
        <v>0.3760714285714286</v>
      </c>
      <c r="AF709" s="76" t="n">
        <v>0.3767142857142857</v>
      </c>
      <c r="AG709" s="76" t="n">
        <v>0.3773571428571429</v>
      </c>
      <c r="AH709" s="76" t="n">
        <v>0.3775714285714286</v>
      </c>
      <c r="AI709" s="76" t="n">
        <v>0.3776428571428571</v>
      </c>
      <c r="AJ709" s="76" t="n">
        <v>0.3777857142857143</v>
      </c>
      <c r="AK709" s="76" t="n">
        <v>0.3777857142857142</v>
      </c>
      <c r="AL709" s="76" t="n">
        <v>0.3778571428571428</v>
      </c>
      <c r="AM709" s="76" t="n">
        <v>0.3765714285714286</v>
      </c>
      <c r="AN709" s="76" t="n">
        <v>0.3752142857142857</v>
      </c>
      <c r="AO709" s="76" t="n">
        <v>0.3740714285714286</v>
      </c>
      <c r="AP709" s="76" t="n">
        <v>0.3726428571428571</v>
      </c>
      <c r="AQ709" s="76" t="n">
        <v>0.3713571428571428</v>
      </c>
      <c r="AR709" s="76" t="n">
        <v>0.3994156305506218</v>
      </c>
    </row>
    <row r="710">
      <c r="A710" s="76" t="inlineStr">
        <is>
          <t>WV</t>
        </is>
      </c>
      <c r="B710" s="76" t="inlineStr">
        <is>
          <t>Battery</t>
        </is>
      </c>
      <c r="C710" s="76" t="n">
        <v>0</v>
      </c>
      <c r="D710" s="76" t="n">
        <v>-0.002</v>
      </c>
      <c r="E710" s="76" t="n">
        <v>-0.002</v>
      </c>
      <c r="F710" s="76" t="n">
        <v>-0.003</v>
      </c>
      <c r="G710" s="76" t="n">
        <v>-0.004</v>
      </c>
      <c r="H710" s="76" t="n">
        <v>-0.002</v>
      </c>
      <c r="I710" s="76" t="n">
        <v>0</v>
      </c>
      <c r="J710" s="76" t="n">
        <v>0</v>
      </c>
      <c r="K710" s="76" t="n">
        <v>0</v>
      </c>
      <c r="L710" s="76" t="n">
        <v>0</v>
      </c>
      <c r="M710" s="76" t="n">
        <v>0</v>
      </c>
      <c r="N710" s="76" t="n">
        <v>0</v>
      </c>
      <c r="O710" s="76" t="n">
        <v>0</v>
      </c>
      <c r="P710" s="76" t="n">
        <v>0</v>
      </c>
      <c r="Q710" s="76" t="n">
        <v>0</v>
      </c>
      <c r="R710" s="76" t="n">
        <v>-0.0005</v>
      </c>
      <c r="S710" s="76" t="n">
        <v>-0.002</v>
      </c>
      <c r="T710" s="76" t="n">
        <v>-0.01</v>
      </c>
      <c r="U710" s="76" t="n">
        <v>-0.025</v>
      </c>
      <c r="V710" s="76" t="n">
        <v>-0.043</v>
      </c>
      <c r="W710" s="76" t="n">
        <v>-0.0465</v>
      </c>
      <c r="X710" s="76" t="n">
        <v>-0.056</v>
      </c>
      <c r="Y710" s="76" t="n">
        <v>-0.059</v>
      </c>
      <c r="Z710" s="76" t="n">
        <v>-0.056</v>
      </c>
      <c r="AA710" s="76" t="n">
        <v>-0.055</v>
      </c>
      <c r="AB710" s="76" t="n">
        <v>-0.054</v>
      </c>
      <c r="AC710" s="76" t="n">
        <v>-0.0585</v>
      </c>
      <c r="AD710" s="76" t="n">
        <v>-0.0615</v>
      </c>
      <c r="AE710" s="76" t="n">
        <v>-0.064</v>
      </c>
      <c r="AF710" s="76" t="n">
        <v>-0.0665</v>
      </c>
      <c r="AG710" s="76" t="n">
        <v>-0.068</v>
      </c>
      <c r="AH710" s="76" t="n">
        <v>-0.067</v>
      </c>
      <c r="AI710" s="76" t="n">
        <v>-0.066</v>
      </c>
      <c r="AJ710" s="76" t="n">
        <v>-0.065</v>
      </c>
      <c r="AK710" s="76" t="n">
        <v>-0.0645</v>
      </c>
      <c r="AL710" s="76" t="n">
        <v>-0.063</v>
      </c>
      <c r="AM710" s="76" t="n">
        <v>-0.063</v>
      </c>
      <c r="AN710" s="76" t="n">
        <v>-0.063</v>
      </c>
      <c r="AO710" s="76" t="n">
        <v>-0.0625</v>
      </c>
      <c r="AP710" s="76" t="n">
        <v>-0.0625</v>
      </c>
      <c r="AQ710" s="76" t="n">
        <v>-0.0625</v>
      </c>
      <c r="AR710" s="76" t="n">
        <v>-0.03484615384615385</v>
      </c>
    </row>
    <row r="711">
      <c r="A711" s="76" t="inlineStr">
        <is>
          <t>WV</t>
        </is>
      </c>
      <c r="B711" s="76" t="inlineStr">
        <is>
          <t>Biopower</t>
        </is>
      </c>
      <c r="C711" s="76" t="n"/>
      <c r="D711" s="76" t="n">
        <v>0.522</v>
      </c>
      <c r="E711" s="76" t="n">
        <v>0.522</v>
      </c>
      <c r="F711" s="76" t="n">
        <v>0.522</v>
      </c>
      <c r="G711" s="76" t="n">
        <v>0.522</v>
      </c>
      <c r="H711" s="76" t="n">
        <v>0.522</v>
      </c>
      <c r="I711" s="76" t="n">
        <v>0.522</v>
      </c>
      <c r="J711" s="76" t="n">
        <v>0.522</v>
      </c>
      <c r="K711" s="76" t="n">
        <v>0.522</v>
      </c>
      <c r="L711" s="76" t="n">
        <v>0.522</v>
      </c>
      <c r="M711" s="76" t="n">
        <v>0.522</v>
      </c>
      <c r="N711" s="76" t="n">
        <v>0.522</v>
      </c>
      <c r="O711" s="76" t="n">
        <v>0.522</v>
      </c>
      <c r="P711" s="76" t="n">
        <v>0.522</v>
      </c>
      <c r="Q711" s="76" t="n">
        <v>0.522</v>
      </c>
      <c r="R711" s="76" t="n">
        <v>0.522</v>
      </c>
      <c r="S711" s="76" t="n">
        <v>0.522</v>
      </c>
      <c r="T711" s="76" t="n">
        <v>0.522</v>
      </c>
      <c r="U711" s="76" t="n">
        <v>0.522</v>
      </c>
      <c r="V711" s="76" t="n">
        <v>0.522</v>
      </c>
      <c r="W711" s="76" t="n">
        <v>0.522</v>
      </c>
      <c r="X711" s="76" t="n">
        <v>0.522</v>
      </c>
      <c r="Y711" s="76" t="n">
        <v>0.522</v>
      </c>
      <c r="Z711" s="76" t="n">
        <v>0.522</v>
      </c>
      <c r="AA711" s="76" t="n">
        <v>0.522</v>
      </c>
      <c r="AB711" s="76" t="n">
        <v>0.522</v>
      </c>
      <c r="AC711" s="76" t="n">
        <v>0.522</v>
      </c>
      <c r="AD711" s="76" t="n">
        <v>0.522</v>
      </c>
      <c r="AE711" s="76" t="n">
        <v>0.522</v>
      </c>
      <c r="AF711" s="76" t="n">
        <v>0.522</v>
      </c>
      <c r="AG711" s="76" t="n">
        <v>0.522</v>
      </c>
      <c r="AH711" s="76" t="n">
        <v>0.522</v>
      </c>
      <c r="AI711" s="76" t="n">
        <v>0.522</v>
      </c>
      <c r="AJ711" s="76" t="n">
        <v>0.522</v>
      </c>
      <c r="AK711" s="76" t="n">
        <v>0.522</v>
      </c>
      <c r="AL711" s="76" t="n">
        <v>0.522</v>
      </c>
      <c r="AM711" s="76" t="n">
        <v>0.507</v>
      </c>
      <c r="AN711" s="76" t="n">
        <v>0.492</v>
      </c>
      <c r="AO711" s="76" t="n">
        <v>0.477</v>
      </c>
      <c r="AP711" s="76" t="n">
        <v>0.462</v>
      </c>
      <c r="AQ711" s="76" t="n">
        <v>0.447</v>
      </c>
      <c r="AR711" s="76" t="n">
        <v>0.516375</v>
      </c>
    </row>
    <row r="712">
      <c r="A712" s="76" t="inlineStr">
        <is>
          <t>WV</t>
        </is>
      </c>
      <c r="B712" s="76" t="inlineStr">
        <is>
          <t>Coal</t>
        </is>
      </c>
      <c r="C712" s="76" t="n">
        <v>0.6479999999999999</v>
      </c>
      <c r="D712" s="76" t="n">
        <v>0.442</v>
      </c>
      <c r="E712" s="76" t="n">
        <v>0.2255</v>
      </c>
      <c r="F712" s="76" t="n">
        <v>0.5004999999999999</v>
      </c>
      <c r="G712" s="76" t="n">
        <v>0.8085</v>
      </c>
      <c r="H712" s="76" t="n">
        <v>0.6955</v>
      </c>
      <c r="I712" s="76" t="n">
        <v>0.5655</v>
      </c>
      <c r="J712" s="76" t="n">
        <v>0.5785</v>
      </c>
      <c r="K712" s="76" t="n">
        <v>0.5934999999999999</v>
      </c>
      <c r="L712" s="76" t="n">
        <v>0.4795</v>
      </c>
      <c r="M712" s="76" t="n">
        <v>0.366</v>
      </c>
      <c r="N712" s="76" t="n">
        <v>0.3485</v>
      </c>
      <c r="O712" s="76" t="n">
        <v>0.331</v>
      </c>
      <c r="P712" s="76" t="n">
        <v>0.336</v>
      </c>
      <c r="Q712" s="76" t="n">
        <v>0.3405</v>
      </c>
      <c r="R712" s="76" t="n">
        <v>0.3285</v>
      </c>
      <c r="S712" s="76" t="n">
        <v>0.317</v>
      </c>
      <c r="T712" s="76" t="n">
        <v>0.2815</v>
      </c>
      <c r="U712" s="76" t="n">
        <v>0.2465</v>
      </c>
      <c r="V712" s="76" t="n">
        <v>0.198</v>
      </c>
      <c r="W712" s="76" t="n">
        <v>0.142</v>
      </c>
      <c r="X712" s="76" t="n">
        <v>0.118</v>
      </c>
      <c r="Y712" s="76" t="n">
        <v>0.09</v>
      </c>
      <c r="Z712" s="76" t="n">
        <v>0.09</v>
      </c>
      <c r="AA712" s="76" t="n">
        <v>0.09</v>
      </c>
      <c r="AB712" s="76" t="n"/>
      <c r="AC712" s="76" t="n"/>
      <c r="AD712" s="76" t="n"/>
      <c r="AE712" s="76" t="n"/>
      <c r="AF712" s="76" t="n"/>
      <c r="AG712" s="76" t="n"/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>
        <v>0.36642</v>
      </c>
    </row>
    <row r="713">
      <c r="A713" s="76" t="inlineStr">
        <is>
          <t>WV</t>
        </is>
      </c>
      <c r="B713" s="76" t="inlineStr">
        <is>
          <t>CSP</t>
        </is>
      </c>
      <c r="C713" s="76" t="n"/>
      <c r="D713" s="76" t="n"/>
      <c r="E713" s="76" t="n"/>
      <c r="F713" s="76" t="n"/>
      <c r="G713" s="76" t="n"/>
      <c r="H713" s="76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6" t="n"/>
      <c r="AC713" s="76" t="n"/>
      <c r="AD713" s="76" t="n"/>
      <c r="AE713" s="76" t="n"/>
      <c r="AF713" s="76" t="n"/>
      <c r="AG713" s="76" t="n"/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</row>
    <row r="714">
      <c r="A714" s="76" t="inlineStr">
        <is>
          <t>WV</t>
        </is>
      </c>
      <c r="B714" s="76" t="inlineStr">
        <is>
          <t>Dist PV</t>
        </is>
      </c>
      <c r="C714" s="76" t="n"/>
      <c r="D714" s="76" t="n"/>
      <c r="E714" s="76" t="n"/>
      <c r="F714" s="76" t="n">
        <v>0.1585</v>
      </c>
      <c r="G714" s="76" t="n">
        <v>0.1585</v>
      </c>
      <c r="H714" s="76" t="n">
        <v>0.1585</v>
      </c>
      <c r="I714" s="76" t="n">
        <v>0.1585</v>
      </c>
      <c r="J714" s="76" t="n">
        <v>0.1585</v>
      </c>
      <c r="K714" s="76" t="n">
        <v>0.1585</v>
      </c>
      <c r="L714" s="76" t="n">
        <v>0.1585</v>
      </c>
      <c r="M714" s="76" t="n">
        <v>0.1585</v>
      </c>
      <c r="N714" s="76" t="n">
        <v>0.1585</v>
      </c>
      <c r="O714" s="76" t="n">
        <v>0.1585</v>
      </c>
      <c r="P714" s="76" t="n">
        <v>0.1585</v>
      </c>
      <c r="Q714" s="76" t="n">
        <v>0.1585</v>
      </c>
      <c r="R714" s="76" t="n">
        <v>0.1585</v>
      </c>
      <c r="S714" s="76" t="n">
        <v>0.1585</v>
      </c>
      <c r="T714" s="76" t="n">
        <v>0.1585</v>
      </c>
      <c r="U714" s="76" t="n">
        <v>0.1585</v>
      </c>
      <c r="V714" s="76" t="n">
        <v>0.1585</v>
      </c>
      <c r="W714" s="76" t="n">
        <v>0.1585</v>
      </c>
      <c r="X714" s="76" t="n">
        <v>0.1585</v>
      </c>
      <c r="Y714" s="76" t="n">
        <v>0.1585</v>
      </c>
      <c r="Z714" s="76" t="n">
        <v>0.1585</v>
      </c>
      <c r="AA714" s="76" t="n">
        <v>0.1585</v>
      </c>
      <c r="AB714" s="76" t="n">
        <v>0.1585</v>
      </c>
      <c r="AC714" s="76" t="n">
        <v>0.1585</v>
      </c>
      <c r="AD714" s="76" t="n">
        <v>0.1585</v>
      </c>
      <c r="AE714" s="76" t="n">
        <v>0.1585</v>
      </c>
      <c r="AF714" s="76" t="n">
        <v>0.1585</v>
      </c>
      <c r="AG714" s="76" t="n">
        <v>0.1585</v>
      </c>
      <c r="AH714" s="76" t="n">
        <v>0.1585</v>
      </c>
      <c r="AI714" s="76" t="n">
        <v>0.1585</v>
      </c>
      <c r="AJ714" s="76" t="n">
        <v>0.1585</v>
      </c>
      <c r="AK714" s="76" t="n">
        <v>0.1585</v>
      </c>
      <c r="AL714" s="76" t="n">
        <v>0.1585</v>
      </c>
      <c r="AM714" s="76" t="n">
        <v>0.1585</v>
      </c>
      <c r="AN714" s="76" t="n">
        <v>0.1585</v>
      </c>
      <c r="AO714" s="76" t="n">
        <v>0.1585</v>
      </c>
      <c r="AP714" s="76" t="n">
        <v>0.1585</v>
      </c>
      <c r="AQ714" s="76" t="n">
        <v>0.1585</v>
      </c>
      <c r="AR714" s="76" t="n">
        <v>0.1585</v>
      </c>
    </row>
    <row r="715">
      <c r="A715" s="76" t="inlineStr">
        <is>
          <t>WV</t>
        </is>
      </c>
      <c r="B715" s="76" t="inlineStr">
        <is>
          <t>Gas CCGT</t>
        </is>
      </c>
      <c r="C715" s="76" t="n"/>
      <c r="D715" s="76" t="n"/>
      <c r="E715" s="76" t="n"/>
      <c r="F715" s="76" t="n"/>
      <c r="G715" s="76" t="n"/>
      <c r="H715" s="76" t="n"/>
      <c r="I715" s="76" t="n"/>
      <c r="J715" s="76" t="n"/>
      <c r="K715" s="76" t="n"/>
      <c r="L715" s="76" t="n">
        <v>0.902</v>
      </c>
      <c r="M715" s="76" t="n">
        <v>0.902</v>
      </c>
      <c r="N715" s="76" t="n">
        <v>0.902</v>
      </c>
      <c r="O715" s="76" t="n">
        <v>0.902</v>
      </c>
      <c r="P715" s="76" t="n">
        <v>0.902</v>
      </c>
      <c r="Q715" s="76" t="n">
        <v>0.902</v>
      </c>
      <c r="R715" s="76" t="n">
        <v>0.6879999999999999</v>
      </c>
      <c r="S715" s="76" t="n">
        <v>0.473</v>
      </c>
      <c r="T715" s="76" t="n">
        <v>0.334</v>
      </c>
      <c r="U715" s="76" t="n">
        <v>0.196</v>
      </c>
      <c r="V715" s="76" t="n">
        <v>0.154</v>
      </c>
      <c r="W715" s="76" t="n">
        <v>0.111</v>
      </c>
      <c r="X715" s="76" t="n">
        <v>0.111</v>
      </c>
      <c r="Y715" s="76" t="n">
        <v>0.111</v>
      </c>
      <c r="Z715" s="76" t="n">
        <v>0.146</v>
      </c>
      <c r="AA715" s="76" t="n">
        <v>0.18</v>
      </c>
      <c r="AB715" s="76" t="n">
        <v>0.215</v>
      </c>
      <c r="AC715" s="76" t="n">
        <v>0.228</v>
      </c>
      <c r="AD715" s="76" t="n">
        <v>0.241</v>
      </c>
      <c r="AE715" s="76" t="n">
        <v>0.254</v>
      </c>
      <c r="AF715" s="76" t="n">
        <v>0.267</v>
      </c>
      <c r="AG715" s="76" t="n">
        <v>0.279</v>
      </c>
      <c r="AH715" s="76" t="n">
        <v>0.276</v>
      </c>
      <c r="AI715" s="76" t="n">
        <v>0.273</v>
      </c>
      <c r="AJ715" s="76" t="n">
        <v>0.27</v>
      </c>
      <c r="AK715" s="76" t="n">
        <v>0.267</v>
      </c>
      <c r="AL715" s="76" t="n">
        <v>0.263</v>
      </c>
      <c r="AM715" s="76" t="n">
        <v>0.259</v>
      </c>
      <c r="AN715" s="76" t="n">
        <v>0.255</v>
      </c>
      <c r="AO715" s="76" t="n">
        <v>0.251</v>
      </c>
      <c r="AP715" s="76" t="n">
        <v>0.246</v>
      </c>
      <c r="AQ715" s="76" t="n">
        <v>0.242</v>
      </c>
      <c r="AR715" s="76" t="n">
        <v>0.3750624999999999</v>
      </c>
    </row>
    <row r="716">
      <c r="A716" s="76" t="inlineStr">
        <is>
          <t>WV</t>
        </is>
      </c>
      <c r="B716" s="76" t="inlineStr">
        <is>
          <t>Gas CT</t>
        </is>
      </c>
      <c r="C716" s="76" t="n">
        <v>0.004</v>
      </c>
      <c r="D716" s="76" t="n">
        <v>0.004</v>
      </c>
      <c r="E716" s="76" t="n">
        <v>0.004</v>
      </c>
      <c r="F716" s="76" t="n">
        <v>0.004</v>
      </c>
      <c r="G716" s="76" t="n">
        <v>0.004</v>
      </c>
      <c r="H716" s="76" t="n">
        <v>0.004</v>
      </c>
      <c r="I716" s="76" t="n">
        <v>0.004</v>
      </c>
      <c r="J716" s="76" t="n">
        <v>0.004</v>
      </c>
      <c r="K716" s="76" t="n">
        <v>0.004</v>
      </c>
      <c r="L716" s="76" t="n">
        <v>0.004</v>
      </c>
      <c r="M716" s="76" t="n">
        <v>0.004</v>
      </c>
      <c r="N716" s="76" t="n">
        <v>0.004</v>
      </c>
      <c r="O716" s="76" t="n">
        <v>0.004</v>
      </c>
      <c r="P716" s="76" t="n">
        <v>0.003</v>
      </c>
      <c r="Q716" s="76" t="n">
        <v>0.002</v>
      </c>
      <c r="R716" s="76" t="n">
        <v>0.001</v>
      </c>
      <c r="S716" s="76" t="n">
        <v>0</v>
      </c>
      <c r="T716" s="76" t="n">
        <v>0</v>
      </c>
      <c r="U716" s="76" t="n">
        <v>0</v>
      </c>
      <c r="V716" s="76" t="n">
        <v>0</v>
      </c>
      <c r="W716" s="76" t="n">
        <v>0</v>
      </c>
      <c r="X716" s="76" t="n">
        <v>0</v>
      </c>
      <c r="Y716" s="76" t="n">
        <v>0</v>
      </c>
      <c r="Z716" s="76" t="n">
        <v>0</v>
      </c>
      <c r="AA716" s="76" t="n">
        <v>0</v>
      </c>
      <c r="AB716" s="76" t="n">
        <v>0</v>
      </c>
      <c r="AC716" s="76" t="n">
        <v>0</v>
      </c>
      <c r="AD716" s="76" t="n">
        <v>0</v>
      </c>
      <c r="AE716" s="76" t="n">
        <v>0</v>
      </c>
      <c r="AF716" s="76" t="n">
        <v>0</v>
      </c>
      <c r="AG716" s="76" t="n">
        <v>0</v>
      </c>
      <c r="AH716" s="76" t="n">
        <v>0</v>
      </c>
      <c r="AI716" s="76" t="n">
        <v>0</v>
      </c>
      <c r="AJ716" s="76" t="n">
        <v>0</v>
      </c>
      <c r="AK716" s="76" t="n">
        <v>0</v>
      </c>
      <c r="AL716" s="76" t="n">
        <v>0</v>
      </c>
      <c r="AM716" s="76" t="n">
        <v>0</v>
      </c>
      <c r="AN716" s="76" t="n">
        <v>0</v>
      </c>
      <c r="AO716" s="76" t="n">
        <v>0</v>
      </c>
      <c r="AP716" s="76" t="n">
        <v>0</v>
      </c>
      <c r="AQ716" s="76" t="n">
        <v>0</v>
      </c>
      <c r="AR716" s="76" t="n">
        <v>0.001414634146341464</v>
      </c>
    </row>
    <row r="717">
      <c r="A717" s="76" t="inlineStr">
        <is>
          <t>WV</t>
        </is>
      </c>
      <c r="B717" s="76" t="inlineStr">
        <is>
          <t>Geothermal</t>
        </is>
      </c>
      <c r="C717" s="76" t="n"/>
      <c r="D717" s="76" t="n"/>
      <c r="E717" s="76" t="n"/>
      <c r="F717" s="76" t="n"/>
      <c r="G717" s="76" t="n"/>
      <c r="H717" s="76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  <c r="AA717" s="76" t="n"/>
      <c r="AB717" s="76" t="n"/>
      <c r="AC717" s="76" t="n"/>
      <c r="AD717" s="76" t="n"/>
      <c r="AE717" s="76" t="n"/>
      <c r="AF717" s="76" t="n"/>
      <c r="AG717" s="76" t="n"/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</row>
    <row r="718">
      <c r="A718" s="76" t="inlineStr">
        <is>
          <t>WV</t>
        </is>
      </c>
      <c r="B718" s="76" t="inlineStr">
        <is>
          <t>Hydro</t>
        </is>
      </c>
      <c r="C718" s="76" t="n">
        <v>1.66</v>
      </c>
      <c r="D718" s="76" t="n">
        <v>1.6055</v>
      </c>
      <c r="E718" s="76" t="n">
        <v>1.5515</v>
      </c>
      <c r="F718" s="76" t="n">
        <v>1.5555</v>
      </c>
      <c r="G718" s="76" t="n">
        <v>1.559</v>
      </c>
      <c r="H718" s="76" t="n">
        <v>1.557</v>
      </c>
      <c r="I718" s="76" t="n">
        <v>1.5555</v>
      </c>
      <c r="J718" s="76" t="n">
        <v>1.5555</v>
      </c>
      <c r="K718" s="76" t="n">
        <v>1.5555</v>
      </c>
      <c r="L718" s="76" t="n">
        <v>1.5555</v>
      </c>
      <c r="M718" s="76" t="n">
        <v>1.5555</v>
      </c>
      <c r="N718" s="76" t="n">
        <v>1.5555</v>
      </c>
      <c r="O718" s="76" t="n">
        <v>1.5555</v>
      </c>
      <c r="P718" s="76" t="n">
        <v>1.5555</v>
      </c>
      <c r="Q718" s="76" t="n">
        <v>1.5555</v>
      </c>
      <c r="R718" s="76" t="n">
        <v>1.5555</v>
      </c>
      <c r="S718" s="76" t="n">
        <v>1.5555</v>
      </c>
      <c r="T718" s="76" t="n">
        <v>1.5555</v>
      </c>
      <c r="U718" s="76" t="n">
        <v>1.5555</v>
      </c>
      <c r="V718" s="76" t="n">
        <v>1.5555</v>
      </c>
      <c r="W718" s="76" t="n">
        <v>1.5555</v>
      </c>
      <c r="X718" s="76" t="n">
        <v>1.5555</v>
      </c>
      <c r="Y718" s="76" t="n">
        <v>1.5555</v>
      </c>
      <c r="Z718" s="76" t="n">
        <v>1.5555</v>
      </c>
      <c r="AA718" s="76" t="n">
        <v>1.5555</v>
      </c>
      <c r="AB718" s="76" t="n">
        <v>1.5555</v>
      </c>
      <c r="AC718" s="76" t="n">
        <v>1.5555</v>
      </c>
      <c r="AD718" s="76" t="n">
        <v>1.5555</v>
      </c>
      <c r="AE718" s="76" t="n">
        <v>1.5555</v>
      </c>
      <c r="AF718" s="76" t="n">
        <v>1.5555</v>
      </c>
      <c r="AG718" s="76" t="n">
        <v>1.5555</v>
      </c>
      <c r="AH718" s="76" t="n">
        <v>1.5555</v>
      </c>
      <c r="AI718" s="76" t="n">
        <v>1.5555</v>
      </c>
      <c r="AJ718" s="76" t="n">
        <v>1.5555</v>
      </c>
      <c r="AK718" s="76" t="n">
        <v>1.5555</v>
      </c>
      <c r="AL718" s="76" t="n">
        <v>1.5555</v>
      </c>
      <c r="AM718" s="76" t="n">
        <v>1.5555</v>
      </c>
      <c r="AN718" s="76" t="n">
        <v>1.5555</v>
      </c>
      <c r="AO718" s="76" t="n">
        <v>1.5555</v>
      </c>
      <c r="AP718" s="76" t="n">
        <v>1.5555</v>
      </c>
      <c r="AQ718" s="76" t="n">
        <v>1.5555</v>
      </c>
      <c r="AR718" s="76" t="n">
        <v>1.559292682926831</v>
      </c>
    </row>
    <row r="719">
      <c r="A719" s="76" t="inlineStr">
        <is>
          <t>WV</t>
        </is>
      </c>
      <c r="B719" s="76" t="inlineStr">
        <is>
          <t>Nuclear</t>
        </is>
      </c>
      <c r="C719" s="76" t="n"/>
      <c r="D719" s="76" t="n"/>
      <c r="E719" s="76" t="n"/>
      <c r="F719" s="76" t="n"/>
      <c r="G719" s="76" t="n"/>
      <c r="H719" s="76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  <c r="AA719" s="76" t="n"/>
      <c r="AB719" s="76" t="n"/>
      <c r="AC719" s="76" t="n"/>
      <c r="AD719" s="76" t="n"/>
      <c r="AE719" s="76" t="n"/>
      <c r="AF719" s="76" t="n"/>
      <c r="AG719" s="76" t="n"/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</row>
    <row r="720">
      <c r="A720" s="76" t="inlineStr">
        <is>
          <t>WV</t>
        </is>
      </c>
      <c r="B720" s="76" t="inlineStr">
        <is>
          <t>Other</t>
        </is>
      </c>
      <c r="C720" s="76" t="n">
        <v>0</v>
      </c>
      <c r="D720" s="76" t="n">
        <v>0</v>
      </c>
      <c r="E720" s="76" t="n">
        <v>0</v>
      </c>
      <c r="F720" s="76" t="n">
        <v>0</v>
      </c>
      <c r="G720" s="76" t="n">
        <v>0</v>
      </c>
      <c r="H720" s="76" t="n">
        <v>0</v>
      </c>
      <c r="I720" s="76" t="n">
        <v>0</v>
      </c>
      <c r="J720" s="76" t="n">
        <v>0</v>
      </c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  <c r="AE720" s="76" t="n"/>
      <c r="AF720" s="76" t="n"/>
      <c r="AG720" s="76" t="n"/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>
        <v>0</v>
      </c>
    </row>
    <row r="721">
      <c r="A721" s="76" t="inlineStr">
        <is>
          <t>WV</t>
        </is>
      </c>
      <c r="B721" s="76" t="inlineStr">
        <is>
          <t>Utility PV</t>
        </is>
      </c>
      <c r="C721" s="76" t="n"/>
      <c r="D721" s="76" t="n"/>
      <c r="E721" s="76" t="n"/>
      <c r="F721" s="76" t="n"/>
      <c r="G721" s="76" t="n"/>
      <c r="H721" s="76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>
        <v>0.2185</v>
      </c>
      <c r="W721" s="76" t="n">
        <v>0.2185</v>
      </c>
      <c r="X721" s="76" t="n">
        <v>0.2175</v>
      </c>
      <c r="Y721" s="76" t="n">
        <v>0.216</v>
      </c>
      <c r="Z721" s="76" t="n">
        <v>0.215</v>
      </c>
      <c r="AA721" s="76" t="n">
        <v>0.214</v>
      </c>
      <c r="AB721" s="76" t="n">
        <v>0.213</v>
      </c>
      <c r="AC721" s="76" t="n">
        <v>0.212</v>
      </c>
      <c r="AD721" s="76" t="n">
        <v>0.211</v>
      </c>
      <c r="AE721" s="76" t="n">
        <v>0.21</v>
      </c>
      <c r="AF721" s="76" t="n">
        <v>0.209</v>
      </c>
      <c r="AG721" s="76" t="n">
        <v>0.208</v>
      </c>
      <c r="AH721" s="76" t="n">
        <v>0.207</v>
      </c>
      <c r="AI721" s="76" t="n">
        <v>0.206</v>
      </c>
      <c r="AJ721" s="76" t="n">
        <v>0.205</v>
      </c>
      <c r="AK721" s="76" t="n">
        <v>0.204</v>
      </c>
      <c r="AL721" s="76" t="n">
        <v>0.203</v>
      </c>
      <c r="AM721" s="76" t="n">
        <v>0.202</v>
      </c>
      <c r="AN721" s="76" t="n">
        <v>0.201</v>
      </c>
      <c r="AO721" s="76" t="n">
        <v>0.2</v>
      </c>
      <c r="AP721" s="76" t="n">
        <v>0.199</v>
      </c>
      <c r="AQ721" s="76" t="n">
        <v>0.198</v>
      </c>
      <c r="AR721" s="76" t="n">
        <v>0.2085227272727273</v>
      </c>
    </row>
    <row r="722">
      <c r="A722" s="76" t="inlineStr">
        <is>
          <t>WV</t>
        </is>
      </c>
      <c r="B722" s="76" t="inlineStr">
        <is>
          <t>Wind offshore</t>
        </is>
      </c>
      <c r="C722" s="76" t="n"/>
      <c r="D722" s="76" t="n"/>
      <c r="E722" s="76" t="n"/>
      <c r="F722" s="76" t="n"/>
      <c r="G722" s="76" t="n"/>
      <c r="H722" s="76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  <c r="AE722" s="76" t="n"/>
      <c r="AF722" s="76" t="n"/>
      <c r="AG722" s="76" t="n"/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</row>
    <row r="723">
      <c r="A723" s="76" t="inlineStr">
        <is>
          <t>WV</t>
        </is>
      </c>
      <c r="B723" s="76" t="inlineStr">
        <is>
          <t>Wind onshore</t>
        </is>
      </c>
      <c r="C723" s="76" t="n">
        <v>0.323</v>
      </c>
      <c r="D723" s="76" t="n">
        <v>0.333</v>
      </c>
      <c r="E723" s="76" t="n">
        <v>0.34</v>
      </c>
      <c r="F723" s="76" t="n">
        <v>0.34</v>
      </c>
      <c r="G723" s="76" t="n">
        <v>0.34</v>
      </c>
      <c r="H723" s="76" t="n">
        <v>0.344</v>
      </c>
      <c r="I723" s="76" t="n">
        <v>0.348</v>
      </c>
      <c r="J723" s="76" t="n">
        <v>0.348</v>
      </c>
      <c r="K723" s="76" t="n">
        <v>0.348</v>
      </c>
      <c r="L723" s="76" t="n">
        <v>0.363</v>
      </c>
      <c r="M723" s="76" t="n">
        <v>0.375</v>
      </c>
      <c r="N723" s="76" t="n">
        <v>0.401</v>
      </c>
      <c r="O723" s="76" t="n">
        <v>0.404</v>
      </c>
      <c r="P723" s="76" t="n">
        <v>0.404</v>
      </c>
      <c r="Q723" s="76" t="n">
        <v>0.403</v>
      </c>
      <c r="R723" s="76" t="n">
        <v>0.4045</v>
      </c>
      <c r="S723" s="76" t="n">
        <v>0.406</v>
      </c>
      <c r="T723" s="76" t="n">
        <v>0.401</v>
      </c>
      <c r="U723" s="76" t="n">
        <v>0.398</v>
      </c>
      <c r="V723" s="76" t="n">
        <v>0.3865</v>
      </c>
      <c r="W723" s="76" t="n">
        <v>0.377</v>
      </c>
      <c r="X723" s="76" t="n">
        <v>0.3805</v>
      </c>
      <c r="Y723" s="76" t="n">
        <v>0.3835</v>
      </c>
      <c r="Z723" s="76" t="n">
        <v>0.383</v>
      </c>
      <c r="AA723" s="76" t="n">
        <v>0.382</v>
      </c>
      <c r="AB723" s="76" t="n">
        <v>0.3815</v>
      </c>
      <c r="AC723" s="76" t="n">
        <v>0.383</v>
      </c>
      <c r="AD723" s="76" t="n">
        <v>0.384</v>
      </c>
      <c r="AE723" s="76" t="n">
        <v>0.3845</v>
      </c>
      <c r="AF723" s="76" t="n">
        <v>0.386</v>
      </c>
      <c r="AG723" s="76" t="n">
        <v>0.387</v>
      </c>
      <c r="AH723" s="76" t="n">
        <v>0.39</v>
      </c>
      <c r="AI723" s="76" t="n">
        <v>0.392</v>
      </c>
      <c r="AJ723" s="76" t="n">
        <v>0.3945</v>
      </c>
      <c r="AK723" s="76" t="n">
        <v>0.3965</v>
      </c>
      <c r="AL723" s="76" t="n">
        <v>0.3985</v>
      </c>
      <c r="AM723" s="76" t="n">
        <v>0.4</v>
      </c>
      <c r="AN723" s="76" t="n">
        <v>0.401</v>
      </c>
      <c r="AO723" s="76" t="n">
        <v>0.403</v>
      </c>
      <c r="AP723" s="76" t="n">
        <v>0.404</v>
      </c>
      <c r="AQ723" s="76" t="n">
        <v>0.4055</v>
      </c>
      <c r="AR723" s="76" t="n">
        <v>0.3860845070422533</v>
      </c>
    </row>
    <row r="724">
      <c r="A724" s="76" t="inlineStr">
        <is>
          <t>WY</t>
        </is>
      </c>
      <c r="B724" s="76" t="inlineStr">
        <is>
          <t>WY</t>
        </is>
      </c>
      <c r="C724" s="76" t="n">
        <v>0.376</v>
      </c>
      <c r="D724" s="76" t="n">
        <v>0.3534</v>
      </c>
      <c r="E724" s="76" t="n">
        <v>0.3374</v>
      </c>
      <c r="F724" s="76" t="n">
        <v>0.3014375</v>
      </c>
      <c r="G724" s="76" t="n">
        <v>0.315125</v>
      </c>
      <c r="H724" s="76" t="n">
        <v>0.3104375</v>
      </c>
      <c r="I724" s="76" t="n">
        <v>0.3056875000000001</v>
      </c>
      <c r="J724" s="76" t="n">
        <v>0.3116470588235294</v>
      </c>
      <c r="K724" s="76" t="n">
        <v>0.3209411764705883</v>
      </c>
      <c r="L724" s="76" t="n">
        <v>0.3241176470588236</v>
      </c>
      <c r="M724" s="76" t="n">
        <v>0.3224117647058824</v>
      </c>
      <c r="N724" s="76" t="n">
        <v>0.2805714285714286</v>
      </c>
      <c r="O724" s="76" t="n">
        <v>0.2835714285714286</v>
      </c>
      <c r="P724" s="76" t="n">
        <v>0.2862380952380953</v>
      </c>
      <c r="Q724" s="76" t="n">
        <v>0.2794285714285715</v>
      </c>
      <c r="R724" s="76" t="n">
        <v>0.2718695652173914</v>
      </c>
      <c r="S724" s="76" t="n">
        <v>0.2700434782608696</v>
      </c>
      <c r="T724" s="76" t="n">
        <v>0.2676250000000001</v>
      </c>
      <c r="U724" s="76" t="n">
        <v>0.2657916666666666</v>
      </c>
      <c r="V724" s="76" t="n">
        <v>0.25976</v>
      </c>
      <c r="W724" s="76" t="n">
        <v>0.2650833333333334</v>
      </c>
      <c r="X724" s="76" t="n">
        <v>0.2603333333333333</v>
      </c>
      <c r="Y724" s="76" t="n">
        <v>0.2345652173913044</v>
      </c>
      <c r="Z724" s="76" t="n">
        <v>0.2303333333333334</v>
      </c>
      <c r="AA724" s="76" t="n">
        <v>0.226375</v>
      </c>
      <c r="AB724" s="76" t="n">
        <v>0.188</v>
      </c>
      <c r="AC724" s="76" t="n">
        <v>0.1867272727272727</v>
      </c>
      <c r="AD724" s="76" t="n">
        <v>0.1857727272727273</v>
      </c>
      <c r="AE724" s="76" t="n">
        <v>0.1848181818181818</v>
      </c>
      <c r="AF724" s="76" t="n">
        <v>0.1839090909090909</v>
      </c>
      <c r="AG724" s="76" t="n">
        <v>0.1829090909090909</v>
      </c>
      <c r="AH724" s="76" t="n">
        <v>0.1855454545454546</v>
      </c>
      <c r="AI724" s="76" t="n">
        <v>0.1864545454545454</v>
      </c>
      <c r="AJ724" s="76" t="n">
        <v>0.1873181818181818</v>
      </c>
      <c r="AK724" s="76" t="n">
        <v>0.1878181818181818</v>
      </c>
      <c r="AL724" s="76" t="n">
        <v>0.1883181818181818</v>
      </c>
      <c r="AM724" s="76" t="n">
        <v>0.1875</v>
      </c>
      <c r="AN724" s="76" t="n">
        <v>0.1866818181818181</v>
      </c>
      <c r="AO724" s="76" t="n">
        <v>0.1860454545454545</v>
      </c>
      <c r="AP724" s="76" t="n">
        <v>0.1851363636363637</v>
      </c>
      <c r="AQ724" s="76" t="n">
        <v>0.1842272727272727</v>
      </c>
      <c r="AR724" s="76" t="n">
        <v>0.2417296650717703</v>
      </c>
    </row>
    <row r="725">
      <c r="A725" s="76" t="inlineStr">
        <is>
          <t>WY</t>
        </is>
      </c>
      <c r="B725" s="76" t="inlineStr">
        <is>
          <t>Battery</t>
        </is>
      </c>
      <c r="C725" s="76" t="n"/>
      <c r="D725" s="76" t="n"/>
      <c r="E725" s="76" t="n"/>
      <c r="F725" s="76" t="n"/>
      <c r="G725" s="76" t="n"/>
      <c r="H725" s="76" t="n"/>
      <c r="I725" s="76" t="n"/>
      <c r="J725" s="76" t="n"/>
      <c r="K725" s="76" t="n"/>
      <c r="L725" s="76" t="n"/>
      <c r="M725" s="76" t="n"/>
      <c r="N725" s="76" t="n">
        <v>-0.04833333333333334</v>
      </c>
      <c r="O725" s="76" t="n">
        <v>-0.04833333333333334</v>
      </c>
      <c r="P725" s="76" t="n">
        <v>-0.03266666666666667</v>
      </c>
      <c r="Q725" s="76" t="n">
        <v>-0.02766666666666666</v>
      </c>
      <c r="R725" s="76" t="n">
        <v>-0.03375</v>
      </c>
      <c r="S725" s="76" t="n">
        <v>-0.038</v>
      </c>
      <c r="T725" s="76" t="n">
        <v>-0.03575</v>
      </c>
      <c r="U725" s="76" t="n">
        <v>-0.033</v>
      </c>
      <c r="V725" s="76" t="n">
        <v>-0.04025</v>
      </c>
      <c r="W725" s="76" t="n">
        <v>-0.04575</v>
      </c>
      <c r="X725" s="76" t="n">
        <v>-0.0465</v>
      </c>
      <c r="Y725" s="76" t="n">
        <v>-0.046</v>
      </c>
      <c r="Z725" s="76" t="n">
        <v>-0.04725</v>
      </c>
      <c r="AA725" s="76" t="n">
        <v>-0.0485</v>
      </c>
      <c r="AB725" s="76" t="n">
        <v>-0.0495</v>
      </c>
      <c r="AC725" s="76" t="n">
        <v>-0.058</v>
      </c>
      <c r="AD725" s="76" t="n">
        <v>-0.05925</v>
      </c>
      <c r="AE725" s="76" t="n">
        <v>-0.06</v>
      </c>
      <c r="AF725" s="76" t="n">
        <v>-0.0605</v>
      </c>
      <c r="AG725" s="76" t="n">
        <v>-0.0615</v>
      </c>
      <c r="AH725" s="76" t="n">
        <v>-0.059</v>
      </c>
      <c r="AI725" s="76" t="n">
        <v>-0.05775</v>
      </c>
      <c r="AJ725" s="76" t="n">
        <v>-0.05624999999999999</v>
      </c>
      <c r="AK725" s="76" t="n">
        <v>-0.05525</v>
      </c>
      <c r="AL725" s="76" t="n">
        <v>-0.0545</v>
      </c>
      <c r="AM725" s="76" t="n">
        <v>-0.05475</v>
      </c>
      <c r="AN725" s="76" t="n">
        <v>-0.0545</v>
      </c>
      <c r="AO725" s="76" t="n">
        <v>-0.054</v>
      </c>
      <c r="AP725" s="76" t="n">
        <v>-0.054</v>
      </c>
      <c r="AQ725" s="76" t="n">
        <v>-0.054</v>
      </c>
      <c r="AR725" s="76" t="n">
        <v>-0.04949137931034481</v>
      </c>
    </row>
    <row r="726">
      <c r="A726" s="76" t="inlineStr">
        <is>
          <t>WY</t>
        </is>
      </c>
      <c r="B726" s="76" t="inlineStr">
        <is>
          <t>Biopower</t>
        </is>
      </c>
      <c r="C726" s="76" t="n"/>
      <c r="D726" s="76" t="n"/>
      <c r="E726" s="76" t="n"/>
      <c r="F726" s="76" t="n"/>
      <c r="G726" s="76" t="n"/>
      <c r="H726" s="76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  <c r="AA726" s="76" t="n"/>
      <c r="AB726" s="76" t="n"/>
      <c r="AC726" s="76" t="n"/>
      <c r="AD726" s="76" t="n"/>
      <c r="AE726" s="76" t="n"/>
      <c r="AF726" s="76" t="n"/>
      <c r="AG726" s="76" t="n"/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</row>
    <row r="727">
      <c r="A727" s="76" t="inlineStr">
        <is>
          <t>WY</t>
        </is>
      </c>
      <c r="B727" s="76" t="inlineStr">
        <is>
          <t>Coal</t>
        </is>
      </c>
      <c r="C727" s="76" t="n">
        <v>0.7846666666666667</v>
      </c>
      <c r="D727" s="76" t="n">
        <v>0.7113333333333335</v>
      </c>
      <c r="E727" s="76" t="n">
        <v>0.6593333333333333</v>
      </c>
      <c r="F727" s="76" t="n">
        <v>0.7446666666666667</v>
      </c>
      <c r="G727" s="76" t="n">
        <v>0.835</v>
      </c>
      <c r="H727" s="76" t="n">
        <v>0.7400000000000001</v>
      </c>
      <c r="I727" s="76" t="n">
        <v>0.6443333333333333</v>
      </c>
      <c r="J727" s="76" t="n">
        <v>0.7050000000000001</v>
      </c>
      <c r="K727" s="76" t="n">
        <v>0.77</v>
      </c>
      <c r="L727" s="76" t="n">
        <v>0.735</v>
      </c>
      <c r="M727" s="76" t="n">
        <v>0.6966666666666667</v>
      </c>
      <c r="N727" s="76" t="n">
        <v>0.7223333333333333</v>
      </c>
      <c r="O727" s="76" t="n">
        <v>0.7546666666666667</v>
      </c>
      <c r="P727" s="76" t="n">
        <v>0.7676666666666666</v>
      </c>
      <c r="Q727" s="76" t="n">
        <v>0.727</v>
      </c>
      <c r="R727" s="76" t="n">
        <v>0.7403333333333334</v>
      </c>
      <c r="S727" s="76" t="n">
        <v>0.7536666666666667</v>
      </c>
      <c r="T727" s="76" t="n">
        <v>0.7536666666666667</v>
      </c>
      <c r="U727" s="76" t="n">
        <v>0.7533333333333333</v>
      </c>
      <c r="V727" s="76" t="n">
        <v>0.7240000000000001</v>
      </c>
      <c r="W727" s="76" t="n">
        <v>0.6943333333333332</v>
      </c>
      <c r="X727" s="76" t="n">
        <v>0.673</v>
      </c>
      <c r="Y727" s="76" t="n">
        <v>0.6055</v>
      </c>
      <c r="Z727" s="76" t="n">
        <v>0.6055</v>
      </c>
      <c r="AA727" s="76" t="n">
        <v>0.6055</v>
      </c>
      <c r="AB727" s="76" t="n"/>
      <c r="AC727" s="76" t="n"/>
      <c r="AD727" s="76" t="n"/>
      <c r="AE727" s="76" t="n"/>
      <c r="AF727" s="76" t="n"/>
      <c r="AG727" s="76" t="n"/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>
        <v>0.7208749999999999</v>
      </c>
    </row>
    <row r="728">
      <c r="A728" s="76" t="inlineStr">
        <is>
          <t>WY</t>
        </is>
      </c>
      <c r="B728" s="76" t="inlineStr">
        <is>
          <t>CSP</t>
        </is>
      </c>
      <c r="C728" s="76" t="n"/>
      <c r="D728" s="76" t="n"/>
      <c r="E728" s="76" t="n"/>
      <c r="F728" s="76" t="n"/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  <c r="AA728" s="76" t="n"/>
      <c r="AB728" s="76" t="n"/>
      <c r="AC728" s="76" t="n"/>
      <c r="AD728" s="76" t="n"/>
      <c r="AE728" s="76" t="n"/>
      <c r="AF728" s="76" t="n"/>
      <c r="AG728" s="76" t="n"/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</row>
    <row r="729">
      <c r="A729" s="76" t="inlineStr">
        <is>
          <t>WY</t>
        </is>
      </c>
      <c r="B729" s="76" t="inlineStr">
        <is>
          <t>Dist PV</t>
        </is>
      </c>
      <c r="C729" s="76" t="n"/>
      <c r="D729" s="76" t="n"/>
      <c r="E729" s="76" t="n"/>
      <c r="F729" s="76" t="n">
        <v>0.184</v>
      </c>
      <c r="G729" s="76" t="n">
        <v>0.184</v>
      </c>
      <c r="H729" s="76" t="n">
        <v>0.184</v>
      </c>
      <c r="I729" s="76" t="n">
        <v>0.184</v>
      </c>
      <c r="J729" s="76" t="n">
        <v>0.184</v>
      </c>
      <c r="K729" s="76" t="n">
        <v>0.184</v>
      </c>
      <c r="L729" s="76" t="n">
        <v>0.184</v>
      </c>
      <c r="M729" s="76" t="n">
        <v>0.184</v>
      </c>
      <c r="N729" s="76" t="n">
        <v>0.184</v>
      </c>
      <c r="O729" s="76" t="n">
        <v>0.184</v>
      </c>
      <c r="P729" s="76" t="n">
        <v>0.184</v>
      </c>
      <c r="Q729" s="76" t="n">
        <v>0.184</v>
      </c>
      <c r="R729" s="76" t="n">
        <v>0.184</v>
      </c>
      <c r="S729" s="76" t="n">
        <v>0.184</v>
      </c>
      <c r="T729" s="76" t="n">
        <v>0.184</v>
      </c>
      <c r="U729" s="76" t="n">
        <v>0.184</v>
      </c>
      <c r="V729" s="76" t="n">
        <v>0.184</v>
      </c>
      <c r="W729" s="76" t="n">
        <v>0.184</v>
      </c>
      <c r="X729" s="76" t="n">
        <v>0.184</v>
      </c>
      <c r="Y729" s="76" t="n">
        <v>0.184</v>
      </c>
      <c r="Z729" s="76" t="n">
        <v>0.184</v>
      </c>
      <c r="AA729" s="76" t="n">
        <v>0.184</v>
      </c>
      <c r="AB729" s="76" t="n">
        <v>0.184</v>
      </c>
      <c r="AC729" s="76" t="n">
        <v>0.184</v>
      </c>
      <c r="AD729" s="76" t="n">
        <v>0.184</v>
      </c>
      <c r="AE729" s="76" t="n">
        <v>0.184</v>
      </c>
      <c r="AF729" s="76" t="n">
        <v>0.184</v>
      </c>
      <c r="AG729" s="76" t="n">
        <v>0.184</v>
      </c>
      <c r="AH729" s="76" t="n">
        <v>0.184</v>
      </c>
      <c r="AI729" s="76" t="n">
        <v>0.184</v>
      </c>
      <c r="AJ729" s="76" t="n">
        <v>0.184</v>
      </c>
      <c r="AK729" s="76" t="n">
        <v>0.184</v>
      </c>
      <c r="AL729" s="76" t="n">
        <v>0.184</v>
      </c>
      <c r="AM729" s="76" t="n">
        <v>0.184</v>
      </c>
      <c r="AN729" s="76" t="n">
        <v>0.184</v>
      </c>
      <c r="AO729" s="76" t="n">
        <v>0.184</v>
      </c>
      <c r="AP729" s="76" t="n">
        <v>0.184</v>
      </c>
      <c r="AQ729" s="76" t="n">
        <v>0.184</v>
      </c>
      <c r="AR729" s="76" t="n">
        <v>0.184</v>
      </c>
    </row>
    <row r="730">
      <c r="A730" s="76" t="inlineStr">
        <is>
          <t>WY</t>
        </is>
      </c>
      <c r="B730" s="76" t="inlineStr">
        <is>
          <t>Gas CCGT</t>
        </is>
      </c>
      <c r="C730" s="76" t="n"/>
      <c r="D730" s="76" t="n"/>
      <c r="E730" s="76" t="n"/>
      <c r="F730" s="76" t="n">
        <v>0.51</v>
      </c>
      <c r="G730" s="76" t="n">
        <v>0.51</v>
      </c>
      <c r="H730" s="76" t="n">
        <v>0.706</v>
      </c>
      <c r="I730" s="76" t="n">
        <v>0.902</v>
      </c>
      <c r="J730" s="76" t="n">
        <v>0.865</v>
      </c>
      <c r="K730" s="76" t="n">
        <v>0.828</v>
      </c>
      <c r="L730" s="76" t="n">
        <v>0.865</v>
      </c>
      <c r="M730" s="76" t="n">
        <v>0.902</v>
      </c>
      <c r="N730" s="76" t="n">
        <v>0.851</v>
      </c>
      <c r="O730" s="76" t="n">
        <v>0.8</v>
      </c>
      <c r="P730" s="76" t="n">
        <v>0.749</v>
      </c>
      <c r="Q730" s="76" t="n">
        <v>0.698</v>
      </c>
      <c r="R730" s="76" t="n">
        <v>0.632</v>
      </c>
      <c r="S730" s="76" t="n">
        <v>0.5649999999999999</v>
      </c>
      <c r="T730" s="76" t="n">
        <v>0.524</v>
      </c>
      <c r="U730" s="76" t="n">
        <v>0.483</v>
      </c>
      <c r="V730" s="76" t="n">
        <v>0.477</v>
      </c>
      <c r="W730" s="76" t="n">
        <v>0.471</v>
      </c>
      <c r="X730" s="76" t="n">
        <v>0.429</v>
      </c>
      <c r="Y730" s="76" t="n">
        <v>0.387</v>
      </c>
      <c r="Z730" s="76" t="n">
        <v>0.322</v>
      </c>
      <c r="AA730" s="76" t="n">
        <v>0.256</v>
      </c>
      <c r="AB730" s="76" t="n">
        <v>0.19</v>
      </c>
      <c r="AC730" s="76" t="n">
        <v>0.163</v>
      </c>
      <c r="AD730" s="76" t="n">
        <v>0.136</v>
      </c>
      <c r="AE730" s="76" t="n">
        <v>0.109</v>
      </c>
      <c r="AF730" s="76" t="n">
        <v>0.081</v>
      </c>
      <c r="AG730" s="76" t="n">
        <v>0.054</v>
      </c>
      <c r="AH730" s="76" t="n">
        <v>0.059</v>
      </c>
      <c r="AI730" s="76" t="n">
        <v>0.063</v>
      </c>
      <c r="AJ730" s="76" t="n">
        <v>0.068</v>
      </c>
      <c r="AK730" s="76" t="n">
        <v>0.07199999999999999</v>
      </c>
      <c r="AL730" s="76" t="n">
        <v>0.076</v>
      </c>
      <c r="AM730" s="76" t="n">
        <v>0.073</v>
      </c>
      <c r="AN730" s="76" t="n">
        <v>0.07000000000000001</v>
      </c>
      <c r="AO730" s="76" t="n">
        <v>0.067</v>
      </c>
      <c r="AP730" s="76" t="n">
        <v>0.063</v>
      </c>
      <c r="AQ730" s="76" t="n">
        <v>0.06</v>
      </c>
      <c r="AR730" s="76" t="n">
        <v>0.3983157894736842</v>
      </c>
    </row>
    <row r="731">
      <c r="A731" s="76" t="inlineStr">
        <is>
          <t>WY</t>
        </is>
      </c>
      <c r="B731" s="76" t="inlineStr">
        <is>
          <t>Gas CT</t>
        </is>
      </c>
      <c r="C731" s="76" t="n">
        <v>0</v>
      </c>
      <c r="D731" s="76" t="n">
        <v>0</v>
      </c>
      <c r="E731" s="76" t="n">
        <v>0</v>
      </c>
      <c r="F731" s="76" t="n">
        <v>0</v>
      </c>
      <c r="G731" s="76" t="n">
        <v>0</v>
      </c>
      <c r="H731" s="76" t="n">
        <v>0</v>
      </c>
      <c r="I731" s="76" t="n">
        <v>0</v>
      </c>
      <c r="J731" s="76" t="n">
        <v>0</v>
      </c>
      <c r="K731" s="76" t="n">
        <v>0</v>
      </c>
      <c r="L731" s="76" t="n">
        <v>0</v>
      </c>
      <c r="M731" s="76" t="n">
        <v>0</v>
      </c>
      <c r="N731" s="76" t="n">
        <v>0</v>
      </c>
      <c r="O731" s="76" t="n">
        <v>0</v>
      </c>
      <c r="P731" s="76" t="n">
        <v>0</v>
      </c>
      <c r="Q731" s="76" t="n">
        <v>0</v>
      </c>
      <c r="R731" s="76" t="n">
        <v>0</v>
      </c>
      <c r="S731" s="76" t="n">
        <v>0</v>
      </c>
      <c r="T731" s="76" t="n">
        <v>0</v>
      </c>
      <c r="U731" s="76" t="n">
        <v>0</v>
      </c>
      <c r="V731" s="76" t="n">
        <v>0</v>
      </c>
      <c r="W731" s="76" t="n">
        <v>0</v>
      </c>
      <c r="X731" s="76" t="n">
        <v>0</v>
      </c>
      <c r="Y731" s="76" t="n">
        <v>0</v>
      </c>
      <c r="Z731" s="76" t="n">
        <v>0</v>
      </c>
      <c r="AA731" s="76" t="n">
        <v>0</v>
      </c>
      <c r="AB731" s="76" t="n">
        <v>0.0003333333333333333</v>
      </c>
      <c r="AC731" s="76" t="n">
        <v>0</v>
      </c>
      <c r="AD731" s="76" t="n">
        <v>0</v>
      </c>
      <c r="AE731" s="76" t="n">
        <v>0</v>
      </c>
      <c r="AF731" s="76" t="n">
        <v>0</v>
      </c>
      <c r="AG731" s="76" t="n">
        <v>0</v>
      </c>
      <c r="AH731" s="76" t="n">
        <v>0</v>
      </c>
      <c r="AI731" s="76" t="n">
        <v>0</v>
      </c>
      <c r="AJ731" s="76" t="n">
        <v>0</v>
      </c>
      <c r="AK731" s="76" t="n">
        <v>0</v>
      </c>
      <c r="AL731" s="76" t="n">
        <v>0</v>
      </c>
      <c r="AM731" s="76" t="n">
        <v>0</v>
      </c>
      <c r="AN731" s="76" t="n">
        <v>0</v>
      </c>
      <c r="AO731" s="76" t="n">
        <v>0</v>
      </c>
      <c r="AP731" s="76" t="n">
        <v>0</v>
      </c>
      <c r="AQ731" s="76" t="n">
        <v>0</v>
      </c>
      <c r="AR731" s="76" t="n">
        <v>8.333333333333334e-06</v>
      </c>
    </row>
    <row r="732">
      <c r="A732" s="76" t="inlineStr">
        <is>
          <t>WY</t>
        </is>
      </c>
      <c r="B732" s="76" t="inlineStr">
        <is>
          <t>Geothermal</t>
        </is>
      </c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  <c r="AA732" s="76" t="n"/>
      <c r="AB732" s="76" t="n"/>
      <c r="AC732" s="76" t="n"/>
      <c r="AD732" s="76" t="n"/>
      <c r="AE732" s="76" t="n"/>
      <c r="AF732" s="76" t="n"/>
      <c r="AG732" s="76" t="n"/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</row>
    <row r="733">
      <c r="A733" s="76" t="inlineStr">
        <is>
          <t>WY</t>
        </is>
      </c>
      <c r="B733" s="76" t="inlineStr">
        <is>
          <t>Hydro</t>
        </is>
      </c>
      <c r="C733" s="76" t="n">
        <v>0.387</v>
      </c>
      <c r="D733" s="76" t="n">
        <v>0.3845</v>
      </c>
      <c r="E733" s="76" t="n">
        <v>0.3825</v>
      </c>
      <c r="F733" s="76" t="n">
        <v>0.356</v>
      </c>
      <c r="G733" s="76" t="n">
        <v>0.3295</v>
      </c>
      <c r="H733" s="76" t="n">
        <v>0.336</v>
      </c>
      <c r="I733" s="76" t="n">
        <v>0.3425</v>
      </c>
      <c r="J733" s="76" t="n">
        <v>0.3425</v>
      </c>
      <c r="K733" s="76" t="n">
        <v>0.3425</v>
      </c>
      <c r="L733" s="76" t="n">
        <v>0.3425</v>
      </c>
      <c r="M733" s="76" t="n">
        <v>0.3425</v>
      </c>
      <c r="N733" s="76" t="n">
        <v>0.3425</v>
      </c>
      <c r="O733" s="76" t="n">
        <v>0.3425</v>
      </c>
      <c r="P733" s="76" t="n">
        <v>0.3425</v>
      </c>
      <c r="Q733" s="76" t="n">
        <v>0.3425</v>
      </c>
      <c r="R733" s="76" t="n">
        <v>0.3425</v>
      </c>
      <c r="S733" s="76" t="n">
        <v>0.3425</v>
      </c>
      <c r="T733" s="76" t="n">
        <v>0.3425</v>
      </c>
      <c r="U733" s="76" t="n">
        <v>0.3425</v>
      </c>
      <c r="V733" s="76" t="n">
        <v>0.3425</v>
      </c>
      <c r="W733" s="76" t="n">
        <v>0.3425</v>
      </c>
      <c r="X733" s="76" t="n">
        <v>0.3425</v>
      </c>
      <c r="Y733" s="76" t="n">
        <v>0.3425</v>
      </c>
      <c r="Z733" s="76" t="n">
        <v>0.3425</v>
      </c>
      <c r="AA733" s="76" t="n">
        <v>0.3425</v>
      </c>
      <c r="AB733" s="76" t="n">
        <v>0.3425</v>
      </c>
      <c r="AC733" s="76" t="n">
        <v>0.3425</v>
      </c>
      <c r="AD733" s="76" t="n">
        <v>0.3425</v>
      </c>
      <c r="AE733" s="76" t="n">
        <v>0.3425</v>
      </c>
      <c r="AF733" s="76" t="n">
        <v>0.3425</v>
      </c>
      <c r="AG733" s="76" t="n">
        <v>0.3425</v>
      </c>
      <c r="AH733" s="76" t="n">
        <v>0.3425</v>
      </c>
      <c r="AI733" s="76" t="n">
        <v>0.3425</v>
      </c>
      <c r="AJ733" s="76" t="n">
        <v>0.3425</v>
      </c>
      <c r="AK733" s="76" t="n">
        <v>0.3425</v>
      </c>
      <c r="AL733" s="76" t="n">
        <v>0.3425</v>
      </c>
      <c r="AM733" s="76" t="n">
        <v>0.3365</v>
      </c>
      <c r="AN733" s="76" t="n">
        <v>0.331</v>
      </c>
      <c r="AO733" s="76" t="n">
        <v>0.325</v>
      </c>
      <c r="AP733" s="76" t="n">
        <v>0.3195</v>
      </c>
      <c r="AQ733" s="76" t="n">
        <v>0.3135</v>
      </c>
      <c r="AR733" s="76" t="n">
        <v>0.3433170731707316</v>
      </c>
    </row>
    <row r="734">
      <c r="A734" s="76" t="inlineStr">
        <is>
          <t>WY</t>
        </is>
      </c>
      <c r="B734" s="76" t="inlineStr">
        <is>
          <t>Nuclear</t>
        </is>
      </c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76" t="n"/>
      <c r="AC734" s="76" t="n"/>
      <c r="AD734" s="76" t="n"/>
      <c r="AE734" s="76" t="n"/>
      <c r="AF734" s="76" t="n"/>
      <c r="AG734" s="76" t="n"/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</row>
    <row r="735">
      <c r="A735" s="76" t="inlineStr">
        <is>
          <t>WY</t>
        </is>
      </c>
      <c r="B735" s="76" t="inlineStr">
        <is>
          <t>Other</t>
        </is>
      </c>
      <c r="C735" s="76" t="n">
        <v>0</v>
      </c>
      <c r="D735" s="76" t="n">
        <v>0</v>
      </c>
      <c r="E735" s="76" t="n">
        <v>0</v>
      </c>
      <c r="F735" s="76" t="n">
        <v>0</v>
      </c>
      <c r="G735" s="76" t="n">
        <v>0</v>
      </c>
      <c r="H735" s="76" t="n">
        <v>0</v>
      </c>
      <c r="I735" s="76" t="n">
        <v>0</v>
      </c>
      <c r="J735" s="76" t="n">
        <v>0</v>
      </c>
      <c r="K735" s="76" t="n">
        <v>0</v>
      </c>
      <c r="L735" s="76" t="n">
        <v>0</v>
      </c>
      <c r="M735" s="76" t="n">
        <v>0</v>
      </c>
      <c r="N735" s="76" t="n">
        <v>0</v>
      </c>
      <c r="O735" s="76" t="n">
        <v>0</v>
      </c>
      <c r="P735" s="76" t="n">
        <v>0</v>
      </c>
      <c r="Q735" s="76" t="n">
        <v>0</v>
      </c>
      <c r="R735" s="76" t="n">
        <v>0</v>
      </c>
      <c r="S735" s="76" t="n">
        <v>0</v>
      </c>
      <c r="T735" s="76" t="n">
        <v>0</v>
      </c>
      <c r="U735" s="76" t="n">
        <v>0</v>
      </c>
      <c r="V735" s="76" t="n">
        <v>0</v>
      </c>
      <c r="W735" s="76" t="n"/>
      <c r="X735" s="76" t="n"/>
      <c r="Y735" s="76" t="n"/>
      <c r="Z735" s="76" t="n"/>
      <c r="AA735" s="76" t="n"/>
      <c r="AB735" s="76" t="n"/>
      <c r="AC735" s="76" t="n"/>
      <c r="AD735" s="76" t="n"/>
      <c r="AE735" s="76" t="n"/>
      <c r="AF735" s="76" t="n"/>
      <c r="AG735" s="76" t="n"/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>
        <v>0</v>
      </c>
    </row>
    <row r="736">
      <c r="A736" s="76" t="inlineStr">
        <is>
          <t>WY</t>
        </is>
      </c>
      <c r="B736" s="76" t="inlineStr">
        <is>
          <t>Utility PV</t>
        </is>
      </c>
      <c r="C736" s="76" t="n"/>
      <c r="D736" s="76" t="n"/>
      <c r="E736" s="76" t="n"/>
      <c r="F736" s="76" t="n"/>
      <c r="G736" s="76" t="n"/>
      <c r="H736" s="76" t="n"/>
      <c r="I736" s="76" t="n"/>
      <c r="J736" s="76" t="n">
        <v>0.261</v>
      </c>
      <c r="K736" s="76" t="n">
        <v>0.261</v>
      </c>
      <c r="L736" s="76" t="n">
        <v>0.26</v>
      </c>
      <c r="M736" s="76" t="n">
        <v>0.258</v>
      </c>
      <c r="N736" s="76" t="n">
        <v>0.257</v>
      </c>
      <c r="O736" s="76" t="n">
        <v>0.255</v>
      </c>
      <c r="P736" s="76" t="n">
        <v>0.255</v>
      </c>
      <c r="Q736" s="76" t="n">
        <v>0.254</v>
      </c>
      <c r="R736" s="76" t="n">
        <v>0.253</v>
      </c>
      <c r="S736" s="76" t="n">
        <v>0.252</v>
      </c>
      <c r="T736" s="76" t="n">
        <v>0.2585</v>
      </c>
      <c r="U736" s="76" t="n">
        <v>0.2575</v>
      </c>
      <c r="V736" s="76" t="n">
        <v>0.2553333333333334</v>
      </c>
      <c r="W736" s="76" t="n">
        <v>0.2546666666666667</v>
      </c>
      <c r="X736" s="76" t="n">
        <v>0.2536666666666667</v>
      </c>
      <c r="Y736" s="76" t="n">
        <v>0.2526666666666667</v>
      </c>
      <c r="Z736" s="76" t="n">
        <v>0.25175</v>
      </c>
      <c r="AA736" s="76" t="n">
        <v>0.251</v>
      </c>
      <c r="AB736" s="76" t="n">
        <v>0.25025</v>
      </c>
      <c r="AC736" s="76" t="n">
        <v>0.249</v>
      </c>
      <c r="AD736" s="76" t="n">
        <v>0.24775</v>
      </c>
      <c r="AE736" s="76" t="n">
        <v>0.24625</v>
      </c>
      <c r="AF736" s="76" t="n">
        <v>0.24525</v>
      </c>
      <c r="AG736" s="76" t="n">
        <v>0.244</v>
      </c>
      <c r="AH736" s="76" t="n">
        <v>0.2455</v>
      </c>
      <c r="AI736" s="76" t="n">
        <v>0.2445</v>
      </c>
      <c r="AJ736" s="76" t="n">
        <v>0.24375</v>
      </c>
      <c r="AK736" s="76" t="n">
        <v>0.243</v>
      </c>
      <c r="AL736" s="76" t="n">
        <v>0.24225</v>
      </c>
      <c r="AM736" s="76" t="n">
        <v>0.24125</v>
      </c>
      <c r="AN736" s="76" t="n">
        <v>0.24075</v>
      </c>
      <c r="AO736" s="76" t="n">
        <v>0.2405</v>
      </c>
      <c r="AP736" s="76" t="n">
        <v>0.23975</v>
      </c>
      <c r="AQ736" s="76" t="n">
        <v>0.23925</v>
      </c>
      <c r="AR736" s="76" t="n">
        <v>0.2476530612244897</v>
      </c>
    </row>
    <row r="737">
      <c r="A737" s="76" t="inlineStr">
        <is>
          <t>WY</t>
        </is>
      </c>
      <c r="B737" s="76" t="inlineStr">
        <is>
          <t>Wind offshore</t>
        </is>
      </c>
      <c r="C737" s="76" t="n"/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  <c r="AA737" s="76" t="n"/>
      <c r="AB737" s="76" t="n"/>
      <c r="AC737" s="76" t="n"/>
      <c r="AD737" s="76" t="n"/>
      <c r="AE737" s="76" t="n"/>
      <c r="AF737" s="76" t="n"/>
      <c r="AG737" s="76" t="n"/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</row>
    <row r="738">
      <c r="A738" s="76" t="inlineStr">
        <is>
          <t>WY</t>
        </is>
      </c>
      <c r="B738" s="76" t="inlineStr">
        <is>
          <t>Wind onshore</t>
        </is>
      </c>
      <c r="C738" s="76" t="n">
        <v>0.316</v>
      </c>
      <c r="D738" s="76" t="n">
        <v>0.3155</v>
      </c>
      <c r="E738" s="76" t="n">
        <v>0.3155</v>
      </c>
      <c r="F738" s="76" t="n">
        <v>0.3155</v>
      </c>
      <c r="G738" s="76" t="n">
        <v>0.316</v>
      </c>
      <c r="H738" s="76" t="n">
        <v>0.3165</v>
      </c>
      <c r="I738" s="76" t="n">
        <v>0.3175</v>
      </c>
      <c r="J738" s="76" t="n">
        <v>0.318</v>
      </c>
      <c r="K738" s="76" t="n">
        <v>0.318</v>
      </c>
      <c r="L738" s="76" t="n">
        <v>0.3795</v>
      </c>
      <c r="M738" s="76" t="n">
        <v>0.405</v>
      </c>
      <c r="N738" s="76" t="n">
        <v>0.447</v>
      </c>
      <c r="O738" s="76" t="n">
        <v>0.4533333333333334</v>
      </c>
      <c r="P738" s="76" t="n">
        <v>0.4603333333333333</v>
      </c>
      <c r="Q738" s="76" t="n">
        <v>0.4656666666666667</v>
      </c>
      <c r="R738" s="76" t="n">
        <v>0.4652500000000001</v>
      </c>
      <c r="S738" s="76" t="n">
        <v>0.466</v>
      </c>
      <c r="T738" s="76" t="n">
        <v>0.46075</v>
      </c>
      <c r="U738" s="76" t="n">
        <v>0.458</v>
      </c>
      <c r="V738" s="76" t="n">
        <v>0.45475</v>
      </c>
      <c r="W738" s="76" t="n">
        <v>0.4515</v>
      </c>
      <c r="X738" s="76" t="n">
        <v>0.451</v>
      </c>
      <c r="Y738" s="76" t="n">
        <v>0.4505</v>
      </c>
      <c r="Z738" s="76" t="n">
        <v>0.439</v>
      </c>
      <c r="AA738" s="76" t="n">
        <v>0.43375</v>
      </c>
      <c r="AB738" s="76" t="n">
        <v>0.43025</v>
      </c>
      <c r="AC738" s="76" t="n">
        <v>0.44</v>
      </c>
      <c r="AD738" s="76" t="n">
        <v>0.444</v>
      </c>
      <c r="AE738" s="76" t="n">
        <v>0.44775</v>
      </c>
      <c r="AF738" s="76" t="n">
        <v>0.45125</v>
      </c>
      <c r="AG738" s="76" t="n">
        <v>0.45475</v>
      </c>
      <c r="AH738" s="76" t="n">
        <v>0.464</v>
      </c>
      <c r="AI738" s="76" t="n">
        <v>0.46775</v>
      </c>
      <c r="AJ738" s="76" t="n">
        <v>0.4705</v>
      </c>
      <c r="AK738" s="76" t="n">
        <v>0.472</v>
      </c>
      <c r="AL738" s="76" t="n">
        <v>0.47375</v>
      </c>
      <c r="AM738" s="76" t="n">
        <v>0.4742499999999999</v>
      </c>
      <c r="AN738" s="76" t="n">
        <v>0.4735</v>
      </c>
      <c r="AO738" s="76" t="n">
        <v>0.4735</v>
      </c>
      <c r="AP738" s="76" t="n">
        <v>0.473</v>
      </c>
      <c r="AQ738" s="76" t="n">
        <v>0.4722500000000001</v>
      </c>
      <c r="AR738" s="76" t="n">
        <v>0.4376594202898549</v>
      </c>
    </row>
    <row r="739">
      <c r="A739" s="76" t="n"/>
      <c r="B739" s="76" t="inlineStr">
        <is>
          <t>Grand Total</t>
        </is>
      </c>
      <c r="C739" s="76" t="n">
        <v>0.3181053984575827</v>
      </c>
      <c r="D739" s="76" t="n">
        <v>0.3157599517490946</v>
      </c>
      <c r="E739" s="76" t="n">
        <v>0.3160121506682861</v>
      </c>
      <c r="F739" s="76" t="n">
        <v>0.3029418859649115</v>
      </c>
      <c r="G739" s="76" t="n">
        <v>0.3036316371681412</v>
      </c>
      <c r="H739" s="76" t="n">
        <v>0.3049546891464697</v>
      </c>
      <c r="I739" s="76" t="n">
        <v>0.3081358811040333</v>
      </c>
      <c r="J739" s="76" t="n">
        <v>0.30360327198364</v>
      </c>
      <c r="K739" s="76" t="n">
        <v>0.304595482546201</v>
      </c>
      <c r="L739" s="76" t="n">
        <v>0.3026010050251253</v>
      </c>
      <c r="M739" s="76" t="n">
        <v>0.2979492385786796</v>
      </c>
      <c r="N739" s="76" t="n">
        <v>0.294948443579766</v>
      </c>
      <c r="O739" s="76" t="n">
        <v>0.2923604309500485</v>
      </c>
      <c r="P739" s="76" t="n">
        <v>0.2883628488931663</v>
      </c>
      <c r="Q739" s="76" t="n">
        <v>0.2874796905222435</v>
      </c>
      <c r="R739" s="76" t="n">
        <v>0.2723707136237251</v>
      </c>
      <c r="S739" s="76" t="n">
        <v>0.2670876865671637</v>
      </c>
      <c r="T739" s="76" t="n">
        <v>0.2592251838235292</v>
      </c>
      <c r="U739" s="76" t="n">
        <v>0.2526922365988906</v>
      </c>
      <c r="V739" s="76" t="n">
        <v>0.2437145438121043</v>
      </c>
      <c r="W739" s="76" t="n">
        <v>0.2380607985480942</v>
      </c>
      <c r="X739" s="76" t="n">
        <v>0.2346867686768672</v>
      </c>
      <c r="Y739" s="76" t="n">
        <v>0.2290448307410794</v>
      </c>
      <c r="Z739" s="76" t="n">
        <v>0.2255229936880065</v>
      </c>
      <c r="AA739" s="76" t="n">
        <v>0.223669972948602</v>
      </c>
      <c r="AB739" s="76" t="n">
        <v>0.2132528409090907</v>
      </c>
      <c r="AC739" s="76" t="n">
        <v>0.2129887111947319</v>
      </c>
      <c r="AD739" s="76" t="n">
        <v>0.2125174035747883</v>
      </c>
      <c r="AE739" s="76" t="n">
        <v>0.2120696142991529</v>
      </c>
      <c r="AF739" s="76" t="n">
        <v>0.2116613358419562</v>
      </c>
      <c r="AG739" s="76" t="n">
        <v>0.2123399810066476</v>
      </c>
      <c r="AH739" s="76" t="n">
        <v>0.2134339622641508</v>
      </c>
      <c r="AI739" s="76" t="n">
        <v>0.2139358490566038</v>
      </c>
      <c r="AJ739" s="76" t="n">
        <v>0.214359433962264</v>
      </c>
      <c r="AK739" s="76" t="n">
        <v>0.2147188679245282</v>
      </c>
      <c r="AL739" s="76" t="n">
        <v>0.2136775431861801</v>
      </c>
      <c r="AM739" s="76" t="n">
        <v>0.2146425166825545</v>
      </c>
      <c r="AN739" s="76" t="n">
        <v>0.2141477597712104</v>
      </c>
      <c r="AO739" s="76" t="n">
        <v>0.2136339370829363</v>
      </c>
      <c r="AP739" s="76" t="n">
        <v>0.2131124880838893</v>
      </c>
      <c r="AQ739" s="76" t="n">
        <v>0.2109688109161791</v>
      </c>
      <c r="AR739" s="76" t="n">
        <v>0.2513677156732051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1F3864"/>
    <outlinePr summaryBelow="1" summaryRight="1"/>
    <pageSetUpPr/>
  </sheetPr>
  <dimension ref="A1:AJ1000"/>
  <sheetViews>
    <sheetView workbookViewId="0">
      <selection activeCell="G1" sqref="G1"/>
    </sheetView>
  </sheetViews>
  <sheetFormatPr baseColWidth="10" defaultColWidth="12.6640625" defaultRowHeight="15" customHeight="1"/>
  <cols>
    <col width="22.5" customWidth="1" style="82" min="1" max="1"/>
    <col width="8" customWidth="1" style="82" min="2" max="4"/>
    <col width="7.6640625" customWidth="1" style="82" min="5" max="36"/>
  </cols>
  <sheetData>
    <row r="1" ht="31.5" customHeight="1" s="82">
      <c r="A1" s="56" t="inlineStr">
        <is>
          <t>Expected Capacity Factor (dimensionless)</t>
        </is>
      </c>
      <c r="B1" s="10" t="n">
        <v>2016</v>
      </c>
      <c r="C1" s="38" t="n">
        <v>2017</v>
      </c>
      <c r="D1" s="10" t="n">
        <v>2018</v>
      </c>
      <c r="E1" s="38" t="n">
        <v>2019</v>
      </c>
      <c r="F1" s="10" t="n">
        <v>2020</v>
      </c>
      <c r="G1" s="38" t="n">
        <v>2021</v>
      </c>
      <c r="H1" s="10" t="n">
        <v>2022</v>
      </c>
      <c r="I1" s="38" t="n">
        <v>2023</v>
      </c>
      <c r="J1" s="10" t="n">
        <v>2024</v>
      </c>
      <c r="K1" s="38" t="n">
        <v>2025</v>
      </c>
      <c r="L1" s="10" t="n">
        <v>2026</v>
      </c>
      <c r="M1" s="38" t="n">
        <v>2027</v>
      </c>
      <c r="N1" s="10" t="n">
        <v>2028</v>
      </c>
      <c r="O1" s="38" t="n">
        <v>2029</v>
      </c>
      <c r="P1" s="10" t="n">
        <v>2030</v>
      </c>
      <c r="Q1" s="38" t="n">
        <v>2031</v>
      </c>
      <c r="R1" s="10" t="n">
        <v>2032</v>
      </c>
      <c r="S1" s="38" t="n">
        <v>2033</v>
      </c>
      <c r="T1" s="10" t="n">
        <v>2034</v>
      </c>
      <c r="U1" s="38" t="n">
        <v>2035</v>
      </c>
      <c r="V1" s="10" t="n">
        <v>2036</v>
      </c>
      <c r="W1" s="38" t="n">
        <v>2037</v>
      </c>
      <c r="X1" s="10" t="n">
        <v>2038</v>
      </c>
      <c r="Y1" s="38" t="n">
        <v>2039</v>
      </c>
      <c r="Z1" s="10" t="n">
        <v>2040</v>
      </c>
      <c r="AA1" s="38" t="n">
        <v>2041</v>
      </c>
      <c r="AB1" s="10" t="n">
        <v>2042</v>
      </c>
      <c r="AC1" s="38" t="n">
        <v>2043</v>
      </c>
      <c r="AD1" s="10" t="n">
        <v>2044</v>
      </c>
      <c r="AE1" s="38" t="n">
        <v>2045</v>
      </c>
      <c r="AF1" s="10" t="n">
        <v>2046</v>
      </c>
      <c r="AG1" s="38" t="n">
        <v>2047</v>
      </c>
      <c r="AH1" s="10" t="n">
        <v>2048</v>
      </c>
      <c r="AI1" s="38" t="n">
        <v>2049</v>
      </c>
      <c r="AJ1" s="10" t="n">
        <v>2050</v>
      </c>
    </row>
    <row r="2" ht="14.5" customHeight="1" s="82">
      <c r="A2" s="10" t="inlineStr">
        <is>
          <t>hard coal</t>
        </is>
      </c>
      <c r="B2" s="57" t="n">
        <v>0.605</v>
      </c>
      <c r="C2" s="57" t="n">
        <v>0.605</v>
      </c>
      <c r="D2" s="57" t="n">
        <v>0.605</v>
      </c>
      <c r="E2" s="57" t="n">
        <v>0.605</v>
      </c>
      <c r="F2" s="57" t="n">
        <v>0.605</v>
      </c>
      <c r="G2" s="57" t="n">
        <v>0.605</v>
      </c>
      <c r="H2" s="57" t="n">
        <v>0.605</v>
      </c>
      <c r="I2" s="57" t="n">
        <v>0.605</v>
      </c>
      <c r="J2" s="57" t="n">
        <v>0.605</v>
      </c>
      <c r="K2" s="57" t="n">
        <v>0.605</v>
      </c>
      <c r="L2" s="57" t="n">
        <v>0.605</v>
      </c>
      <c r="M2" s="57" t="n">
        <v>0.605</v>
      </c>
      <c r="N2" s="57" t="n">
        <v>0.605</v>
      </c>
      <c r="O2" s="57" t="n">
        <v>0.605</v>
      </c>
      <c r="P2" s="57" t="n">
        <v>0.605</v>
      </c>
      <c r="Q2" s="57" t="n">
        <v>0.605</v>
      </c>
      <c r="R2" s="57" t="n">
        <v>0.605</v>
      </c>
      <c r="S2" s="57" t="n">
        <v>0.605</v>
      </c>
      <c r="T2" s="57" t="n">
        <v>0.605</v>
      </c>
      <c r="U2" s="57" t="n">
        <v>0.605</v>
      </c>
      <c r="V2" s="57" t="n">
        <v>0.605</v>
      </c>
      <c r="W2" s="57" t="n">
        <v>0.605</v>
      </c>
      <c r="X2" s="57" t="n">
        <v>0.605</v>
      </c>
      <c r="Y2" s="57" t="n">
        <v>0.605</v>
      </c>
      <c r="Z2" s="57" t="n">
        <v>0.605</v>
      </c>
      <c r="AA2" s="57" t="n">
        <v>0.605</v>
      </c>
      <c r="AB2" s="57" t="n">
        <v>0.605</v>
      </c>
      <c r="AC2" s="57" t="n">
        <v>0.605</v>
      </c>
      <c r="AD2" s="57" t="n">
        <v>0.605</v>
      </c>
      <c r="AE2" s="57" t="n">
        <v>0.605</v>
      </c>
      <c r="AF2" s="57" t="n">
        <v>0.605</v>
      </c>
      <c r="AG2" s="57" t="n">
        <v>0.605</v>
      </c>
      <c r="AH2" s="57" t="n">
        <v>0.605</v>
      </c>
      <c r="AI2" s="57" t="n">
        <v>0.605</v>
      </c>
      <c r="AJ2" s="57" t="n">
        <v>0.605</v>
      </c>
    </row>
    <row r="3" ht="14.5" customHeight="1" s="82">
      <c r="A3" s="10" t="inlineStr">
        <is>
          <t>natural gas nonpeaker</t>
        </is>
      </c>
      <c r="B3" s="57" t="n">
        <v>0.233</v>
      </c>
      <c r="C3" s="57" t="n">
        <v>0.233</v>
      </c>
      <c r="D3" s="57" t="n">
        <v>0.233</v>
      </c>
      <c r="E3" s="57" t="n">
        <v>0.233</v>
      </c>
      <c r="F3" s="57" t="n">
        <v>0.233</v>
      </c>
      <c r="G3" s="57" t="n">
        <v>0.233</v>
      </c>
      <c r="H3" s="57" t="n">
        <v>0.233</v>
      </c>
      <c r="I3" s="57" t="n">
        <v>0.233</v>
      </c>
      <c r="J3" s="57" t="n">
        <v>0.233</v>
      </c>
      <c r="K3" s="57" t="n">
        <v>0.233</v>
      </c>
      <c r="L3" s="57" t="n">
        <v>0.233</v>
      </c>
      <c r="M3" s="57" t="n">
        <v>0.233</v>
      </c>
      <c r="N3" s="57" t="n">
        <v>0.233</v>
      </c>
      <c r="O3" s="57" t="n">
        <v>0.233</v>
      </c>
      <c r="P3" s="57" t="n">
        <v>0.233</v>
      </c>
      <c r="Q3" s="57" t="n">
        <v>0.233</v>
      </c>
      <c r="R3" s="57" t="n">
        <v>0.233</v>
      </c>
      <c r="S3" s="57" t="n">
        <v>0.233</v>
      </c>
      <c r="T3" s="57" t="n">
        <v>0.233</v>
      </c>
      <c r="U3" s="57" t="n">
        <v>0.233</v>
      </c>
      <c r="V3" s="57" t="n">
        <v>0.233</v>
      </c>
      <c r="W3" s="57" t="n">
        <v>0.233</v>
      </c>
      <c r="X3" s="57" t="n">
        <v>0.233</v>
      </c>
      <c r="Y3" s="57" t="n">
        <v>0.233</v>
      </c>
      <c r="Z3" s="57" t="n">
        <v>0.233</v>
      </c>
      <c r="AA3" s="57" t="n">
        <v>0.233</v>
      </c>
      <c r="AB3" s="57" t="n">
        <v>0.233</v>
      </c>
      <c r="AC3" s="57" t="n">
        <v>0.233</v>
      </c>
      <c r="AD3" s="57" t="n">
        <v>0.233</v>
      </c>
      <c r="AE3" s="57" t="n">
        <v>0.233</v>
      </c>
      <c r="AF3" s="57" t="n">
        <v>0.233</v>
      </c>
      <c r="AG3" s="57" t="n">
        <v>0.233</v>
      </c>
      <c r="AH3" s="57" t="n">
        <v>0.233</v>
      </c>
      <c r="AI3" s="57" t="n">
        <v>0.233</v>
      </c>
      <c r="AJ3" s="57" t="n">
        <v>0.233</v>
      </c>
    </row>
    <row r="4" ht="14.5" customHeight="1" s="82">
      <c r="A4" s="10" t="inlineStr">
        <is>
          <t>nuclear</t>
        </is>
      </c>
      <c r="B4" s="57" t="n">
        <v>1.031</v>
      </c>
      <c r="C4" s="57" t="n">
        <v>1.031</v>
      </c>
      <c r="D4" s="57" t="n">
        <v>1.031</v>
      </c>
      <c r="E4" s="57" t="n">
        <v>1.031</v>
      </c>
      <c r="F4" s="57" t="n">
        <v>1.031</v>
      </c>
      <c r="G4" s="57" t="n">
        <v>1.031</v>
      </c>
      <c r="H4" s="57" t="n">
        <v>1.031</v>
      </c>
      <c r="I4" s="57" t="n">
        <v>1.031</v>
      </c>
      <c r="J4" s="57" t="n">
        <v>1.031</v>
      </c>
      <c r="K4" s="57" t="n">
        <v>1.031</v>
      </c>
      <c r="L4" s="57" t="n">
        <v>1.031</v>
      </c>
      <c r="M4" s="57" t="n">
        <v>1.031</v>
      </c>
      <c r="N4" s="57" t="n">
        <v>1.031</v>
      </c>
      <c r="O4" s="57" t="n">
        <v>1.031</v>
      </c>
      <c r="P4" s="57" t="n">
        <v>1.031</v>
      </c>
      <c r="Q4" s="57" t="n">
        <v>1.031</v>
      </c>
      <c r="R4" s="57" t="n">
        <v>1.031</v>
      </c>
      <c r="S4" s="57" t="n">
        <v>1.031</v>
      </c>
      <c r="T4" s="57" t="n">
        <v>1.031</v>
      </c>
      <c r="U4" s="57" t="n">
        <v>1.031</v>
      </c>
      <c r="V4" s="57" t="n">
        <v>1.031</v>
      </c>
      <c r="W4" s="57" t="n">
        <v>1.031</v>
      </c>
      <c r="X4" s="57" t="n">
        <v>1.031</v>
      </c>
      <c r="Y4" s="57" t="n">
        <v>1.031</v>
      </c>
      <c r="Z4" s="57" t="n">
        <v>1.031</v>
      </c>
      <c r="AA4" s="57" t="n">
        <v>1.031</v>
      </c>
      <c r="AB4" s="57" t="n">
        <v>1.031</v>
      </c>
      <c r="AC4" s="57" t="n">
        <v>1.031</v>
      </c>
      <c r="AD4" s="57" t="n">
        <v>1.031</v>
      </c>
      <c r="AE4" s="57" t="n">
        <v>1.031</v>
      </c>
      <c r="AF4" s="57" t="n">
        <v>1.031</v>
      </c>
      <c r="AG4" s="57" t="n">
        <v>1.031</v>
      </c>
      <c r="AH4" s="57" t="n">
        <v>1.031</v>
      </c>
      <c r="AI4" s="57" t="n">
        <v>1.031</v>
      </c>
      <c r="AJ4" s="57" t="n">
        <v>1.031</v>
      </c>
    </row>
    <row r="5" ht="14.5" customHeight="1" s="82">
      <c r="A5" s="10" t="inlineStr">
        <is>
          <t>hydro</t>
        </is>
      </c>
      <c r="B5" s="57" t="n">
        <v>0.546</v>
      </c>
      <c r="C5" s="57" t="n">
        <v>0.546</v>
      </c>
      <c r="D5" s="57" t="n">
        <v>0.546</v>
      </c>
      <c r="E5" s="57" t="n">
        <v>0.546</v>
      </c>
      <c r="F5" s="57" t="n">
        <v>0.546</v>
      </c>
      <c r="G5" s="57" t="n">
        <v>0.546</v>
      </c>
      <c r="H5" s="57" t="n">
        <v>0.546</v>
      </c>
      <c r="I5" s="57" t="n">
        <v>0.546</v>
      </c>
      <c r="J5" s="57" t="n">
        <v>0.546</v>
      </c>
      <c r="K5" s="57" t="n">
        <v>0.546</v>
      </c>
      <c r="L5" s="57" t="n">
        <v>0.546</v>
      </c>
      <c r="M5" s="57" t="n">
        <v>0.546</v>
      </c>
      <c r="N5" s="57" t="n">
        <v>0.546</v>
      </c>
      <c r="O5" s="57" t="n">
        <v>0.546</v>
      </c>
      <c r="P5" s="57" t="n">
        <v>0.546</v>
      </c>
      <c r="Q5" s="57" t="n">
        <v>0.546</v>
      </c>
      <c r="R5" s="57" t="n">
        <v>0.546</v>
      </c>
      <c r="S5" s="57" t="n">
        <v>0.546</v>
      </c>
      <c r="T5" s="57" t="n">
        <v>0.546</v>
      </c>
      <c r="U5" s="57" t="n">
        <v>0.546</v>
      </c>
      <c r="V5" s="57" t="n">
        <v>0.546</v>
      </c>
      <c r="W5" s="57" t="n">
        <v>0.546</v>
      </c>
      <c r="X5" s="57" t="n">
        <v>0.546</v>
      </c>
      <c r="Y5" s="57" t="n">
        <v>0.546</v>
      </c>
      <c r="Z5" s="57" t="n">
        <v>0.546</v>
      </c>
      <c r="AA5" s="57" t="n">
        <v>0.546</v>
      </c>
      <c r="AB5" s="57" t="n">
        <v>0.546</v>
      </c>
      <c r="AC5" s="57" t="n">
        <v>0.546</v>
      </c>
      <c r="AD5" s="57" t="n">
        <v>0.546</v>
      </c>
      <c r="AE5" s="57" t="n">
        <v>0.546</v>
      </c>
      <c r="AF5" s="57" t="n">
        <v>0.546</v>
      </c>
      <c r="AG5" s="57" t="n">
        <v>0.546</v>
      </c>
      <c r="AH5" s="57" t="n">
        <v>0.546</v>
      </c>
      <c r="AI5" s="57" t="n">
        <v>0.546</v>
      </c>
      <c r="AJ5" s="57" t="n">
        <v>0.546</v>
      </c>
    </row>
    <row r="6" ht="14.5" customHeight="1" s="82">
      <c r="A6" s="10" t="inlineStr">
        <is>
          <t>onshore wind</t>
        </is>
      </c>
      <c r="B6" s="57" t="n">
        <v>0.407</v>
      </c>
      <c r="C6" s="57" t="n">
        <v>0.407</v>
      </c>
      <c r="D6" s="57" t="n">
        <v>0.407</v>
      </c>
      <c r="E6" s="57" t="n">
        <v>0.407</v>
      </c>
      <c r="F6" s="57" t="n">
        <v>0.407</v>
      </c>
      <c r="G6" s="57" t="n">
        <v>0.407</v>
      </c>
      <c r="H6" s="57" t="n">
        <v>0.407</v>
      </c>
      <c r="I6" s="57" t="n">
        <v>0.407</v>
      </c>
      <c r="J6" s="57" t="n">
        <v>0.407</v>
      </c>
      <c r="K6" s="57" t="n">
        <v>0.407</v>
      </c>
      <c r="L6" s="57" t="n">
        <v>0.407</v>
      </c>
      <c r="M6" s="57" t="n">
        <v>0.407</v>
      </c>
      <c r="N6" s="57" t="n">
        <v>0.407</v>
      </c>
      <c r="O6" s="57" t="n">
        <v>0.407</v>
      </c>
      <c r="P6" s="57" t="n">
        <v>0.407</v>
      </c>
      <c r="Q6" s="57" t="n">
        <v>0.407</v>
      </c>
      <c r="R6" s="57" t="n">
        <v>0.407</v>
      </c>
      <c r="S6" s="57" t="n">
        <v>0.407</v>
      </c>
      <c r="T6" s="57" t="n">
        <v>0.407</v>
      </c>
      <c r="U6" s="57" t="n">
        <v>0.407</v>
      </c>
      <c r="V6" s="57" t="n">
        <v>0.407</v>
      </c>
      <c r="W6" s="57" t="n">
        <v>0.407</v>
      </c>
      <c r="X6" s="57" t="n">
        <v>0.407</v>
      </c>
      <c r="Y6" s="57" t="n">
        <v>0.407</v>
      </c>
      <c r="Z6" s="57" t="n">
        <v>0.407</v>
      </c>
      <c r="AA6" s="57" t="n">
        <v>0.407</v>
      </c>
      <c r="AB6" s="57" t="n">
        <v>0.407</v>
      </c>
      <c r="AC6" s="57" t="n">
        <v>0.407</v>
      </c>
      <c r="AD6" s="57" t="n">
        <v>0.407</v>
      </c>
      <c r="AE6" s="57" t="n">
        <v>0.407</v>
      </c>
      <c r="AF6" s="57" t="n">
        <v>0.407</v>
      </c>
      <c r="AG6" s="57" t="n">
        <v>0.407</v>
      </c>
      <c r="AH6" s="57" t="n">
        <v>0.407</v>
      </c>
      <c r="AI6" s="57" t="n">
        <v>0.407</v>
      </c>
      <c r="AJ6" s="57" t="n">
        <v>0.407</v>
      </c>
    </row>
    <row r="7" ht="14.5" customHeight="1" s="82">
      <c r="A7" s="10" t="inlineStr">
        <is>
          <t>solar PV</t>
        </is>
      </c>
      <c r="B7" s="57" t="n">
        <v>0.195</v>
      </c>
      <c r="C7" s="57" t="n">
        <v>0.195</v>
      </c>
      <c r="D7" s="57" t="n">
        <v>0.195</v>
      </c>
      <c r="E7" s="57" t="n">
        <v>0.195</v>
      </c>
      <c r="F7" s="57" t="n">
        <v>0.195</v>
      </c>
      <c r="G7" s="57" t="n">
        <v>0.195</v>
      </c>
      <c r="H7" s="57" t="n">
        <v>0.195</v>
      </c>
      <c r="I7" s="57" t="n">
        <v>0.195</v>
      </c>
      <c r="J7" s="57" t="n">
        <v>0.195</v>
      </c>
      <c r="K7" s="57" t="n">
        <v>0.195</v>
      </c>
      <c r="L7" s="57" t="n">
        <v>0.195</v>
      </c>
      <c r="M7" s="57" t="n">
        <v>0.195</v>
      </c>
      <c r="N7" s="57" t="n">
        <v>0.195</v>
      </c>
      <c r="O7" s="57" t="n">
        <v>0.195</v>
      </c>
      <c r="P7" s="57" t="n">
        <v>0.195</v>
      </c>
      <c r="Q7" s="57" t="n">
        <v>0.195</v>
      </c>
      <c r="R7" s="57" t="n">
        <v>0.195</v>
      </c>
      <c r="S7" s="57" t="n">
        <v>0.195</v>
      </c>
      <c r="T7" s="57" t="n">
        <v>0.195</v>
      </c>
      <c r="U7" s="57" t="n">
        <v>0.195</v>
      </c>
      <c r="V7" s="57" t="n">
        <v>0.195</v>
      </c>
      <c r="W7" s="57" t="n">
        <v>0.195</v>
      </c>
      <c r="X7" s="57" t="n">
        <v>0.195</v>
      </c>
      <c r="Y7" s="57" t="n">
        <v>0.195</v>
      </c>
      <c r="Z7" s="57" t="n">
        <v>0.195</v>
      </c>
      <c r="AA7" s="57" t="n">
        <v>0.195</v>
      </c>
      <c r="AB7" s="57" t="n">
        <v>0.195</v>
      </c>
      <c r="AC7" s="57" t="n">
        <v>0.195</v>
      </c>
      <c r="AD7" s="57" t="n">
        <v>0.195</v>
      </c>
      <c r="AE7" s="57" t="n">
        <v>0.195</v>
      </c>
      <c r="AF7" s="57" t="n">
        <v>0.195</v>
      </c>
      <c r="AG7" s="57" t="n">
        <v>0.195</v>
      </c>
      <c r="AH7" s="57" t="n">
        <v>0.195</v>
      </c>
      <c r="AI7" s="57" t="n">
        <v>0.195</v>
      </c>
      <c r="AJ7" s="57" t="n">
        <v>0.195</v>
      </c>
    </row>
    <row r="8" ht="14.5" customHeight="1" s="82">
      <c r="A8" s="10" t="inlineStr">
        <is>
          <t>solar thermal</t>
        </is>
      </c>
      <c r="B8" s="57" t="n">
        <v>0.214</v>
      </c>
      <c r="C8" s="57" t="n">
        <v>0.214</v>
      </c>
      <c r="D8" s="57" t="n">
        <v>0.214</v>
      </c>
      <c r="E8" s="57" t="n">
        <v>0.214</v>
      </c>
      <c r="F8" s="57" t="n">
        <v>0.214</v>
      </c>
      <c r="G8" s="57" t="n">
        <v>0.214</v>
      </c>
      <c r="H8" s="57" t="n">
        <v>0.214</v>
      </c>
      <c r="I8" s="57" t="n">
        <v>0.214</v>
      </c>
      <c r="J8" s="57" t="n">
        <v>0.214</v>
      </c>
      <c r="K8" s="57" t="n">
        <v>0.214</v>
      </c>
      <c r="L8" s="57" t="n">
        <v>0.214</v>
      </c>
      <c r="M8" s="57" t="n">
        <v>0.214</v>
      </c>
      <c r="N8" s="57" t="n">
        <v>0.214</v>
      </c>
      <c r="O8" s="57" t="n">
        <v>0.214</v>
      </c>
      <c r="P8" s="57" t="n">
        <v>0.214</v>
      </c>
      <c r="Q8" s="57" t="n">
        <v>0.214</v>
      </c>
      <c r="R8" s="57" t="n">
        <v>0.214</v>
      </c>
      <c r="S8" s="57" t="n">
        <v>0.214</v>
      </c>
      <c r="T8" s="57" t="n">
        <v>0.214</v>
      </c>
      <c r="U8" s="57" t="n">
        <v>0.214</v>
      </c>
      <c r="V8" s="57" t="n">
        <v>0.214</v>
      </c>
      <c r="W8" s="57" t="n">
        <v>0.214</v>
      </c>
      <c r="X8" s="57" t="n">
        <v>0.214</v>
      </c>
      <c r="Y8" s="57" t="n">
        <v>0.214</v>
      </c>
      <c r="Z8" s="57" t="n">
        <v>0.214</v>
      </c>
      <c r="AA8" s="57" t="n">
        <v>0.214</v>
      </c>
      <c r="AB8" s="57" t="n">
        <v>0.214</v>
      </c>
      <c r="AC8" s="57" t="n">
        <v>0.214</v>
      </c>
      <c r="AD8" s="57" t="n">
        <v>0.214</v>
      </c>
      <c r="AE8" s="57" t="n">
        <v>0.214</v>
      </c>
      <c r="AF8" s="57" t="n">
        <v>0.214</v>
      </c>
      <c r="AG8" s="57" t="n">
        <v>0.214</v>
      </c>
      <c r="AH8" s="57" t="n">
        <v>0.214</v>
      </c>
      <c r="AI8" s="57" t="n">
        <v>0.214</v>
      </c>
      <c r="AJ8" s="57" t="n">
        <v>0.214</v>
      </c>
    </row>
    <row r="9" ht="14.5" customHeight="1" s="82">
      <c r="A9" s="10" t="inlineStr">
        <is>
          <t>biomass</t>
        </is>
      </c>
      <c r="B9" s="57" t="n">
        <v>0.599</v>
      </c>
      <c r="C9" s="57" t="n">
        <v>0.599</v>
      </c>
      <c r="D9" s="57" t="n">
        <v>0.599</v>
      </c>
      <c r="E9" s="57" t="n">
        <v>0.599</v>
      </c>
      <c r="F9" s="57" t="n">
        <v>0.599</v>
      </c>
      <c r="G9" s="57" t="n">
        <v>0.599</v>
      </c>
      <c r="H9" s="57" t="n">
        <v>0.599</v>
      </c>
      <c r="I9" s="57" t="n">
        <v>0.599</v>
      </c>
      <c r="J9" s="57" t="n">
        <v>0.599</v>
      </c>
      <c r="K9" s="57" t="n">
        <v>0.599</v>
      </c>
      <c r="L9" s="57" t="n">
        <v>0.599</v>
      </c>
      <c r="M9" s="57" t="n">
        <v>0.599</v>
      </c>
      <c r="N9" s="57" t="n">
        <v>0.599</v>
      </c>
      <c r="O9" s="57" t="n">
        <v>0.599</v>
      </c>
      <c r="P9" s="57" t="n">
        <v>0.599</v>
      </c>
      <c r="Q9" s="57" t="n">
        <v>0.599</v>
      </c>
      <c r="R9" s="57" t="n">
        <v>0.599</v>
      </c>
      <c r="S9" s="57" t="n">
        <v>0.599</v>
      </c>
      <c r="T9" s="57" t="n">
        <v>0.599</v>
      </c>
      <c r="U9" s="57" t="n">
        <v>0.599</v>
      </c>
      <c r="V9" s="57" t="n">
        <v>0.599</v>
      </c>
      <c r="W9" s="57" t="n">
        <v>0.599</v>
      </c>
      <c r="X9" s="57" t="n">
        <v>0.599</v>
      </c>
      <c r="Y9" s="57" t="n">
        <v>0.599</v>
      </c>
      <c r="Z9" s="57" t="n">
        <v>0.599</v>
      </c>
      <c r="AA9" s="57" t="n">
        <v>0.599</v>
      </c>
      <c r="AB9" s="57" t="n">
        <v>0.599</v>
      </c>
      <c r="AC9" s="57" t="n">
        <v>0.599</v>
      </c>
      <c r="AD9" s="57" t="n">
        <v>0.599</v>
      </c>
      <c r="AE9" s="57" t="n">
        <v>0.599</v>
      </c>
      <c r="AF9" s="57" t="n">
        <v>0.599</v>
      </c>
      <c r="AG9" s="57" t="n">
        <v>0.599</v>
      </c>
      <c r="AH9" s="57" t="n">
        <v>0.599</v>
      </c>
      <c r="AI9" s="57" t="n">
        <v>0.599</v>
      </c>
      <c r="AJ9" s="57" t="n">
        <v>0.599</v>
      </c>
    </row>
    <row r="10" ht="14.5" customHeight="1" s="82">
      <c r="A10" s="10" t="inlineStr">
        <is>
          <t>geothermal</t>
        </is>
      </c>
      <c r="B10" s="57" t="n">
        <v>0.483</v>
      </c>
      <c r="C10" s="57" t="n">
        <v>0.483</v>
      </c>
      <c r="D10" s="57" t="n">
        <v>0.483</v>
      </c>
      <c r="E10" s="57" t="n">
        <v>0.483</v>
      </c>
      <c r="F10" s="57" t="n">
        <v>0.483</v>
      </c>
      <c r="G10" s="57" t="n">
        <v>0.483</v>
      </c>
      <c r="H10" s="57" t="n">
        <v>0.483</v>
      </c>
      <c r="I10" s="57" t="n">
        <v>0.483</v>
      </c>
      <c r="J10" s="57" t="n">
        <v>0.483</v>
      </c>
      <c r="K10" s="57" t="n">
        <v>0.483</v>
      </c>
      <c r="L10" s="57" t="n">
        <v>0.483</v>
      </c>
      <c r="M10" s="57" t="n">
        <v>0.483</v>
      </c>
      <c r="N10" s="57" t="n">
        <v>0.483</v>
      </c>
      <c r="O10" s="57" t="n">
        <v>0.483</v>
      </c>
      <c r="P10" s="57" t="n">
        <v>0.483</v>
      </c>
      <c r="Q10" s="57" t="n">
        <v>0.483</v>
      </c>
      <c r="R10" s="57" t="n">
        <v>0.483</v>
      </c>
      <c r="S10" s="57" t="n">
        <v>0.483</v>
      </c>
      <c r="T10" s="57" t="n">
        <v>0.483</v>
      </c>
      <c r="U10" s="57" t="n">
        <v>0.483</v>
      </c>
      <c r="V10" s="57" t="n">
        <v>0.483</v>
      </c>
      <c r="W10" s="57" t="n">
        <v>0.483</v>
      </c>
      <c r="X10" s="57" t="n">
        <v>0.483</v>
      </c>
      <c r="Y10" s="57" t="n">
        <v>0.483</v>
      </c>
      <c r="Z10" s="57" t="n">
        <v>0.483</v>
      </c>
      <c r="AA10" s="57" t="n">
        <v>0.483</v>
      </c>
      <c r="AB10" s="57" t="n">
        <v>0.483</v>
      </c>
      <c r="AC10" s="57" t="n">
        <v>0.483</v>
      </c>
      <c r="AD10" s="57" t="n">
        <v>0.483</v>
      </c>
      <c r="AE10" s="57" t="n">
        <v>0.483</v>
      </c>
      <c r="AF10" s="57" t="n">
        <v>0.483</v>
      </c>
      <c r="AG10" s="57" t="n">
        <v>0.483</v>
      </c>
      <c r="AH10" s="57" t="n">
        <v>0.483</v>
      </c>
      <c r="AI10" s="57" t="n">
        <v>0.483</v>
      </c>
      <c r="AJ10" s="57" t="n">
        <v>0.483</v>
      </c>
    </row>
    <row r="11" ht="14.5" customHeight="1" s="82">
      <c r="A11" s="10" t="inlineStr">
        <is>
          <t>petroleum</t>
        </is>
      </c>
      <c r="B11" s="57" t="n">
        <v>0.003</v>
      </c>
      <c r="C11" s="57" t="n">
        <v>0.003</v>
      </c>
      <c r="D11" s="57" t="n">
        <v>0.003</v>
      </c>
      <c r="E11" s="57" t="n">
        <v>0.003</v>
      </c>
      <c r="F11" s="57" t="n">
        <v>0.003</v>
      </c>
      <c r="G11" s="57" t="n">
        <v>0.003</v>
      </c>
      <c r="H11" s="57" t="n">
        <v>0.003</v>
      </c>
      <c r="I11" s="57" t="n">
        <v>0.003</v>
      </c>
      <c r="J11" s="57" t="n">
        <v>0.003</v>
      </c>
      <c r="K11" s="57" t="n">
        <v>0.003</v>
      </c>
      <c r="L11" s="57" t="n">
        <v>0.003</v>
      </c>
      <c r="M11" s="57" t="n">
        <v>0.003</v>
      </c>
      <c r="N11" s="57" t="n">
        <v>0.003</v>
      </c>
      <c r="O11" s="57" t="n">
        <v>0.003</v>
      </c>
      <c r="P11" s="57" t="n">
        <v>0.003</v>
      </c>
      <c r="Q11" s="57" t="n">
        <v>0.003</v>
      </c>
      <c r="R11" s="57" t="n">
        <v>0.003</v>
      </c>
      <c r="S11" s="57" t="n">
        <v>0.003</v>
      </c>
      <c r="T11" s="57" t="n">
        <v>0.003</v>
      </c>
      <c r="U11" s="57" t="n">
        <v>0.003</v>
      </c>
      <c r="V11" s="57" t="n">
        <v>0.003</v>
      </c>
      <c r="W11" s="57" t="n">
        <v>0.003</v>
      </c>
      <c r="X11" s="57" t="n">
        <v>0.003</v>
      </c>
      <c r="Y11" s="57" t="n">
        <v>0.003</v>
      </c>
      <c r="Z11" s="57" t="n">
        <v>0.003</v>
      </c>
      <c r="AA11" s="57" t="n">
        <v>0.003</v>
      </c>
      <c r="AB11" s="57" t="n">
        <v>0.003</v>
      </c>
      <c r="AC11" s="57" t="n">
        <v>0.003</v>
      </c>
      <c r="AD11" s="57" t="n">
        <v>0.003</v>
      </c>
      <c r="AE11" s="57" t="n">
        <v>0.003</v>
      </c>
      <c r="AF11" s="57" t="n">
        <v>0.003</v>
      </c>
      <c r="AG11" s="57" t="n">
        <v>0.003</v>
      </c>
      <c r="AH11" s="57" t="n">
        <v>0.003</v>
      </c>
      <c r="AI11" s="57" t="n">
        <v>0.003</v>
      </c>
      <c r="AJ11" s="57" t="n">
        <v>0.003</v>
      </c>
    </row>
    <row r="12" ht="14.5" customHeight="1" s="82">
      <c r="A12" s="10" t="inlineStr">
        <is>
          <t>natural gas peaker</t>
        </is>
      </c>
      <c r="B12" s="57" t="n">
        <v>0.02</v>
      </c>
      <c r="C12" s="57" t="n">
        <v>0.02</v>
      </c>
      <c r="D12" s="57" t="n">
        <v>0.02</v>
      </c>
      <c r="E12" s="57" t="n">
        <v>0.02</v>
      </c>
      <c r="F12" s="57" t="n">
        <v>0.02</v>
      </c>
      <c r="G12" s="57" t="n">
        <v>0.02</v>
      </c>
      <c r="H12" s="57" t="n">
        <v>0.02</v>
      </c>
      <c r="I12" s="57" t="n">
        <v>0.02</v>
      </c>
      <c r="J12" s="57" t="n">
        <v>0.02</v>
      </c>
      <c r="K12" s="57" t="n">
        <v>0.02</v>
      </c>
      <c r="L12" s="57" t="n">
        <v>0.02</v>
      </c>
      <c r="M12" s="57" t="n">
        <v>0.02</v>
      </c>
      <c r="N12" s="57" t="n">
        <v>0.02</v>
      </c>
      <c r="O12" s="57" t="n">
        <v>0.02</v>
      </c>
      <c r="P12" s="57" t="n">
        <v>0.02</v>
      </c>
      <c r="Q12" s="57" t="n">
        <v>0.02</v>
      </c>
      <c r="R12" s="57" t="n">
        <v>0.02</v>
      </c>
      <c r="S12" s="57" t="n">
        <v>0.02</v>
      </c>
      <c r="T12" s="57" t="n">
        <v>0.02</v>
      </c>
      <c r="U12" s="57" t="n">
        <v>0.02</v>
      </c>
      <c r="V12" s="57" t="n">
        <v>0.02</v>
      </c>
      <c r="W12" s="57" t="n">
        <v>0.02</v>
      </c>
      <c r="X12" s="57" t="n">
        <v>0.02</v>
      </c>
      <c r="Y12" s="57" t="n">
        <v>0.02</v>
      </c>
      <c r="Z12" s="57" t="n">
        <v>0.02</v>
      </c>
      <c r="AA12" s="57" t="n">
        <v>0.02</v>
      </c>
      <c r="AB12" s="57" t="n">
        <v>0.02</v>
      </c>
      <c r="AC12" s="57" t="n">
        <v>0.02</v>
      </c>
      <c r="AD12" s="57" t="n">
        <v>0.02</v>
      </c>
      <c r="AE12" s="57" t="n">
        <v>0.02</v>
      </c>
      <c r="AF12" s="57" t="n">
        <v>0.02</v>
      </c>
      <c r="AG12" s="57" t="n">
        <v>0.02</v>
      </c>
      <c r="AH12" s="57" t="n">
        <v>0.02</v>
      </c>
      <c r="AI12" s="57" t="n">
        <v>0.02</v>
      </c>
      <c r="AJ12" s="57" t="n">
        <v>0.02</v>
      </c>
    </row>
    <row r="13" ht="14.5" customHeight="1" s="82">
      <c r="A13" s="10" t="inlineStr">
        <is>
          <t>lignite</t>
        </is>
      </c>
      <c r="B13" s="57" t="n">
        <v>0.018</v>
      </c>
      <c r="C13" s="57" t="n">
        <v>0.018</v>
      </c>
      <c r="D13" s="57" t="n">
        <v>0.018</v>
      </c>
      <c r="E13" s="57" t="n">
        <v>0.018</v>
      </c>
      <c r="F13" s="57" t="n">
        <v>0.018</v>
      </c>
      <c r="G13" s="57" t="n">
        <v>0.018</v>
      </c>
      <c r="H13" s="57" t="n">
        <v>0.018</v>
      </c>
      <c r="I13" s="57" t="n">
        <v>0.018</v>
      </c>
      <c r="J13" s="57" t="n">
        <v>0.018</v>
      </c>
      <c r="K13" s="57" t="n">
        <v>0.018</v>
      </c>
      <c r="L13" s="57" t="n">
        <v>0.018</v>
      </c>
      <c r="M13" s="57" t="n">
        <v>0.018</v>
      </c>
      <c r="N13" s="57" t="n">
        <v>0.018</v>
      </c>
      <c r="O13" s="57" t="n">
        <v>0.018</v>
      </c>
      <c r="P13" s="57" t="n">
        <v>0.018</v>
      </c>
      <c r="Q13" s="57" t="n">
        <v>0.018</v>
      </c>
      <c r="R13" s="57" t="n">
        <v>0.018</v>
      </c>
      <c r="S13" s="57" t="n">
        <v>0.018</v>
      </c>
      <c r="T13" s="57" t="n">
        <v>0.018</v>
      </c>
      <c r="U13" s="57" t="n">
        <v>0.018</v>
      </c>
      <c r="V13" s="57" t="n">
        <v>0.018</v>
      </c>
      <c r="W13" s="57" t="n">
        <v>0.018</v>
      </c>
      <c r="X13" s="57" t="n">
        <v>0.018</v>
      </c>
      <c r="Y13" s="57" t="n">
        <v>0.018</v>
      </c>
      <c r="Z13" s="57" t="n">
        <v>0.018</v>
      </c>
      <c r="AA13" s="57" t="n">
        <v>0.018</v>
      </c>
      <c r="AB13" s="57" t="n">
        <v>0.018</v>
      </c>
      <c r="AC13" s="57" t="n">
        <v>0.018</v>
      </c>
      <c r="AD13" s="57" t="n">
        <v>0.018</v>
      </c>
      <c r="AE13" s="57" t="n">
        <v>0.018</v>
      </c>
      <c r="AF13" s="57" t="n">
        <v>0.018</v>
      </c>
      <c r="AG13" s="57" t="n">
        <v>0.018</v>
      </c>
      <c r="AH13" s="57" t="n">
        <v>0.018</v>
      </c>
      <c r="AI13" s="57" t="n">
        <v>0.018</v>
      </c>
      <c r="AJ13" s="57" t="n">
        <v>0.018</v>
      </c>
    </row>
    <row r="14" ht="14.5" customHeight="1" s="82">
      <c r="A14" s="10" t="inlineStr">
        <is>
          <t>offshore wind</t>
        </is>
      </c>
      <c r="B14" s="57" t="n">
        <v>0.44</v>
      </c>
      <c r="C14" s="57" t="n">
        <v>0.44</v>
      </c>
      <c r="D14" s="57" t="n">
        <v>0.44</v>
      </c>
      <c r="E14" s="57" t="n">
        <v>0.44</v>
      </c>
      <c r="F14" s="57" t="n">
        <v>0.44</v>
      </c>
      <c r="G14" s="57" t="n">
        <v>0.44</v>
      </c>
      <c r="H14" s="57" t="n">
        <v>0.44</v>
      </c>
      <c r="I14" s="57" t="n">
        <v>0.44</v>
      </c>
      <c r="J14" s="57" t="n">
        <v>0.44</v>
      </c>
      <c r="K14" s="57" t="n">
        <v>0.44</v>
      </c>
      <c r="L14" s="57" t="n">
        <v>0.44</v>
      </c>
      <c r="M14" s="57" t="n">
        <v>0.44</v>
      </c>
      <c r="N14" s="57" t="n">
        <v>0.44</v>
      </c>
      <c r="O14" s="57" t="n">
        <v>0.44</v>
      </c>
      <c r="P14" s="57" t="n">
        <v>0.44</v>
      </c>
      <c r="Q14" s="57" t="n">
        <v>0.44</v>
      </c>
      <c r="R14" s="57" t="n">
        <v>0.44</v>
      </c>
      <c r="S14" s="57" t="n">
        <v>0.44</v>
      </c>
      <c r="T14" s="57" t="n">
        <v>0.44</v>
      </c>
      <c r="U14" s="57" t="n">
        <v>0.44</v>
      </c>
      <c r="V14" s="57" t="n">
        <v>0.44</v>
      </c>
      <c r="W14" s="57" t="n">
        <v>0.44</v>
      </c>
      <c r="X14" s="57" t="n">
        <v>0.44</v>
      </c>
      <c r="Y14" s="57" t="n">
        <v>0.44</v>
      </c>
      <c r="Z14" s="57" t="n">
        <v>0.44</v>
      </c>
      <c r="AA14" s="57" t="n">
        <v>0.44</v>
      </c>
      <c r="AB14" s="57" t="n">
        <v>0.44</v>
      </c>
      <c r="AC14" s="57" t="n">
        <v>0.44</v>
      </c>
      <c r="AD14" s="57" t="n">
        <v>0.44</v>
      </c>
      <c r="AE14" s="57" t="n">
        <v>0.44</v>
      </c>
      <c r="AF14" s="57" t="n">
        <v>0.44</v>
      </c>
      <c r="AG14" s="57" t="n">
        <v>0.44</v>
      </c>
      <c r="AH14" s="57" t="n">
        <v>0.44</v>
      </c>
      <c r="AI14" s="57" t="n">
        <v>0.44</v>
      </c>
      <c r="AJ14" s="57" t="n">
        <v>0.44</v>
      </c>
    </row>
    <row r="15" ht="14.5" customHeight="1" s="82">
      <c r="A15" s="10" t="inlineStr">
        <is>
          <t>crude oil</t>
        </is>
      </c>
      <c r="B15" s="57" t="n">
        <v>0.002</v>
      </c>
      <c r="C15" s="57" t="n">
        <v>0.002</v>
      </c>
      <c r="D15" s="57" t="n">
        <v>0.002</v>
      </c>
      <c r="E15" s="57" t="n">
        <v>0.002</v>
      </c>
      <c r="F15" s="57" t="n">
        <v>0.002</v>
      </c>
      <c r="G15" s="57" t="n">
        <v>0.002</v>
      </c>
      <c r="H15" s="57" t="n">
        <v>0.002</v>
      </c>
      <c r="I15" s="57" t="n">
        <v>0.002</v>
      </c>
      <c r="J15" s="57" t="n">
        <v>0.002</v>
      </c>
      <c r="K15" s="57" t="n">
        <v>0.002</v>
      </c>
      <c r="L15" s="57" t="n">
        <v>0.002</v>
      </c>
      <c r="M15" s="57" t="n">
        <v>0.002</v>
      </c>
      <c r="N15" s="57" t="n">
        <v>0.002</v>
      </c>
      <c r="O15" s="57" t="n">
        <v>0.002</v>
      </c>
      <c r="P15" s="57" t="n">
        <v>0.002</v>
      </c>
      <c r="Q15" s="57" t="n">
        <v>0.002</v>
      </c>
      <c r="R15" s="57" t="n">
        <v>0.002</v>
      </c>
      <c r="S15" s="57" t="n">
        <v>0.002</v>
      </c>
      <c r="T15" s="57" t="n">
        <v>0.002</v>
      </c>
      <c r="U15" s="57" t="n">
        <v>0.002</v>
      </c>
      <c r="V15" s="57" t="n">
        <v>0.002</v>
      </c>
      <c r="W15" s="57" t="n">
        <v>0.002</v>
      </c>
      <c r="X15" s="57" t="n">
        <v>0.002</v>
      </c>
      <c r="Y15" s="57" t="n">
        <v>0.002</v>
      </c>
      <c r="Z15" s="57" t="n">
        <v>0.002</v>
      </c>
      <c r="AA15" s="57" t="n">
        <v>0.002</v>
      </c>
      <c r="AB15" s="57" t="n">
        <v>0.002</v>
      </c>
      <c r="AC15" s="57" t="n">
        <v>0.002</v>
      </c>
      <c r="AD15" s="57" t="n">
        <v>0.002</v>
      </c>
      <c r="AE15" s="57" t="n">
        <v>0.002</v>
      </c>
      <c r="AF15" s="57" t="n">
        <v>0.002</v>
      </c>
      <c r="AG15" s="57" t="n">
        <v>0.002</v>
      </c>
      <c r="AH15" s="57" t="n">
        <v>0.002</v>
      </c>
      <c r="AI15" s="57" t="n">
        <v>0.002</v>
      </c>
      <c r="AJ15" s="57" t="n">
        <v>0.002</v>
      </c>
    </row>
    <row r="16" ht="14.5" customHeight="1" s="82">
      <c r="A16" s="10" t="inlineStr">
        <is>
          <t>heavy or residual fuel oil</t>
        </is>
      </c>
      <c r="B16" s="57" t="n">
        <v>0.002</v>
      </c>
      <c r="C16" s="57" t="n">
        <v>0.002</v>
      </c>
      <c r="D16" s="57" t="n">
        <v>0.002</v>
      </c>
      <c r="E16" s="57" t="n">
        <v>0.002</v>
      </c>
      <c r="F16" s="57" t="n">
        <v>0.002</v>
      </c>
      <c r="G16" s="57" t="n">
        <v>0.002</v>
      </c>
      <c r="H16" s="57" t="n">
        <v>0.002</v>
      </c>
      <c r="I16" s="57" t="n">
        <v>0.002</v>
      </c>
      <c r="J16" s="57" t="n">
        <v>0.002</v>
      </c>
      <c r="K16" s="57" t="n">
        <v>0.002</v>
      </c>
      <c r="L16" s="57" t="n">
        <v>0.002</v>
      </c>
      <c r="M16" s="57" t="n">
        <v>0.002</v>
      </c>
      <c r="N16" s="57" t="n">
        <v>0.002</v>
      </c>
      <c r="O16" s="57" t="n">
        <v>0.002</v>
      </c>
      <c r="P16" s="57" t="n">
        <v>0.002</v>
      </c>
      <c r="Q16" s="57" t="n">
        <v>0.002</v>
      </c>
      <c r="R16" s="57" t="n">
        <v>0.002</v>
      </c>
      <c r="S16" s="57" t="n">
        <v>0.002</v>
      </c>
      <c r="T16" s="57" t="n">
        <v>0.002</v>
      </c>
      <c r="U16" s="57" t="n">
        <v>0.002</v>
      </c>
      <c r="V16" s="57" t="n">
        <v>0.002</v>
      </c>
      <c r="W16" s="57" t="n">
        <v>0.002</v>
      </c>
      <c r="X16" s="57" t="n">
        <v>0.002</v>
      </c>
      <c r="Y16" s="57" t="n">
        <v>0.002</v>
      </c>
      <c r="Z16" s="57" t="n">
        <v>0.002</v>
      </c>
      <c r="AA16" s="57" t="n">
        <v>0.002</v>
      </c>
      <c r="AB16" s="57" t="n">
        <v>0.002</v>
      </c>
      <c r="AC16" s="57" t="n">
        <v>0.002</v>
      </c>
      <c r="AD16" s="57" t="n">
        <v>0.002</v>
      </c>
      <c r="AE16" s="57" t="n">
        <v>0.002</v>
      </c>
      <c r="AF16" s="57" t="n">
        <v>0.002</v>
      </c>
      <c r="AG16" s="57" t="n">
        <v>0.002</v>
      </c>
      <c r="AH16" s="57" t="n">
        <v>0.002</v>
      </c>
      <c r="AI16" s="57" t="n">
        <v>0.002</v>
      </c>
      <c r="AJ16" s="57" t="n">
        <v>0.002</v>
      </c>
    </row>
    <row r="17" ht="14.5" customHeight="1" s="82">
      <c r="A17" s="10" t="inlineStr">
        <is>
          <t>municipal solid waste</t>
        </is>
      </c>
      <c r="B17" s="57" t="n">
        <v>0.245</v>
      </c>
      <c r="C17" s="57" t="n">
        <v>0.245</v>
      </c>
      <c r="D17" s="57" t="n">
        <v>0.245</v>
      </c>
      <c r="E17" s="57" t="n">
        <v>0.245</v>
      </c>
      <c r="F17" s="57" t="n">
        <v>0.245</v>
      </c>
      <c r="G17" s="57" t="n">
        <v>0.245</v>
      </c>
      <c r="H17" s="57" t="n">
        <v>0.245</v>
      </c>
      <c r="I17" s="57" t="n">
        <v>0.245</v>
      </c>
      <c r="J17" s="57" t="n">
        <v>0.245</v>
      </c>
      <c r="K17" s="57" t="n">
        <v>0.245</v>
      </c>
      <c r="L17" s="57" t="n">
        <v>0.245</v>
      </c>
      <c r="M17" s="57" t="n">
        <v>0.245</v>
      </c>
      <c r="N17" s="57" t="n">
        <v>0.245</v>
      </c>
      <c r="O17" s="57" t="n">
        <v>0.245</v>
      </c>
      <c r="P17" s="57" t="n">
        <v>0.245</v>
      </c>
      <c r="Q17" s="57" t="n">
        <v>0.245</v>
      </c>
      <c r="R17" s="57" t="n">
        <v>0.245</v>
      </c>
      <c r="S17" s="57" t="n">
        <v>0.245</v>
      </c>
      <c r="T17" s="57" t="n">
        <v>0.245</v>
      </c>
      <c r="U17" s="57" t="n">
        <v>0.245</v>
      </c>
      <c r="V17" s="57" t="n">
        <v>0.245</v>
      </c>
      <c r="W17" s="57" t="n">
        <v>0.245</v>
      </c>
      <c r="X17" s="57" t="n">
        <v>0.245</v>
      </c>
      <c r="Y17" s="57" t="n">
        <v>0.245</v>
      </c>
      <c r="Z17" s="57" t="n">
        <v>0.245</v>
      </c>
      <c r="AA17" s="57" t="n">
        <v>0.245</v>
      </c>
      <c r="AB17" s="57" t="n">
        <v>0.245</v>
      </c>
      <c r="AC17" s="57" t="n">
        <v>0.245</v>
      </c>
      <c r="AD17" s="57" t="n">
        <v>0.245</v>
      </c>
      <c r="AE17" s="57" t="n">
        <v>0.245</v>
      </c>
      <c r="AF17" s="57" t="n">
        <v>0.245</v>
      </c>
      <c r="AG17" s="57" t="n">
        <v>0.245</v>
      </c>
      <c r="AH17" s="57" t="n">
        <v>0.245</v>
      </c>
      <c r="AI17" s="57" t="n">
        <v>0.245</v>
      </c>
      <c r="AJ17" s="57" t="n">
        <v>0.245</v>
      </c>
    </row>
    <row r="18" ht="14.5" customHeight="1" s="82">
      <c r="A18" s="2" t="n"/>
      <c r="B18" s="2" t="n"/>
      <c r="C18" s="2" t="n"/>
      <c r="D18" s="2" t="n"/>
    </row>
    <row r="19" ht="14.5" customHeight="1" s="82">
      <c r="A19" s="2" t="n"/>
      <c r="B19" s="2" t="n"/>
      <c r="C19" s="2" t="n"/>
      <c r="D19" s="2" t="n"/>
    </row>
    <row r="20" ht="14.5" customHeight="1" s="82">
      <c r="A20" s="2" t="n"/>
      <c r="B20" s="2" t="n"/>
      <c r="C20" s="2" t="n"/>
      <c r="D20" s="2" t="n"/>
    </row>
    <row r="21" ht="15.75" customHeight="1" s="82">
      <c r="A21" s="2" t="n"/>
      <c r="B21" s="2" t="n"/>
      <c r="C21" s="2" t="n"/>
      <c r="D21" s="2" t="n"/>
    </row>
    <row r="22" ht="15.75" customHeight="1" s="82">
      <c r="A22" s="2" t="n"/>
      <c r="B22" s="2" t="n"/>
      <c r="C22" s="2" t="n"/>
      <c r="D22" s="2" t="n"/>
    </row>
    <row r="23" ht="15.75" customHeight="1" s="82">
      <c r="A23" s="2" t="n"/>
      <c r="B23" s="2" t="n"/>
      <c r="C23" s="2" t="n"/>
      <c r="D23" s="2" t="n"/>
    </row>
    <row r="24" ht="15.75" customHeight="1" s="82">
      <c r="A24" s="2" t="n"/>
      <c r="B24" s="2" t="n"/>
      <c r="C24" s="2" t="n"/>
      <c r="D24" s="2" t="n"/>
    </row>
    <row r="25" ht="15.75" customHeight="1" s="82">
      <c r="A25" s="2" t="n"/>
      <c r="B25" s="2" t="n"/>
      <c r="C25" s="2" t="n"/>
      <c r="D25" s="2" t="n"/>
    </row>
    <row r="26" ht="15.75" customHeight="1" s="82">
      <c r="A26" s="2" t="n"/>
      <c r="B26" s="2" t="n"/>
      <c r="C26" s="2" t="n"/>
      <c r="D26" s="2" t="n"/>
    </row>
    <row r="27" ht="15.75" customHeight="1" s="82">
      <c r="A27" s="2" t="n"/>
      <c r="B27" s="2" t="n"/>
      <c r="C27" s="2" t="n"/>
      <c r="D27" s="2" t="n"/>
    </row>
    <row r="28" ht="15.75" customHeight="1" s="82">
      <c r="A28" s="2" t="n"/>
      <c r="B28" s="2" t="n"/>
      <c r="C28" s="2" t="n"/>
      <c r="D28" s="2" t="n"/>
    </row>
    <row r="29" ht="15.75" customHeight="1" s="82">
      <c r="A29" s="2" t="n"/>
      <c r="B29" s="2" t="n"/>
      <c r="C29" s="2" t="n"/>
      <c r="D29" s="2" t="n"/>
    </row>
    <row r="30" ht="15.75" customHeight="1" s="82">
      <c r="A30" s="2" t="n"/>
      <c r="B30" s="2" t="n"/>
      <c r="C30" s="2" t="n"/>
      <c r="D30" s="2" t="n"/>
    </row>
    <row r="31" ht="15.75" customHeight="1" s="82">
      <c r="A31" s="2" t="n"/>
      <c r="B31" s="2" t="n"/>
      <c r="C31" s="2" t="n"/>
      <c r="D31" s="2" t="n"/>
    </row>
    <row r="32" ht="15.75" customHeight="1" s="82">
      <c r="A32" s="2" t="n"/>
      <c r="B32" s="2" t="n"/>
      <c r="C32" s="2" t="n"/>
      <c r="D32" s="2" t="n"/>
    </row>
    <row r="33" ht="15.75" customHeight="1" s="82">
      <c r="A33" s="2" t="n"/>
      <c r="B33" s="2" t="n"/>
      <c r="C33" s="2" t="n"/>
      <c r="D33" s="2" t="n"/>
    </row>
    <row r="34" ht="15.75" customHeight="1" s="82">
      <c r="A34" s="2" t="n"/>
      <c r="B34" s="2" t="n"/>
      <c r="C34" s="2" t="n"/>
      <c r="D34" s="2" t="n"/>
    </row>
    <row r="35" ht="15.75" customHeight="1" s="82">
      <c r="A35" s="2" t="n"/>
      <c r="B35" s="2" t="n"/>
      <c r="C35" s="2" t="n"/>
      <c r="D35" s="2" t="n"/>
    </row>
    <row r="36" ht="15.75" customHeight="1" s="82">
      <c r="A36" s="2" t="n"/>
      <c r="B36" s="2" t="n"/>
      <c r="C36" s="2" t="n"/>
      <c r="D36" s="2" t="n"/>
    </row>
    <row r="37" ht="15.75" customHeight="1" s="82">
      <c r="A37" s="2" t="n"/>
      <c r="B37" s="2" t="n"/>
      <c r="C37" s="2" t="n"/>
      <c r="D37" s="2" t="n"/>
    </row>
    <row r="38" ht="15.75" customHeight="1" s="82">
      <c r="A38" s="2" t="n"/>
      <c r="B38" s="2" t="n"/>
      <c r="C38" s="2" t="n"/>
      <c r="D38" s="2" t="n"/>
    </row>
    <row r="39" ht="15.75" customHeight="1" s="82">
      <c r="A39" s="2" t="n"/>
      <c r="B39" s="2" t="n"/>
      <c r="C39" s="2" t="n"/>
      <c r="D39" s="2" t="n"/>
    </row>
    <row r="40" ht="15.75" customHeight="1" s="82">
      <c r="A40" s="2" t="n"/>
      <c r="B40" s="2" t="n"/>
      <c r="C40" s="2" t="n"/>
      <c r="D40" s="2" t="n"/>
    </row>
    <row r="41" ht="15.75" customHeight="1" s="82">
      <c r="A41" s="2" t="n"/>
      <c r="B41" s="2" t="n"/>
      <c r="C41" s="2" t="n"/>
      <c r="D41" s="2" t="n"/>
    </row>
    <row r="42" ht="15.75" customHeight="1" s="82">
      <c r="A42" s="2" t="n"/>
      <c r="B42" s="2" t="n"/>
      <c r="C42" s="2" t="n"/>
      <c r="D42" s="2" t="n"/>
    </row>
    <row r="43" ht="15.75" customHeight="1" s="82">
      <c r="A43" s="2" t="n"/>
      <c r="B43" s="2" t="n"/>
      <c r="C43" s="2" t="n"/>
      <c r="D43" s="2" t="n"/>
    </row>
    <row r="44" ht="15.75" customHeight="1" s="82">
      <c r="A44" s="2" t="n"/>
      <c r="B44" s="2" t="n"/>
      <c r="C44" s="2" t="n"/>
      <c r="D44" s="2" t="n"/>
    </row>
    <row r="45" ht="15.75" customHeight="1" s="82">
      <c r="A45" s="2" t="n"/>
      <c r="B45" s="2" t="n"/>
      <c r="C45" s="2" t="n"/>
      <c r="D45" s="2" t="n"/>
    </row>
    <row r="46" ht="15.75" customHeight="1" s="82">
      <c r="A46" s="2" t="n"/>
      <c r="B46" s="2" t="n"/>
      <c r="C46" s="2" t="n"/>
      <c r="D46" s="2" t="n"/>
    </row>
    <row r="47" ht="15.75" customHeight="1" s="82">
      <c r="A47" s="2" t="n"/>
      <c r="B47" s="2" t="n"/>
      <c r="C47" s="2" t="n"/>
      <c r="D47" s="2" t="n"/>
    </row>
    <row r="48" ht="15.75" customHeight="1" s="82">
      <c r="A48" s="2" t="n"/>
      <c r="B48" s="2" t="n"/>
      <c r="C48" s="2" t="n"/>
      <c r="D48" s="2" t="n"/>
    </row>
    <row r="49" ht="15.75" customHeight="1" s="82">
      <c r="A49" s="2" t="n"/>
      <c r="B49" s="2" t="n"/>
      <c r="C49" s="2" t="n"/>
      <c r="D49" s="2" t="n"/>
    </row>
    <row r="50" ht="15.75" customHeight="1" s="82">
      <c r="A50" s="2" t="n"/>
      <c r="B50" s="2" t="n"/>
      <c r="C50" s="2" t="n"/>
      <c r="D50" s="2" t="n"/>
    </row>
    <row r="51" ht="15.75" customHeight="1" s="82">
      <c r="A51" s="2" t="n"/>
      <c r="B51" s="2" t="n"/>
      <c r="C51" s="2" t="n"/>
      <c r="D51" s="2" t="n"/>
    </row>
    <row r="52" ht="15.75" customHeight="1" s="82">
      <c r="A52" s="2" t="n"/>
      <c r="B52" s="2" t="n"/>
      <c r="C52" s="2" t="n"/>
      <c r="D52" s="2" t="n"/>
    </row>
    <row r="53" ht="15.75" customHeight="1" s="82">
      <c r="A53" s="2" t="n"/>
      <c r="B53" s="2" t="n"/>
      <c r="C53" s="2" t="n"/>
      <c r="D53" s="2" t="n"/>
    </row>
    <row r="54" ht="15.75" customHeight="1" s="82">
      <c r="A54" s="2" t="n"/>
      <c r="B54" s="2" t="n"/>
      <c r="C54" s="2" t="n"/>
      <c r="D54" s="2" t="n"/>
    </row>
    <row r="55" ht="15.75" customHeight="1" s="82">
      <c r="A55" s="2" t="n"/>
      <c r="B55" s="2" t="n"/>
      <c r="C55" s="2" t="n"/>
      <c r="D55" s="2" t="n"/>
    </row>
    <row r="56" ht="15.75" customHeight="1" s="82">
      <c r="A56" s="2" t="n"/>
      <c r="B56" s="2" t="n"/>
      <c r="C56" s="2" t="n"/>
      <c r="D56" s="2" t="n"/>
    </row>
    <row r="57" ht="15.75" customHeight="1" s="82">
      <c r="A57" s="2" t="n"/>
      <c r="B57" s="2" t="n"/>
      <c r="C57" s="2" t="n"/>
      <c r="D57" s="2" t="n"/>
    </row>
    <row r="58" ht="15.75" customHeight="1" s="82">
      <c r="A58" s="2" t="n"/>
      <c r="B58" s="2" t="n"/>
      <c r="C58" s="2" t="n"/>
      <c r="D58" s="2" t="n"/>
    </row>
    <row r="59" ht="15.75" customHeight="1" s="82">
      <c r="A59" s="2" t="n"/>
      <c r="B59" s="2" t="n"/>
      <c r="C59" s="2" t="n"/>
      <c r="D59" s="2" t="n"/>
    </row>
    <row r="60" ht="15.75" customHeight="1" s="82">
      <c r="A60" s="2" t="n"/>
      <c r="B60" s="2" t="n"/>
      <c r="C60" s="2" t="n"/>
      <c r="D60" s="2" t="n"/>
    </row>
    <row r="61" ht="15.75" customHeight="1" s="82">
      <c r="A61" s="2" t="n"/>
      <c r="B61" s="2" t="n"/>
      <c r="C61" s="2" t="n"/>
      <c r="D61" s="2" t="n"/>
    </row>
    <row r="62" ht="15.75" customHeight="1" s="82">
      <c r="A62" s="2" t="n"/>
      <c r="B62" s="2" t="n"/>
      <c r="C62" s="2" t="n"/>
      <c r="D62" s="2" t="n"/>
    </row>
    <row r="63" ht="15.75" customHeight="1" s="82">
      <c r="A63" s="2" t="n"/>
      <c r="B63" s="2" t="n"/>
      <c r="C63" s="2" t="n"/>
      <c r="D63" s="2" t="n"/>
    </row>
    <row r="64" ht="15.75" customHeight="1" s="82">
      <c r="A64" s="2" t="n"/>
      <c r="B64" s="2" t="n"/>
      <c r="C64" s="2" t="n"/>
      <c r="D64" s="2" t="n"/>
    </row>
    <row r="65" ht="15.75" customHeight="1" s="82">
      <c r="A65" s="2" t="n"/>
      <c r="B65" s="2" t="n"/>
      <c r="C65" s="2" t="n"/>
      <c r="D65" s="2" t="n"/>
    </row>
    <row r="66" ht="15.75" customHeight="1" s="82">
      <c r="A66" s="2" t="n"/>
      <c r="B66" s="2" t="n"/>
      <c r="C66" s="2" t="n"/>
      <c r="D66" s="2" t="n"/>
    </row>
    <row r="67" ht="15.75" customHeight="1" s="82">
      <c r="A67" s="2" t="n"/>
      <c r="B67" s="2" t="n"/>
      <c r="C67" s="2" t="n"/>
      <c r="D67" s="2" t="n"/>
    </row>
    <row r="68" ht="15.75" customHeight="1" s="82">
      <c r="A68" s="2" t="n"/>
      <c r="B68" s="2" t="n"/>
      <c r="C68" s="2" t="n"/>
      <c r="D68" s="2" t="n"/>
    </row>
    <row r="69" ht="15.75" customHeight="1" s="82">
      <c r="A69" s="2" t="n"/>
      <c r="B69" s="2" t="n"/>
      <c r="C69" s="2" t="n"/>
      <c r="D69" s="2" t="n"/>
    </row>
    <row r="70" ht="15.75" customHeight="1" s="82">
      <c r="A70" s="2" t="n"/>
      <c r="B70" s="2" t="n"/>
      <c r="C70" s="2" t="n"/>
      <c r="D70" s="2" t="n"/>
    </row>
    <row r="71" ht="15.75" customHeight="1" s="82">
      <c r="A71" s="2" t="n"/>
      <c r="B71" s="2" t="n"/>
      <c r="C71" s="2" t="n"/>
      <c r="D71" s="2" t="n"/>
    </row>
    <row r="72" ht="15.75" customHeight="1" s="82">
      <c r="A72" s="2" t="n"/>
      <c r="B72" s="2" t="n"/>
      <c r="C72" s="2" t="n"/>
      <c r="D72" s="2" t="n"/>
    </row>
    <row r="73" ht="15.75" customHeight="1" s="82">
      <c r="A73" s="2" t="n"/>
      <c r="B73" s="2" t="n"/>
      <c r="C73" s="2" t="n"/>
      <c r="D73" s="2" t="n"/>
    </row>
    <row r="74" ht="15.75" customHeight="1" s="82">
      <c r="A74" s="2" t="n"/>
      <c r="B74" s="2" t="n"/>
      <c r="C74" s="2" t="n"/>
      <c r="D74" s="2" t="n"/>
    </row>
    <row r="75" ht="15.75" customHeight="1" s="82">
      <c r="A75" s="2" t="n"/>
      <c r="B75" s="2" t="n"/>
      <c r="C75" s="2" t="n"/>
      <c r="D75" s="2" t="n"/>
    </row>
    <row r="76" ht="15.75" customHeight="1" s="82">
      <c r="A76" s="2" t="n"/>
      <c r="B76" s="2" t="n"/>
      <c r="C76" s="2" t="n"/>
      <c r="D76" s="2" t="n"/>
    </row>
    <row r="77" ht="15.75" customHeight="1" s="82">
      <c r="A77" s="2" t="n"/>
      <c r="B77" s="2" t="n"/>
      <c r="C77" s="2" t="n"/>
      <c r="D77" s="2" t="n"/>
    </row>
    <row r="78" ht="15.75" customHeight="1" s="82">
      <c r="A78" s="2" t="n"/>
      <c r="B78" s="2" t="n"/>
      <c r="C78" s="2" t="n"/>
      <c r="D78" s="2" t="n"/>
    </row>
    <row r="79" ht="15.75" customHeight="1" s="82">
      <c r="A79" s="2" t="n"/>
      <c r="B79" s="2" t="n"/>
      <c r="C79" s="2" t="n"/>
      <c r="D79" s="2" t="n"/>
    </row>
    <row r="80" ht="15.75" customHeight="1" s="82">
      <c r="A80" s="2" t="n"/>
      <c r="B80" s="2" t="n"/>
      <c r="C80" s="2" t="n"/>
      <c r="D80" s="2" t="n"/>
    </row>
    <row r="81" ht="15.75" customHeight="1" s="82">
      <c r="A81" s="2" t="n"/>
      <c r="B81" s="2" t="n"/>
      <c r="C81" s="2" t="n"/>
      <c r="D81" s="2" t="n"/>
    </row>
    <row r="82" ht="15.75" customHeight="1" s="82">
      <c r="A82" s="2" t="n"/>
      <c r="B82" s="2" t="n"/>
      <c r="C82" s="2" t="n"/>
      <c r="D82" s="2" t="n"/>
    </row>
    <row r="83" ht="15.75" customHeight="1" s="82">
      <c r="A83" s="2" t="n"/>
      <c r="B83" s="2" t="n"/>
      <c r="C83" s="2" t="n"/>
      <c r="D83" s="2" t="n"/>
    </row>
    <row r="84" ht="15.75" customHeight="1" s="82">
      <c r="A84" s="2" t="n"/>
      <c r="B84" s="2" t="n"/>
      <c r="C84" s="2" t="n"/>
      <c r="D84" s="2" t="n"/>
    </row>
    <row r="85" ht="15.75" customHeight="1" s="82">
      <c r="A85" s="2" t="n"/>
      <c r="B85" s="2" t="n"/>
      <c r="C85" s="2" t="n"/>
      <c r="D85" s="2" t="n"/>
    </row>
    <row r="86" ht="15.75" customHeight="1" s="82">
      <c r="A86" s="2" t="n"/>
      <c r="B86" s="2" t="n"/>
      <c r="C86" s="2" t="n"/>
      <c r="D86" s="2" t="n"/>
    </row>
    <row r="87" ht="15.75" customHeight="1" s="82">
      <c r="A87" s="2" t="n"/>
      <c r="B87" s="2" t="n"/>
      <c r="C87" s="2" t="n"/>
      <c r="D87" s="2" t="n"/>
    </row>
    <row r="88" ht="15.75" customHeight="1" s="82">
      <c r="A88" s="2" t="n"/>
      <c r="B88" s="2" t="n"/>
      <c r="C88" s="2" t="n"/>
      <c r="D88" s="2" t="n"/>
    </row>
    <row r="89" ht="15.75" customHeight="1" s="82">
      <c r="A89" s="2" t="n"/>
      <c r="B89" s="2" t="n"/>
      <c r="C89" s="2" t="n"/>
      <c r="D89" s="2" t="n"/>
    </row>
    <row r="90" ht="15.75" customHeight="1" s="82">
      <c r="A90" s="2" t="n"/>
      <c r="B90" s="2" t="n"/>
      <c r="C90" s="2" t="n"/>
      <c r="D90" s="2" t="n"/>
    </row>
    <row r="91" ht="15.75" customHeight="1" s="82">
      <c r="A91" s="2" t="n"/>
      <c r="B91" s="2" t="n"/>
      <c r="C91" s="2" t="n"/>
      <c r="D91" s="2" t="n"/>
    </row>
    <row r="92" ht="15.75" customHeight="1" s="82">
      <c r="A92" s="2" t="n"/>
      <c r="B92" s="2" t="n"/>
      <c r="C92" s="2" t="n"/>
      <c r="D92" s="2" t="n"/>
    </row>
    <row r="93" ht="15.75" customHeight="1" s="82">
      <c r="A93" s="2" t="n"/>
      <c r="B93" s="2" t="n"/>
      <c r="C93" s="2" t="n"/>
      <c r="D93" s="2" t="n"/>
    </row>
    <row r="94" ht="15.75" customHeight="1" s="82">
      <c r="A94" s="2" t="n"/>
      <c r="B94" s="2" t="n"/>
      <c r="C94" s="2" t="n"/>
      <c r="D94" s="2" t="n"/>
    </row>
    <row r="95" ht="15.75" customHeight="1" s="82">
      <c r="A95" s="2" t="n"/>
      <c r="B95" s="2" t="n"/>
      <c r="C95" s="2" t="n"/>
      <c r="D95" s="2" t="n"/>
    </row>
    <row r="96" ht="15.75" customHeight="1" s="82">
      <c r="A96" s="2" t="n"/>
      <c r="B96" s="2" t="n"/>
      <c r="C96" s="2" t="n"/>
      <c r="D96" s="2" t="n"/>
    </row>
    <row r="97" ht="15.75" customHeight="1" s="82">
      <c r="A97" s="2" t="n"/>
      <c r="B97" s="2" t="n"/>
      <c r="C97" s="2" t="n"/>
      <c r="D97" s="2" t="n"/>
    </row>
    <row r="98" ht="15.75" customHeight="1" s="82">
      <c r="A98" s="2" t="n"/>
      <c r="B98" s="2" t="n"/>
      <c r="C98" s="2" t="n"/>
      <c r="D98" s="2" t="n"/>
    </row>
    <row r="99" ht="15.75" customHeight="1" s="82">
      <c r="A99" s="2" t="n"/>
      <c r="B99" s="2" t="n"/>
      <c r="C99" s="2" t="n"/>
      <c r="D99" s="2" t="n"/>
    </row>
    <row r="100" ht="15.75" customHeight="1" s="82">
      <c r="A100" s="2" t="n"/>
      <c r="B100" s="2" t="n"/>
      <c r="C100" s="2" t="n"/>
      <c r="D100" s="2" t="n"/>
    </row>
    <row r="101" ht="15.75" customHeight="1" s="82">
      <c r="A101" s="2" t="n"/>
      <c r="B101" s="2" t="n"/>
      <c r="C101" s="2" t="n"/>
      <c r="D101" s="2" t="n"/>
    </row>
    <row r="102" ht="15.75" customHeight="1" s="82">
      <c r="A102" s="2" t="n"/>
      <c r="B102" s="2" t="n"/>
      <c r="C102" s="2" t="n"/>
      <c r="D102" s="2" t="n"/>
    </row>
    <row r="103" ht="15.75" customHeight="1" s="82">
      <c r="A103" s="2" t="n"/>
      <c r="B103" s="2" t="n"/>
      <c r="C103" s="2" t="n"/>
      <c r="D103" s="2" t="n"/>
    </row>
    <row r="104" ht="15.75" customHeight="1" s="82">
      <c r="A104" s="2" t="n"/>
      <c r="B104" s="2" t="n"/>
      <c r="C104" s="2" t="n"/>
      <c r="D104" s="2" t="n"/>
    </row>
    <row r="105" ht="15.75" customHeight="1" s="82">
      <c r="A105" s="2" t="n"/>
      <c r="B105" s="2" t="n"/>
      <c r="C105" s="2" t="n"/>
      <c r="D105" s="2" t="n"/>
    </row>
    <row r="106" ht="15.75" customHeight="1" s="82">
      <c r="A106" s="2" t="n"/>
      <c r="B106" s="2" t="n"/>
      <c r="C106" s="2" t="n"/>
      <c r="D106" s="2" t="n"/>
    </row>
    <row r="107" ht="15.75" customHeight="1" s="82">
      <c r="A107" s="2" t="n"/>
      <c r="B107" s="2" t="n"/>
      <c r="C107" s="2" t="n"/>
      <c r="D107" s="2" t="n"/>
    </row>
    <row r="108" ht="15.75" customHeight="1" s="82">
      <c r="A108" s="2" t="n"/>
      <c r="B108" s="2" t="n"/>
      <c r="C108" s="2" t="n"/>
      <c r="D108" s="2" t="n"/>
    </row>
    <row r="109" ht="15.75" customHeight="1" s="82">
      <c r="A109" s="2" t="n"/>
      <c r="B109" s="2" t="n"/>
      <c r="C109" s="2" t="n"/>
      <c r="D109" s="2" t="n"/>
    </row>
    <row r="110" ht="15.75" customHeight="1" s="82">
      <c r="A110" s="2" t="n"/>
      <c r="B110" s="2" t="n"/>
      <c r="C110" s="2" t="n"/>
      <c r="D110" s="2" t="n"/>
    </row>
    <row r="111" ht="15.75" customHeight="1" s="82">
      <c r="A111" s="2" t="n"/>
      <c r="B111" s="2" t="n"/>
      <c r="C111" s="2" t="n"/>
      <c r="D111" s="2" t="n"/>
    </row>
    <row r="112" ht="15.75" customHeight="1" s="82">
      <c r="A112" s="2" t="n"/>
      <c r="B112" s="2" t="n"/>
      <c r="C112" s="2" t="n"/>
      <c r="D112" s="2" t="n"/>
    </row>
    <row r="113" ht="15.75" customHeight="1" s="82">
      <c r="A113" s="2" t="n"/>
      <c r="B113" s="2" t="n"/>
      <c r="C113" s="2" t="n"/>
      <c r="D113" s="2" t="n"/>
    </row>
    <row r="114" ht="15.75" customHeight="1" s="82">
      <c r="A114" s="2" t="n"/>
      <c r="B114" s="2" t="n"/>
      <c r="C114" s="2" t="n"/>
      <c r="D114" s="2" t="n"/>
    </row>
    <row r="115" ht="15.75" customHeight="1" s="82">
      <c r="A115" s="2" t="n"/>
      <c r="B115" s="2" t="n"/>
      <c r="C115" s="2" t="n"/>
      <c r="D115" s="2" t="n"/>
    </row>
    <row r="116" ht="15.75" customHeight="1" s="82">
      <c r="A116" s="2" t="n"/>
      <c r="B116" s="2" t="n"/>
      <c r="C116" s="2" t="n"/>
      <c r="D116" s="2" t="n"/>
    </row>
    <row r="117" ht="15.75" customHeight="1" s="82">
      <c r="A117" s="2" t="n"/>
      <c r="B117" s="2" t="n"/>
      <c r="C117" s="2" t="n"/>
      <c r="D117" s="2" t="n"/>
    </row>
    <row r="118" ht="15.75" customHeight="1" s="82">
      <c r="A118" s="2" t="n"/>
      <c r="B118" s="2" t="n"/>
      <c r="C118" s="2" t="n"/>
      <c r="D118" s="2" t="n"/>
    </row>
    <row r="119" ht="15.75" customHeight="1" s="82">
      <c r="A119" s="2" t="n"/>
      <c r="B119" s="2" t="n"/>
      <c r="C119" s="2" t="n"/>
      <c r="D119" s="2" t="n"/>
    </row>
    <row r="120" ht="15.75" customHeight="1" s="82">
      <c r="A120" s="2" t="n"/>
      <c r="B120" s="2" t="n"/>
      <c r="C120" s="2" t="n"/>
      <c r="D120" s="2" t="n"/>
    </row>
    <row r="121" ht="15.75" customHeight="1" s="82">
      <c r="A121" s="2" t="n"/>
      <c r="B121" s="2" t="n"/>
      <c r="C121" s="2" t="n"/>
      <c r="D121" s="2" t="n"/>
    </row>
    <row r="122" ht="15.75" customHeight="1" s="82">
      <c r="A122" s="2" t="n"/>
      <c r="B122" s="2" t="n"/>
      <c r="C122" s="2" t="n"/>
      <c r="D122" s="2" t="n"/>
    </row>
    <row r="123" ht="15.75" customHeight="1" s="82">
      <c r="A123" s="2" t="n"/>
      <c r="B123" s="2" t="n"/>
      <c r="C123" s="2" t="n"/>
      <c r="D123" s="2" t="n"/>
    </row>
    <row r="124" ht="15.75" customHeight="1" s="82">
      <c r="A124" s="2" t="n"/>
      <c r="B124" s="2" t="n"/>
      <c r="C124" s="2" t="n"/>
      <c r="D124" s="2" t="n"/>
    </row>
    <row r="125" ht="15.75" customHeight="1" s="82">
      <c r="A125" s="2" t="n"/>
      <c r="B125" s="2" t="n"/>
      <c r="C125" s="2" t="n"/>
      <c r="D125" s="2" t="n"/>
    </row>
    <row r="126" ht="15.75" customHeight="1" s="82">
      <c r="A126" s="2" t="n"/>
      <c r="B126" s="2" t="n"/>
      <c r="C126" s="2" t="n"/>
      <c r="D126" s="2" t="n"/>
    </row>
    <row r="127" ht="15.75" customHeight="1" s="82">
      <c r="A127" s="2" t="n"/>
      <c r="B127" s="2" t="n"/>
      <c r="C127" s="2" t="n"/>
      <c r="D127" s="2" t="n"/>
    </row>
    <row r="128" ht="15.75" customHeight="1" s="82">
      <c r="A128" s="2" t="n"/>
      <c r="B128" s="2" t="n"/>
      <c r="C128" s="2" t="n"/>
      <c r="D128" s="2" t="n"/>
    </row>
    <row r="129" ht="15.75" customHeight="1" s="82">
      <c r="A129" s="2" t="n"/>
      <c r="B129" s="2" t="n"/>
      <c r="C129" s="2" t="n"/>
      <c r="D129" s="2" t="n"/>
    </row>
    <row r="130" ht="15.75" customHeight="1" s="82">
      <c r="A130" s="2" t="n"/>
      <c r="B130" s="2" t="n"/>
      <c r="C130" s="2" t="n"/>
      <c r="D130" s="2" t="n"/>
    </row>
    <row r="131" ht="15.75" customHeight="1" s="82">
      <c r="A131" s="2" t="n"/>
      <c r="B131" s="2" t="n"/>
      <c r="C131" s="2" t="n"/>
      <c r="D131" s="2" t="n"/>
    </row>
    <row r="132" ht="15.75" customHeight="1" s="82">
      <c r="A132" s="2" t="n"/>
      <c r="B132" s="2" t="n"/>
      <c r="C132" s="2" t="n"/>
      <c r="D132" s="2" t="n"/>
    </row>
    <row r="133" ht="15.75" customHeight="1" s="82">
      <c r="A133" s="2" t="n"/>
      <c r="B133" s="2" t="n"/>
      <c r="C133" s="2" t="n"/>
      <c r="D133" s="2" t="n"/>
    </row>
    <row r="134" ht="15.75" customHeight="1" s="82">
      <c r="A134" s="2" t="n"/>
      <c r="B134" s="2" t="n"/>
      <c r="C134" s="2" t="n"/>
      <c r="D134" s="2" t="n"/>
    </row>
    <row r="135" ht="15.75" customHeight="1" s="82">
      <c r="A135" s="2" t="n"/>
      <c r="B135" s="2" t="n"/>
      <c r="C135" s="2" t="n"/>
      <c r="D135" s="2" t="n"/>
    </row>
    <row r="136" ht="15.75" customHeight="1" s="82">
      <c r="A136" s="2" t="n"/>
      <c r="B136" s="2" t="n"/>
      <c r="C136" s="2" t="n"/>
      <c r="D136" s="2" t="n"/>
    </row>
    <row r="137" ht="15.75" customHeight="1" s="82">
      <c r="A137" s="2" t="n"/>
      <c r="B137" s="2" t="n"/>
      <c r="C137" s="2" t="n"/>
      <c r="D137" s="2" t="n"/>
    </row>
    <row r="138" ht="15.75" customHeight="1" s="82">
      <c r="A138" s="2" t="n"/>
      <c r="B138" s="2" t="n"/>
      <c r="C138" s="2" t="n"/>
      <c r="D138" s="2" t="n"/>
    </row>
    <row r="139" ht="15.75" customHeight="1" s="82">
      <c r="A139" s="2" t="n"/>
      <c r="B139" s="2" t="n"/>
      <c r="C139" s="2" t="n"/>
      <c r="D139" s="2" t="n"/>
    </row>
    <row r="140" ht="15.75" customHeight="1" s="82">
      <c r="A140" s="2" t="n"/>
      <c r="B140" s="2" t="n"/>
      <c r="C140" s="2" t="n"/>
      <c r="D140" s="2" t="n"/>
    </row>
    <row r="141" ht="15.75" customHeight="1" s="82">
      <c r="A141" s="2" t="n"/>
      <c r="B141" s="2" t="n"/>
      <c r="C141" s="2" t="n"/>
      <c r="D141" s="2" t="n"/>
    </row>
    <row r="142" ht="15.75" customHeight="1" s="82">
      <c r="A142" s="2" t="n"/>
      <c r="B142" s="2" t="n"/>
      <c r="C142" s="2" t="n"/>
      <c r="D142" s="2" t="n"/>
    </row>
    <row r="143" ht="15.75" customHeight="1" s="82">
      <c r="A143" s="2" t="n"/>
      <c r="B143" s="2" t="n"/>
      <c r="C143" s="2" t="n"/>
      <c r="D143" s="2" t="n"/>
    </row>
    <row r="144" ht="15.75" customHeight="1" s="82">
      <c r="A144" s="2" t="n"/>
      <c r="B144" s="2" t="n"/>
      <c r="C144" s="2" t="n"/>
      <c r="D144" s="2" t="n"/>
    </row>
    <row r="145" ht="15.75" customHeight="1" s="82">
      <c r="A145" s="2" t="n"/>
      <c r="B145" s="2" t="n"/>
      <c r="C145" s="2" t="n"/>
      <c r="D145" s="2" t="n"/>
    </row>
    <row r="146" ht="15.75" customHeight="1" s="82">
      <c r="A146" s="2" t="n"/>
      <c r="B146" s="2" t="n"/>
      <c r="C146" s="2" t="n"/>
      <c r="D146" s="2" t="n"/>
    </row>
    <row r="147" ht="15.75" customHeight="1" s="82">
      <c r="A147" s="2" t="n"/>
      <c r="B147" s="2" t="n"/>
      <c r="C147" s="2" t="n"/>
      <c r="D147" s="2" t="n"/>
    </row>
    <row r="148" ht="15.75" customHeight="1" s="82">
      <c r="A148" s="2" t="n"/>
      <c r="B148" s="2" t="n"/>
      <c r="C148" s="2" t="n"/>
      <c r="D148" s="2" t="n"/>
    </row>
    <row r="149" ht="15.75" customHeight="1" s="82">
      <c r="A149" s="2" t="n"/>
      <c r="B149" s="2" t="n"/>
      <c r="C149" s="2" t="n"/>
      <c r="D149" s="2" t="n"/>
    </row>
    <row r="150" ht="15.75" customHeight="1" s="82">
      <c r="A150" s="2" t="n"/>
      <c r="B150" s="2" t="n"/>
      <c r="C150" s="2" t="n"/>
      <c r="D150" s="2" t="n"/>
    </row>
    <row r="151" ht="15.75" customHeight="1" s="82">
      <c r="A151" s="2" t="n"/>
      <c r="B151" s="2" t="n"/>
      <c r="C151" s="2" t="n"/>
      <c r="D151" s="2" t="n"/>
    </row>
    <row r="152" ht="15.75" customHeight="1" s="82">
      <c r="A152" s="2" t="n"/>
      <c r="B152" s="2" t="n"/>
      <c r="C152" s="2" t="n"/>
      <c r="D152" s="2" t="n"/>
    </row>
    <row r="153" ht="15.75" customHeight="1" s="82">
      <c r="A153" s="2" t="n"/>
      <c r="B153" s="2" t="n"/>
      <c r="C153" s="2" t="n"/>
      <c r="D153" s="2" t="n"/>
    </row>
    <row r="154" ht="15.75" customHeight="1" s="82">
      <c r="A154" s="2" t="n"/>
      <c r="B154" s="2" t="n"/>
      <c r="C154" s="2" t="n"/>
      <c r="D154" s="2" t="n"/>
    </row>
    <row r="155" ht="15.75" customHeight="1" s="82">
      <c r="A155" s="2" t="n"/>
      <c r="B155" s="2" t="n"/>
      <c r="C155" s="2" t="n"/>
      <c r="D155" s="2" t="n"/>
    </row>
    <row r="156" ht="15.75" customHeight="1" s="82">
      <c r="A156" s="2" t="n"/>
      <c r="B156" s="2" t="n"/>
      <c r="C156" s="2" t="n"/>
      <c r="D156" s="2" t="n"/>
    </row>
    <row r="157" ht="15.75" customHeight="1" s="82">
      <c r="A157" s="2" t="n"/>
      <c r="B157" s="2" t="n"/>
      <c r="C157" s="2" t="n"/>
      <c r="D157" s="2" t="n"/>
    </row>
    <row r="158" ht="15.75" customHeight="1" s="82">
      <c r="A158" s="2" t="n"/>
      <c r="B158" s="2" t="n"/>
      <c r="C158" s="2" t="n"/>
      <c r="D158" s="2" t="n"/>
    </row>
    <row r="159" ht="15.75" customHeight="1" s="82">
      <c r="A159" s="2" t="n"/>
      <c r="B159" s="2" t="n"/>
      <c r="C159" s="2" t="n"/>
      <c r="D159" s="2" t="n"/>
    </row>
    <row r="160" ht="15.75" customHeight="1" s="82">
      <c r="A160" s="2" t="n"/>
      <c r="B160" s="2" t="n"/>
      <c r="C160" s="2" t="n"/>
      <c r="D160" s="2" t="n"/>
    </row>
    <row r="161" ht="15.75" customHeight="1" s="82">
      <c r="A161" s="2" t="n"/>
      <c r="B161" s="2" t="n"/>
      <c r="C161" s="2" t="n"/>
      <c r="D161" s="2" t="n"/>
    </row>
    <row r="162" ht="15.75" customHeight="1" s="82">
      <c r="A162" s="2" t="n"/>
      <c r="B162" s="2" t="n"/>
      <c r="C162" s="2" t="n"/>
      <c r="D162" s="2" t="n"/>
    </row>
    <row r="163" ht="15.75" customHeight="1" s="82">
      <c r="A163" s="2" t="n"/>
      <c r="B163" s="2" t="n"/>
      <c r="C163" s="2" t="n"/>
      <c r="D163" s="2" t="n"/>
    </row>
    <row r="164" ht="15.75" customHeight="1" s="82">
      <c r="A164" s="2" t="n"/>
      <c r="B164" s="2" t="n"/>
      <c r="C164" s="2" t="n"/>
      <c r="D164" s="2" t="n"/>
    </row>
    <row r="165" ht="15.75" customHeight="1" s="82">
      <c r="A165" s="2" t="n"/>
      <c r="B165" s="2" t="n"/>
      <c r="C165" s="2" t="n"/>
      <c r="D165" s="2" t="n"/>
    </row>
    <row r="166" ht="15.75" customHeight="1" s="82">
      <c r="A166" s="2" t="n"/>
      <c r="B166" s="2" t="n"/>
      <c r="C166" s="2" t="n"/>
      <c r="D166" s="2" t="n"/>
    </row>
    <row r="167" ht="15.75" customHeight="1" s="82">
      <c r="A167" s="2" t="n"/>
      <c r="B167" s="2" t="n"/>
      <c r="C167" s="2" t="n"/>
      <c r="D167" s="2" t="n"/>
    </row>
    <row r="168" ht="15.75" customHeight="1" s="82">
      <c r="A168" s="2" t="n"/>
      <c r="B168" s="2" t="n"/>
      <c r="C168" s="2" t="n"/>
      <c r="D168" s="2" t="n"/>
    </row>
    <row r="169" ht="15.75" customHeight="1" s="82">
      <c r="A169" s="2" t="n"/>
      <c r="B169" s="2" t="n"/>
      <c r="C169" s="2" t="n"/>
      <c r="D169" s="2" t="n"/>
    </row>
    <row r="170" ht="15.75" customHeight="1" s="82">
      <c r="A170" s="2" t="n"/>
      <c r="B170" s="2" t="n"/>
      <c r="C170" s="2" t="n"/>
      <c r="D170" s="2" t="n"/>
    </row>
    <row r="171" ht="15.75" customHeight="1" s="82">
      <c r="A171" s="2" t="n"/>
      <c r="B171" s="2" t="n"/>
      <c r="C171" s="2" t="n"/>
      <c r="D171" s="2" t="n"/>
    </row>
    <row r="172" ht="15.75" customHeight="1" s="82">
      <c r="A172" s="2" t="n"/>
      <c r="B172" s="2" t="n"/>
      <c r="C172" s="2" t="n"/>
      <c r="D172" s="2" t="n"/>
    </row>
    <row r="173" ht="15.75" customHeight="1" s="82">
      <c r="A173" s="2" t="n"/>
      <c r="B173" s="2" t="n"/>
      <c r="C173" s="2" t="n"/>
      <c r="D173" s="2" t="n"/>
    </row>
    <row r="174" ht="15.75" customHeight="1" s="82">
      <c r="A174" s="2" t="n"/>
      <c r="B174" s="2" t="n"/>
      <c r="C174" s="2" t="n"/>
      <c r="D174" s="2" t="n"/>
    </row>
    <row r="175" ht="15.75" customHeight="1" s="82">
      <c r="A175" s="2" t="n"/>
      <c r="B175" s="2" t="n"/>
      <c r="C175" s="2" t="n"/>
      <c r="D175" s="2" t="n"/>
    </row>
    <row r="176" ht="15.75" customHeight="1" s="82">
      <c r="A176" s="2" t="n"/>
      <c r="B176" s="2" t="n"/>
      <c r="C176" s="2" t="n"/>
      <c r="D176" s="2" t="n"/>
    </row>
    <row r="177" ht="15.75" customHeight="1" s="82">
      <c r="A177" s="2" t="n"/>
      <c r="B177" s="2" t="n"/>
      <c r="C177" s="2" t="n"/>
      <c r="D177" s="2" t="n"/>
    </row>
    <row r="178" ht="15.75" customHeight="1" s="82">
      <c r="A178" s="2" t="n"/>
      <c r="B178" s="2" t="n"/>
      <c r="C178" s="2" t="n"/>
      <c r="D178" s="2" t="n"/>
    </row>
    <row r="179" ht="15.75" customHeight="1" s="82">
      <c r="A179" s="2" t="n"/>
      <c r="B179" s="2" t="n"/>
      <c r="C179" s="2" t="n"/>
      <c r="D179" s="2" t="n"/>
    </row>
    <row r="180" ht="15.75" customHeight="1" s="82">
      <c r="A180" s="2" t="n"/>
      <c r="B180" s="2" t="n"/>
      <c r="C180" s="2" t="n"/>
      <c r="D180" s="2" t="n"/>
    </row>
    <row r="181" ht="15.75" customHeight="1" s="82">
      <c r="A181" s="2" t="n"/>
      <c r="B181" s="2" t="n"/>
      <c r="C181" s="2" t="n"/>
      <c r="D181" s="2" t="n"/>
    </row>
    <row r="182" ht="15.75" customHeight="1" s="82">
      <c r="A182" s="2" t="n"/>
      <c r="B182" s="2" t="n"/>
      <c r="C182" s="2" t="n"/>
      <c r="D182" s="2" t="n"/>
    </row>
    <row r="183" ht="15.75" customHeight="1" s="82">
      <c r="A183" s="2" t="n"/>
      <c r="B183" s="2" t="n"/>
      <c r="C183" s="2" t="n"/>
      <c r="D183" s="2" t="n"/>
    </row>
    <row r="184" ht="15.75" customHeight="1" s="82">
      <c r="A184" s="2" t="n"/>
      <c r="B184" s="2" t="n"/>
      <c r="C184" s="2" t="n"/>
      <c r="D184" s="2" t="n"/>
    </row>
    <row r="185" ht="15.75" customHeight="1" s="82">
      <c r="A185" s="2" t="n"/>
      <c r="B185" s="2" t="n"/>
      <c r="C185" s="2" t="n"/>
      <c r="D185" s="2" t="n"/>
    </row>
    <row r="186" ht="15.75" customHeight="1" s="82">
      <c r="A186" s="2" t="n"/>
      <c r="B186" s="2" t="n"/>
      <c r="C186" s="2" t="n"/>
      <c r="D186" s="2" t="n"/>
    </row>
    <row r="187" ht="15.75" customHeight="1" s="82">
      <c r="A187" s="2" t="n"/>
      <c r="B187" s="2" t="n"/>
      <c r="C187" s="2" t="n"/>
      <c r="D187" s="2" t="n"/>
    </row>
    <row r="188" ht="15.75" customHeight="1" s="82">
      <c r="A188" s="2" t="n"/>
      <c r="B188" s="2" t="n"/>
      <c r="C188" s="2" t="n"/>
      <c r="D188" s="2" t="n"/>
    </row>
    <row r="189" ht="15.75" customHeight="1" s="82">
      <c r="A189" s="2" t="n"/>
      <c r="B189" s="2" t="n"/>
      <c r="C189" s="2" t="n"/>
      <c r="D189" s="2" t="n"/>
    </row>
    <row r="190" ht="15.75" customHeight="1" s="82">
      <c r="A190" s="2" t="n"/>
      <c r="B190" s="2" t="n"/>
      <c r="C190" s="2" t="n"/>
      <c r="D190" s="2" t="n"/>
    </row>
    <row r="191" ht="15.75" customHeight="1" s="82">
      <c r="A191" s="2" t="n"/>
      <c r="B191" s="2" t="n"/>
      <c r="C191" s="2" t="n"/>
      <c r="D191" s="2" t="n"/>
    </row>
    <row r="192" ht="15.75" customHeight="1" s="82">
      <c r="A192" s="2" t="n"/>
      <c r="B192" s="2" t="n"/>
      <c r="C192" s="2" t="n"/>
      <c r="D192" s="2" t="n"/>
    </row>
    <row r="193" ht="15.75" customHeight="1" s="82">
      <c r="A193" s="2" t="n"/>
      <c r="B193" s="2" t="n"/>
      <c r="C193" s="2" t="n"/>
      <c r="D193" s="2" t="n"/>
    </row>
    <row r="194" ht="15.75" customHeight="1" s="82">
      <c r="A194" s="2" t="n"/>
      <c r="B194" s="2" t="n"/>
      <c r="C194" s="2" t="n"/>
      <c r="D194" s="2" t="n"/>
    </row>
    <row r="195" ht="15.75" customHeight="1" s="82">
      <c r="A195" s="2" t="n"/>
      <c r="B195" s="2" t="n"/>
      <c r="C195" s="2" t="n"/>
      <c r="D195" s="2" t="n"/>
    </row>
    <row r="196" ht="15.75" customHeight="1" s="82">
      <c r="A196" s="2" t="n"/>
      <c r="B196" s="2" t="n"/>
      <c r="C196" s="2" t="n"/>
      <c r="D196" s="2" t="n"/>
    </row>
    <row r="197" ht="15.75" customHeight="1" s="82">
      <c r="A197" s="2" t="n"/>
      <c r="B197" s="2" t="n"/>
      <c r="C197" s="2" t="n"/>
      <c r="D197" s="2" t="n"/>
    </row>
    <row r="198" ht="15.75" customHeight="1" s="82">
      <c r="A198" s="2" t="n"/>
      <c r="B198" s="2" t="n"/>
      <c r="C198" s="2" t="n"/>
      <c r="D198" s="2" t="n"/>
    </row>
    <row r="199" ht="15.75" customHeight="1" s="82">
      <c r="A199" s="2" t="n"/>
      <c r="B199" s="2" t="n"/>
      <c r="C199" s="2" t="n"/>
      <c r="D199" s="2" t="n"/>
    </row>
    <row r="200" ht="15.75" customHeight="1" s="82">
      <c r="A200" s="2" t="n"/>
      <c r="B200" s="2" t="n"/>
      <c r="C200" s="2" t="n"/>
      <c r="D200" s="2" t="n"/>
    </row>
    <row r="201" ht="15.75" customHeight="1" s="82">
      <c r="A201" s="2" t="n"/>
      <c r="B201" s="2" t="n"/>
      <c r="C201" s="2" t="n"/>
      <c r="D201" s="2" t="n"/>
    </row>
    <row r="202" ht="15.75" customHeight="1" s="82">
      <c r="A202" s="2" t="n"/>
      <c r="B202" s="2" t="n"/>
      <c r="C202" s="2" t="n"/>
      <c r="D202" s="2" t="n"/>
    </row>
    <row r="203" ht="15.75" customHeight="1" s="82">
      <c r="A203" s="2" t="n"/>
      <c r="B203" s="2" t="n"/>
      <c r="C203" s="2" t="n"/>
      <c r="D203" s="2" t="n"/>
    </row>
    <row r="204" ht="15.75" customHeight="1" s="82">
      <c r="A204" s="2" t="n"/>
      <c r="B204" s="2" t="n"/>
      <c r="C204" s="2" t="n"/>
      <c r="D204" s="2" t="n"/>
    </row>
    <row r="205" ht="15.75" customHeight="1" s="82">
      <c r="A205" s="2" t="n"/>
      <c r="B205" s="2" t="n"/>
      <c r="C205" s="2" t="n"/>
      <c r="D205" s="2" t="n"/>
    </row>
    <row r="206" ht="15.75" customHeight="1" s="82">
      <c r="A206" s="2" t="n"/>
      <c r="B206" s="2" t="n"/>
      <c r="C206" s="2" t="n"/>
      <c r="D206" s="2" t="n"/>
    </row>
    <row r="207" ht="15.75" customHeight="1" s="82">
      <c r="A207" s="2" t="n"/>
      <c r="B207" s="2" t="n"/>
      <c r="C207" s="2" t="n"/>
      <c r="D207" s="2" t="n"/>
    </row>
    <row r="208" ht="15.75" customHeight="1" s="82">
      <c r="A208" s="2" t="n"/>
      <c r="B208" s="2" t="n"/>
      <c r="C208" s="2" t="n"/>
      <c r="D208" s="2" t="n"/>
    </row>
    <row r="209" ht="15.75" customHeight="1" s="82">
      <c r="A209" s="2" t="n"/>
      <c r="B209" s="2" t="n"/>
      <c r="C209" s="2" t="n"/>
      <c r="D209" s="2" t="n"/>
    </row>
    <row r="210" ht="15.75" customHeight="1" s="82">
      <c r="A210" s="2" t="n"/>
      <c r="B210" s="2" t="n"/>
      <c r="C210" s="2" t="n"/>
      <c r="D210" s="2" t="n"/>
    </row>
    <row r="211" ht="15.75" customHeight="1" s="82">
      <c r="A211" s="2" t="n"/>
      <c r="B211" s="2" t="n"/>
      <c r="C211" s="2" t="n"/>
      <c r="D211" s="2" t="n"/>
    </row>
    <row r="212" ht="15.75" customHeight="1" s="82">
      <c r="A212" s="2" t="n"/>
      <c r="B212" s="2" t="n"/>
      <c r="C212" s="2" t="n"/>
      <c r="D212" s="2" t="n"/>
    </row>
    <row r="213" ht="15.75" customHeight="1" s="82">
      <c r="A213" s="2" t="n"/>
      <c r="B213" s="2" t="n"/>
      <c r="C213" s="2" t="n"/>
      <c r="D213" s="2" t="n"/>
    </row>
    <row r="214" ht="15.75" customHeight="1" s="82">
      <c r="A214" s="2" t="n"/>
      <c r="B214" s="2" t="n"/>
      <c r="C214" s="2" t="n"/>
      <c r="D214" s="2" t="n"/>
    </row>
    <row r="215" ht="15.75" customHeight="1" s="82">
      <c r="A215" s="2" t="n"/>
      <c r="B215" s="2" t="n"/>
      <c r="C215" s="2" t="n"/>
      <c r="D215" s="2" t="n"/>
    </row>
    <row r="216" ht="15.75" customHeight="1" s="82">
      <c r="A216" s="2" t="n"/>
      <c r="B216" s="2" t="n"/>
      <c r="C216" s="2" t="n"/>
      <c r="D216" s="2" t="n"/>
    </row>
    <row r="217" ht="15.75" customHeight="1" s="82">
      <c r="A217" s="2" t="n"/>
      <c r="B217" s="2" t="n"/>
      <c r="C217" s="2" t="n"/>
      <c r="D217" s="2" t="n"/>
    </row>
    <row r="218" ht="15.75" customHeight="1" s="82">
      <c r="A218" s="2" t="n"/>
      <c r="B218" s="2" t="n"/>
      <c r="C218" s="2" t="n"/>
      <c r="D218" s="2" t="n"/>
    </row>
    <row r="219" ht="15.75" customHeight="1" s="82">
      <c r="A219" s="2" t="n"/>
      <c r="B219" s="2" t="n"/>
      <c r="C219" s="2" t="n"/>
      <c r="D219" s="2" t="n"/>
    </row>
    <row r="220" ht="15.75" customHeight="1" s="82">
      <c r="A220" s="2" t="n"/>
      <c r="B220" s="2" t="n"/>
      <c r="C220" s="2" t="n"/>
      <c r="D220" s="2" t="n"/>
    </row>
    <row r="221" ht="15.75" customHeight="1" s="82">
      <c r="A221" s="2" t="n"/>
      <c r="B221" s="2" t="n"/>
      <c r="C221" s="2" t="n"/>
      <c r="D221" s="2" t="n"/>
    </row>
    <row r="222" ht="15.75" customHeight="1" s="82">
      <c r="A222" s="2" t="n"/>
      <c r="B222" s="2" t="n"/>
      <c r="C222" s="2" t="n"/>
      <c r="D222" s="2" t="n"/>
    </row>
    <row r="223" ht="15.75" customHeight="1" s="82">
      <c r="A223" s="2" t="n"/>
      <c r="B223" s="2" t="n"/>
      <c r="C223" s="2" t="n"/>
      <c r="D223" s="2" t="n"/>
    </row>
    <row r="224" ht="15.75" customHeight="1" s="82">
      <c r="A224" s="2" t="n"/>
      <c r="B224" s="2" t="n"/>
      <c r="C224" s="2" t="n"/>
      <c r="D224" s="2" t="n"/>
    </row>
    <row r="225" ht="15.75" customHeight="1" s="82">
      <c r="A225" s="2" t="n"/>
      <c r="B225" s="2" t="n"/>
      <c r="C225" s="2" t="n"/>
      <c r="D225" s="2" t="n"/>
    </row>
    <row r="226" ht="15.75" customHeight="1" s="82">
      <c r="A226" s="2" t="n"/>
      <c r="B226" s="2" t="n"/>
      <c r="C226" s="2" t="n"/>
      <c r="D226" s="2" t="n"/>
    </row>
    <row r="227" ht="15.75" customHeight="1" s="82">
      <c r="A227" s="2" t="n"/>
      <c r="B227" s="2" t="n"/>
      <c r="C227" s="2" t="n"/>
      <c r="D227" s="2" t="n"/>
    </row>
    <row r="228" ht="15.75" customHeight="1" s="82">
      <c r="A228" s="2" t="n"/>
      <c r="B228" s="2" t="n"/>
      <c r="C228" s="2" t="n"/>
      <c r="D228" s="2" t="n"/>
    </row>
    <row r="229" ht="15.75" customHeight="1" s="82">
      <c r="A229" s="2" t="n"/>
      <c r="B229" s="2" t="n"/>
      <c r="C229" s="2" t="n"/>
      <c r="D229" s="2" t="n"/>
    </row>
    <row r="230" ht="15.75" customHeight="1" s="82">
      <c r="A230" s="2" t="n"/>
      <c r="B230" s="2" t="n"/>
      <c r="C230" s="2" t="n"/>
      <c r="D230" s="2" t="n"/>
    </row>
    <row r="231" ht="15.75" customHeight="1" s="82">
      <c r="A231" s="2" t="n"/>
      <c r="B231" s="2" t="n"/>
      <c r="C231" s="2" t="n"/>
      <c r="D231" s="2" t="n"/>
    </row>
    <row r="232" ht="15.75" customHeight="1" s="82">
      <c r="A232" s="2" t="n"/>
      <c r="B232" s="2" t="n"/>
      <c r="C232" s="2" t="n"/>
      <c r="D232" s="2" t="n"/>
    </row>
    <row r="233" ht="15.75" customHeight="1" s="82">
      <c r="A233" s="2" t="n"/>
      <c r="B233" s="2" t="n"/>
      <c r="C233" s="2" t="n"/>
      <c r="D233" s="2" t="n"/>
    </row>
    <row r="234" ht="15.75" customHeight="1" s="82">
      <c r="A234" s="2" t="n"/>
      <c r="B234" s="2" t="n"/>
      <c r="C234" s="2" t="n"/>
      <c r="D234" s="2" t="n"/>
    </row>
    <row r="235" ht="15.75" customHeight="1" s="82">
      <c r="A235" s="2" t="n"/>
      <c r="B235" s="2" t="n"/>
      <c r="C235" s="2" t="n"/>
      <c r="D235" s="2" t="n"/>
    </row>
    <row r="236" ht="15.75" customHeight="1" s="82">
      <c r="A236" s="2" t="n"/>
      <c r="B236" s="2" t="n"/>
      <c r="C236" s="2" t="n"/>
      <c r="D236" s="2" t="n"/>
    </row>
    <row r="237" ht="15.75" customHeight="1" s="82">
      <c r="A237" s="2" t="n"/>
      <c r="B237" s="2" t="n"/>
      <c r="C237" s="2" t="n"/>
      <c r="D237" s="2" t="n"/>
    </row>
    <row r="238" ht="15.75" customHeight="1" s="82">
      <c r="A238" s="2" t="n"/>
      <c r="B238" s="2" t="n"/>
      <c r="C238" s="2" t="n"/>
      <c r="D238" s="2" t="n"/>
    </row>
    <row r="239" ht="15.75" customHeight="1" s="82">
      <c r="A239" s="2" t="n"/>
      <c r="B239" s="2" t="n"/>
      <c r="C239" s="2" t="n"/>
      <c r="D239" s="2" t="n"/>
    </row>
    <row r="240" ht="15.75" customHeight="1" s="82">
      <c r="A240" s="2" t="n"/>
      <c r="B240" s="2" t="n"/>
      <c r="C240" s="2" t="n"/>
      <c r="D240" s="2" t="n"/>
    </row>
    <row r="241" ht="15.75" customHeight="1" s="82">
      <c r="A241" s="2" t="n"/>
      <c r="B241" s="2" t="n"/>
      <c r="C241" s="2" t="n"/>
      <c r="D241" s="2" t="n"/>
    </row>
    <row r="242" ht="15.75" customHeight="1" s="82">
      <c r="A242" s="2" t="n"/>
      <c r="B242" s="2" t="n"/>
      <c r="C242" s="2" t="n"/>
      <c r="D242" s="2" t="n"/>
    </row>
    <row r="243" ht="15.75" customHeight="1" s="82">
      <c r="A243" s="2" t="n"/>
      <c r="B243" s="2" t="n"/>
      <c r="C243" s="2" t="n"/>
      <c r="D243" s="2" t="n"/>
    </row>
    <row r="244" ht="15.75" customHeight="1" s="82">
      <c r="A244" s="2" t="n"/>
      <c r="B244" s="2" t="n"/>
      <c r="C244" s="2" t="n"/>
      <c r="D244" s="2" t="n"/>
    </row>
    <row r="245" ht="15.75" customHeight="1" s="82">
      <c r="A245" s="2" t="n"/>
      <c r="B245" s="2" t="n"/>
      <c r="C245" s="2" t="n"/>
      <c r="D245" s="2" t="n"/>
    </row>
    <row r="246" ht="15.75" customHeight="1" s="82">
      <c r="A246" s="2" t="n"/>
      <c r="B246" s="2" t="n"/>
      <c r="C246" s="2" t="n"/>
      <c r="D246" s="2" t="n"/>
    </row>
    <row r="247" ht="15.75" customHeight="1" s="82">
      <c r="A247" s="2" t="n"/>
      <c r="B247" s="2" t="n"/>
      <c r="C247" s="2" t="n"/>
      <c r="D247" s="2" t="n"/>
    </row>
    <row r="248" ht="15.75" customHeight="1" s="82">
      <c r="A248" s="2" t="n"/>
      <c r="B248" s="2" t="n"/>
      <c r="C248" s="2" t="n"/>
      <c r="D248" s="2" t="n"/>
    </row>
    <row r="249" ht="15.75" customHeight="1" s="82">
      <c r="A249" s="2" t="n"/>
      <c r="B249" s="2" t="n"/>
      <c r="C249" s="2" t="n"/>
      <c r="D249" s="2" t="n"/>
    </row>
    <row r="250" ht="15.75" customHeight="1" s="82">
      <c r="A250" s="2" t="n"/>
      <c r="B250" s="2" t="n"/>
      <c r="C250" s="2" t="n"/>
      <c r="D250" s="2" t="n"/>
    </row>
    <row r="251" ht="15.75" customHeight="1" s="82">
      <c r="A251" s="2" t="n"/>
      <c r="B251" s="2" t="n"/>
      <c r="C251" s="2" t="n"/>
      <c r="D251" s="2" t="n"/>
    </row>
    <row r="252" ht="15.75" customHeight="1" s="82">
      <c r="A252" s="2" t="n"/>
      <c r="B252" s="2" t="n"/>
      <c r="C252" s="2" t="n"/>
      <c r="D252" s="2" t="n"/>
    </row>
    <row r="253" ht="15.75" customHeight="1" s="82">
      <c r="A253" s="2" t="n"/>
      <c r="B253" s="2" t="n"/>
      <c r="C253" s="2" t="n"/>
      <c r="D253" s="2" t="n"/>
    </row>
    <row r="254" ht="15.75" customHeight="1" s="82">
      <c r="A254" s="2" t="n"/>
      <c r="B254" s="2" t="n"/>
      <c r="C254" s="2" t="n"/>
      <c r="D254" s="2" t="n"/>
    </row>
    <row r="255" ht="15.75" customHeight="1" s="82">
      <c r="A255" s="2" t="n"/>
      <c r="B255" s="2" t="n"/>
      <c r="C255" s="2" t="n"/>
      <c r="D255" s="2" t="n"/>
    </row>
    <row r="256" ht="15.75" customHeight="1" s="82">
      <c r="A256" s="2" t="n"/>
      <c r="B256" s="2" t="n"/>
      <c r="C256" s="2" t="n"/>
      <c r="D256" s="2" t="n"/>
    </row>
    <row r="257" ht="15.75" customHeight="1" s="82">
      <c r="A257" s="2" t="n"/>
      <c r="B257" s="2" t="n"/>
      <c r="C257" s="2" t="n"/>
      <c r="D257" s="2" t="n"/>
    </row>
    <row r="258" ht="15.75" customHeight="1" s="82">
      <c r="A258" s="2" t="n"/>
      <c r="B258" s="2" t="n"/>
      <c r="C258" s="2" t="n"/>
      <c r="D258" s="2" t="n"/>
    </row>
    <row r="259" ht="15.75" customHeight="1" s="82">
      <c r="A259" s="2" t="n"/>
      <c r="B259" s="2" t="n"/>
      <c r="C259" s="2" t="n"/>
      <c r="D259" s="2" t="n"/>
    </row>
    <row r="260" ht="15.75" customHeight="1" s="82">
      <c r="A260" s="2" t="n"/>
      <c r="B260" s="2" t="n"/>
      <c r="C260" s="2" t="n"/>
      <c r="D260" s="2" t="n"/>
    </row>
    <row r="261" ht="15.75" customHeight="1" s="82">
      <c r="A261" s="2" t="n"/>
      <c r="B261" s="2" t="n"/>
      <c r="C261" s="2" t="n"/>
      <c r="D261" s="2" t="n"/>
    </row>
    <row r="262" ht="15.75" customHeight="1" s="82">
      <c r="A262" s="2" t="n"/>
      <c r="B262" s="2" t="n"/>
      <c r="C262" s="2" t="n"/>
      <c r="D262" s="2" t="n"/>
    </row>
    <row r="263" ht="15.75" customHeight="1" s="82">
      <c r="A263" s="2" t="n"/>
      <c r="B263" s="2" t="n"/>
      <c r="C263" s="2" t="n"/>
      <c r="D263" s="2" t="n"/>
    </row>
    <row r="264" ht="15.75" customHeight="1" s="82">
      <c r="A264" s="2" t="n"/>
      <c r="B264" s="2" t="n"/>
      <c r="C264" s="2" t="n"/>
      <c r="D264" s="2" t="n"/>
    </row>
    <row r="265" ht="15.75" customHeight="1" s="82">
      <c r="A265" s="2" t="n"/>
      <c r="B265" s="2" t="n"/>
      <c r="C265" s="2" t="n"/>
      <c r="D265" s="2" t="n"/>
    </row>
    <row r="266" ht="15.75" customHeight="1" s="82">
      <c r="A266" s="2" t="n"/>
      <c r="B266" s="2" t="n"/>
      <c r="C266" s="2" t="n"/>
      <c r="D266" s="2" t="n"/>
    </row>
    <row r="267" ht="15.75" customHeight="1" s="82">
      <c r="A267" s="2" t="n"/>
      <c r="B267" s="2" t="n"/>
      <c r="C267" s="2" t="n"/>
      <c r="D267" s="2" t="n"/>
    </row>
    <row r="268" ht="15.75" customHeight="1" s="82">
      <c r="A268" s="2" t="n"/>
      <c r="B268" s="2" t="n"/>
      <c r="C268" s="2" t="n"/>
      <c r="D268" s="2" t="n"/>
    </row>
    <row r="269" ht="15.75" customHeight="1" s="82">
      <c r="A269" s="2" t="n"/>
      <c r="B269" s="2" t="n"/>
      <c r="C269" s="2" t="n"/>
      <c r="D269" s="2" t="n"/>
    </row>
    <row r="270" ht="15.75" customHeight="1" s="82">
      <c r="A270" s="2" t="n"/>
      <c r="B270" s="2" t="n"/>
      <c r="C270" s="2" t="n"/>
      <c r="D270" s="2" t="n"/>
    </row>
    <row r="271" ht="15.75" customHeight="1" s="82">
      <c r="A271" s="2" t="n"/>
      <c r="B271" s="2" t="n"/>
      <c r="C271" s="2" t="n"/>
      <c r="D271" s="2" t="n"/>
    </row>
    <row r="272" ht="15.75" customHeight="1" s="82">
      <c r="A272" s="2" t="n"/>
      <c r="B272" s="2" t="n"/>
      <c r="C272" s="2" t="n"/>
      <c r="D272" s="2" t="n"/>
    </row>
    <row r="273" ht="15.75" customHeight="1" s="82">
      <c r="A273" s="2" t="n"/>
      <c r="B273" s="2" t="n"/>
      <c r="C273" s="2" t="n"/>
      <c r="D273" s="2" t="n"/>
    </row>
    <row r="274" ht="15.75" customHeight="1" s="82">
      <c r="A274" s="2" t="n"/>
      <c r="B274" s="2" t="n"/>
      <c r="C274" s="2" t="n"/>
      <c r="D274" s="2" t="n"/>
    </row>
    <row r="275" ht="15.75" customHeight="1" s="82">
      <c r="A275" s="2" t="n"/>
      <c r="B275" s="2" t="n"/>
      <c r="C275" s="2" t="n"/>
      <c r="D275" s="2" t="n"/>
    </row>
    <row r="276" ht="15.75" customHeight="1" s="82">
      <c r="A276" s="2" t="n"/>
      <c r="B276" s="2" t="n"/>
      <c r="C276" s="2" t="n"/>
      <c r="D276" s="2" t="n"/>
    </row>
    <row r="277" ht="15.75" customHeight="1" s="82">
      <c r="A277" s="2" t="n"/>
      <c r="B277" s="2" t="n"/>
      <c r="C277" s="2" t="n"/>
      <c r="D277" s="2" t="n"/>
    </row>
    <row r="278" ht="15.75" customHeight="1" s="82">
      <c r="A278" s="2" t="n"/>
      <c r="B278" s="2" t="n"/>
      <c r="C278" s="2" t="n"/>
      <c r="D278" s="2" t="n"/>
    </row>
    <row r="279" ht="15.75" customHeight="1" s="82">
      <c r="A279" s="2" t="n"/>
      <c r="B279" s="2" t="n"/>
      <c r="C279" s="2" t="n"/>
      <c r="D279" s="2" t="n"/>
    </row>
    <row r="280" ht="15.75" customHeight="1" s="82">
      <c r="A280" s="2" t="n"/>
      <c r="B280" s="2" t="n"/>
      <c r="C280" s="2" t="n"/>
      <c r="D280" s="2" t="n"/>
    </row>
    <row r="281" ht="15.75" customHeight="1" s="82">
      <c r="A281" s="2" t="n"/>
      <c r="B281" s="2" t="n"/>
      <c r="C281" s="2" t="n"/>
      <c r="D281" s="2" t="n"/>
    </row>
    <row r="282" ht="15.75" customHeight="1" s="82">
      <c r="A282" s="2" t="n"/>
      <c r="B282" s="2" t="n"/>
      <c r="C282" s="2" t="n"/>
      <c r="D282" s="2" t="n"/>
    </row>
    <row r="283" ht="15.75" customHeight="1" s="82">
      <c r="A283" s="2" t="n"/>
      <c r="B283" s="2" t="n"/>
      <c r="C283" s="2" t="n"/>
      <c r="D283" s="2" t="n"/>
    </row>
    <row r="284" ht="15.75" customHeight="1" s="82">
      <c r="A284" s="2" t="n"/>
      <c r="B284" s="2" t="n"/>
      <c r="C284" s="2" t="n"/>
      <c r="D284" s="2" t="n"/>
    </row>
    <row r="285" ht="15.75" customHeight="1" s="82">
      <c r="A285" s="2" t="n"/>
      <c r="B285" s="2" t="n"/>
      <c r="C285" s="2" t="n"/>
      <c r="D285" s="2" t="n"/>
    </row>
    <row r="286" ht="15.75" customHeight="1" s="82">
      <c r="A286" s="2" t="n"/>
      <c r="B286" s="2" t="n"/>
      <c r="C286" s="2" t="n"/>
      <c r="D286" s="2" t="n"/>
    </row>
    <row r="287" ht="15.75" customHeight="1" s="82">
      <c r="A287" s="2" t="n"/>
      <c r="B287" s="2" t="n"/>
      <c r="C287" s="2" t="n"/>
      <c r="D287" s="2" t="n"/>
    </row>
    <row r="288" ht="15.75" customHeight="1" s="82">
      <c r="A288" s="2" t="n"/>
      <c r="B288" s="2" t="n"/>
      <c r="C288" s="2" t="n"/>
      <c r="D288" s="2" t="n"/>
    </row>
    <row r="289" ht="15.75" customHeight="1" s="82">
      <c r="A289" s="2" t="n"/>
      <c r="B289" s="2" t="n"/>
      <c r="C289" s="2" t="n"/>
      <c r="D289" s="2" t="n"/>
    </row>
    <row r="290" ht="15.75" customHeight="1" s="82">
      <c r="A290" s="2" t="n"/>
      <c r="B290" s="2" t="n"/>
      <c r="C290" s="2" t="n"/>
      <c r="D290" s="2" t="n"/>
    </row>
    <row r="291" ht="15.75" customHeight="1" s="82">
      <c r="A291" s="2" t="n"/>
      <c r="B291" s="2" t="n"/>
      <c r="C291" s="2" t="n"/>
      <c r="D291" s="2" t="n"/>
    </row>
    <row r="292" ht="15.75" customHeight="1" s="82">
      <c r="A292" s="2" t="n"/>
      <c r="B292" s="2" t="n"/>
      <c r="C292" s="2" t="n"/>
      <c r="D292" s="2" t="n"/>
    </row>
    <row r="293" ht="15.75" customHeight="1" s="82">
      <c r="A293" s="2" t="n"/>
      <c r="B293" s="2" t="n"/>
      <c r="C293" s="2" t="n"/>
      <c r="D293" s="2" t="n"/>
    </row>
    <row r="294" ht="15.75" customHeight="1" s="82">
      <c r="A294" s="2" t="n"/>
      <c r="B294" s="2" t="n"/>
      <c r="C294" s="2" t="n"/>
      <c r="D294" s="2" t="n"/>
    </row>
    <row r="295" ht="15.75" customHeight="1" s="82">
      <c r="A295" s="2" t="n"/>
      <c r="B295" s="2" t="n"/>
      <c r="C295" s="2" t="n"/>
      <c r="D295" s="2" t="n"/>
    </row>
    <row r="296" ht="15.75" customHeight="1" s="82">
      <c r="A296" s="2" t="n"/>
      <c r="B296" s="2" t="n"/>
      <c r="C296" s="2" t="n"/>
      <c r="D296" s="2" t="n"/>
    </row>
    <row r="297" ht="15.75" customHeight="1" s="82">
      <c r="A297" s="2" t="n"/>
      <c r="B297" s="2" t="n"/>
      <c r="C297" s="2" t="n"/>
      <c r="D297" s="2" t="n"/>
    </row>
    <row r="298" ht="15.75" customHeight="1" s="82">
      <c r="A298" s="2" t="n"/>
      <c r="B298" s="2" t="n"/>
      <c r="C298" s="2" t="n"/>
      <c r="D298" s="2" t="n"/>
    </row>
    <row r="299" ht="15.75" customHeight="1" s="82">
      <c r="A299" s="2" t="n"/>
      <c r="B299" s="2" t="n"/>
      <c r="C299" s="2" t="n"/>
      <c r="D299" s="2" t="n"/>
    </row>
    <row r="300" ht="15.75" customHeight="1" s="82">
      <c r="A300" s="2" t="n"/>
      <c r="B300" s="2" t="n"/>
      <c r="C300" s="2" t="n"/>
      <c r="D300" s="2" t="n"/>
    </row>
    <row r="301" ht="15.75" customHeight="1" s="82">
      <c r="A301" s="2" t="n"/>
      <c r="B301" s="2" t="n"/>
      <c r="C301" s="2" t="n"/>
      <c r="D301" s="2" t="n"/>
    </row>
    <row r="302" ht="15.75" customHeight="1" s="82">
      <c r="A302" s="2" t="n"/>
      <c r="B302" s="2" t="n"/>
      <c r="C302" s="2" t="n"/>
      <c r="D302" s="2" t="n"/>
    </row>
    <row r="303" ht="15.75" customHeight="1" s="82">
      <c r="A303" s="2" t="n"/>
      <c r="B303" s="2" t="n"/>
      <c r="C303" s="2" t="n"/>
      <c r="D303" s="2" t="n"/>
    </row>
    <row r="304" ht="15.75" customHeight="1" s="82">
      <c r="A304" s="2" t="n"/>
      <c r="B304" s="2" t="n"/>
      <c r="C304" s="2" t="n"/>
      <c r="D304" s="2" t="n"/>
    </row>
    <row r="305" ht="15.75" customHeight="1" s="82">
      <c r="A305" s="2" t="n"/>
      <c r="B305" s="2" t="n"/>
      <c r="C305" s="2" t="n"/>
      <c r="D305" s="2" t="n"/>
    </row>
    <row r="306" ht="15.75" customHeight="1" s="82">
      <c r="A306" s="2" t="n"/>
      <c r="B306" s="2" t="n"/>
      <c r="C306" s="2" t="n"/>
      <c r="D306" s="2" t="n"/>
    </row>
    <row r="307" ht="15.75" customHeight="1" s="82">
      <c r="A307" s="2" t="n"/>
      <c r="B307" s="2" t="n"/>
      <c r="C307" s="2" t="n"/>
      <c r="D307" s="2" t="n"/>
    </row>
    <row r="308" ht="15.75" customHeight="1" s="82">
      <c r="A308" s="2" t="n"/>
      <c r="B308" s="2" t="n"/>
      <c r="C308" s="2" t="n"/>
      <c r="D308" s="2" t="n"/>
    </row>
    <row r="309" ht="15.75" customHeight="1" s="82">
      <c r="A309" s="2" t="n"/>
      <c r="B309" s="2" t="n"/>
      <c r="C309" s="2" t="n"/>
      <c r="D309" s="2" t="n"/>
    </row>
    <row r="310" ht="15.75" customHeight="1" s="82">
      <c r="A310" s="2" t="n"/>
      <c r="B310" s="2" t="n"/>
      <c r="C310" s="2" t="n"/>
      <c r="D310" s="2" t="n"/>
    </row>
    <row r="311" ht="15.75" customHeight="1" s="82">
      <c r="A311" s="2" t="n"/>
      <c r="B311" s="2" t="n"/>
      <c r="C311" s="2" t="n"/>
      <c r="D311" s="2" t="n"/>
    </row>
    <row r="312" ht="15.75" customHeight="1" s="82">
      <c r="A312" s="2" t="n"/>
      <c r="B312" s="2" t="n"/>
      <c r="C312" s="2" t="n"/>
      <c r="D312" s="2" t="n"/>
    </row>
    <row r="313" ht="15.75" customHeight="1" s="82">
      <c r="A313" s="2" t="n"/>
      <c r="B313" s="2" t="n"/>
      <c r="C313" s="2" t="n"/>
      <c r="D313" s="2" t="n"/>
    </row>
    <row r="314" ht="15.75" customHeight="1" s="82">
      <c r="A314" s="2" t="n"/>
      <c r="B314" s="2" t="n"/>
      <c r="C314" s="2" t="n"/>
      <c r="D314" s="2" t="n"/>
    </row>
    <row r="315" ht="15.75" customHeight="1" s="82">
      <c r="A315" s="2" t="n"/>
      <c r="B315" s="2" t="n"/>
      <c r="C315" s="2" t="n"/>
      <c r="D315" s="2" t="n"/>
    </row>
    <row r="316" ht="15.75" customHeight="1" s="82">
      <c r="A316" s="2" t="n"/>
      <c r="B316" s="2" t="n"/>
      <c r="C316" s="2" t="n"/>
      <c r="D316" s="2" t="n"/>
    </row>
    <row r="317" ht="15.75" customHeight="1" s="82">
      <c r="A317" s="2" t="n"/>
      <c r="B317" s="2" t="n"/>
      <c r="C317" s="2" t="n"/>
      <c r="D317" s="2" t="n"/>
    </row>
    <row r="318" ht="15.75" customHeight="1" s="82">
      <c r="A318" s="2" t="n"/>
      <c r="B318" s="2" t="n"/>
      <c r="C318" s="2" t="n"/>
      <c r="D318" s="2" t="n"/>
    </row>
    <row r="319" ht="15.75" customHeight="1" s="82">
      <c r="A319" s="2" t="n"/>
      <c r="B319" s="2" t="n"/>
      <c r="C319" s="2" t="n"/>
      <c r="D319" s="2" t="n"/>
    </row>
    <row r="320" ht="15.75" customHeight="1" s="82">
      <c r="A320" s="2" t="n"/>
      <c r="B320" s="2" t="n"/>
      <c r="C320" s="2" t="n"/>
      <c r="D320" s="2" t="n"/>
    </row>
    <row r="321" ht="15.75" customHeight="1" s="82">
      <c r="A321" s="2" t="n"/>
      <c r="B321" s="2" t="n"/>
      <c r="C321" s="2" t="n"/>
      <c r="D321" s="2" t="n"/>
    </row>
    <row r="322" ht="15.75" customHeight="1" s="82">
      <c r="A322" s="2" t="n"/>
      <c r="B322" s="2" t="n"/>
      <c r="C322" s="2" t="n"/>
      <c r="D322" s="2" t="n"/>
    </row>
    <row r="323" ht="15.75" customHeight="1" s="82">
      <c r="A323" s="2" t="n"/>
      <c r="B323" s="2" t="n"/>
      <c r="C323" s="2" t="n"/>
      <c r="D323" s="2" t="n"/>
    </row>
    <row r="324" ht="15.75" customHeight="1" s="82">
      <c r="A324" s="2" t="n"/>
      <c r="B324" s="2" t="n"/>
      <c r="C324" s="2" t="n"/>
      <c r="D324" s="2" t="n"/>
    </row>
    <row r="325" ht="15.75" customHeight="1" s="82">
      <c r="A325" s="2" t="n"/>
      <c r="B325" s="2" t="n"/>
      <c r="C325" s="2" t="n"/>
      <c r="D325" s="2" t="n"/>
    </row>
    <row r="326" ht="15.75" customHeight="1" s="82">
      <c r="A326" s="2" t="n"/>
      <c r="B326" s="2" t="n"/>
      <c r="C326" s="2" t="n"/>
      <c r="D326" s="2" t="n"/>
    </row>
    <row r="327" ht="15.75" customHeight="1" s="82">
      <c r="A327" s="2" t="n"/>
      <c r="B327" s="2" t="n"/>
      <c r="C327" s="2" t="n"/>
      <c r="D327" s="2" t="n"/>
    </row>
    <row r="328" ht="15.75" customHeight="1" s="82">
      <c r="A328" s="2" t="n"/>
      <c r="B328" s="2" t="n"/>
      <c r="C328" s="2" t="n"/>
      <c r="D328" s="2" t="n"/>
    </row>
    <row r="329" ht="15.75" customHeight="1" s="82">
      <c r="A329" s="2" t="n"/>
      <c r="B329" s="2" t="n"/>
      <c r="C329" s="2" t="n"/>
      <c r="D329" s="2" t="n"/>
    </row>
    <row r="330" ht="15.75" customHeight="1" s="82">
      <c r="A330" s="2" t="n"/>
      <c r="B330" s="2" t="n"/>
      <c r="C330" s="2" t="n"/>
      <c r="D330" s="2" t="n"/>
    </row>
    <row r="331" ht="15.75" customHeight="1" s="82">
      <c r="A331" s="2" t="n"/>
      <c r="B331" s="2" t="n"/>
      <c r="C331" s="2" t="n"/>
      <c r="D331" s="2" t="n"/>
    </row>
    <row r="332" ht="15.75" customHeight="1" s="82">
      <c r="A332" s="2" t="n"/>
      <c r="B332" s="2" t="n"/>
      <c r="C332" s="2" t="n"/>
      <c r="D332" s="2" t="n"/>
    </row>
    <row r="333" ht="15.75" customHeight="1" s="82">
      <c r="A333" s="2" t="n"/>
      <c r="B333" s="2" t="n"/>
      <c r="C333" s="2" t="n"/>
      <c r="D333" s="2" t="n"/>
    </row>
    <row r="334" ht="15.75" customHeight="1" s="82">
      <c r="A334" s="2" t="n"/>
      <c r="B334" s="2" t="n"/>
      <c r="C334" s="2" t="n"/>
      <c r="D334" s="2" t="n"/>
    </row>
    <row r="335" ht="15.75" customHeight="1" s="82">
      <c r="A335" s="2" t="n"/>
      <c r="B335" s="2" t="n"/>
      <c r="C335" s="2" t="n"/>
      <c r="D335" s="2" t="n"/>
    </row>
    <row r="336" ht="15.75" customHeight="1" s="82">
      <c r="A336" s="2" t="n"/>
      <c r="B336" s="2" t="n"/>
      <c r="C336" s="2" t="n"/>
      <c r="D336" s="2" t="n"/>
    </row>
    <row r="337" ht="15.75" customHeight="1" s="82">
      <c r="A337" s="2" t="n"/>
      <c r="B337" s="2" t="n"/>
      <c r="C337" s="2" t="n"/>
      <c r="D337" s="2" t="n"/>
    </row>
    <row r="338" ht="15.75" customHeight="1" s="82">
      <c r="A338" s="2" t="n"/>
      <c r="B338" s="2" t="n"/>
      <c r="C338" s="2" t="n"/>
      <c r="D338" s="2" t="n"/>
    </row>
    <row r="339" ht="15.75" customHeight="1" s="82">
      <c r="A339" s="2" t="n"/>
      <c r="B339" s="2" t="n"/>
      <c r="C339" s="2" t="n"/>
      <c r="D339" s="2" t="n"/>
    </row>
    <row r="340" ht="15.75" customHeight="1" s="82">
      <c r="A340" s="2" t="n"/>
      <c r="B340" s="2" t="n"/>
      <c r="C340" s="2" t="n"/>
      <c r="D340" s="2" t="n"/>
    </row>
    <row r="341" ht="15.75" customHeight="1" s="82">
      <c r="A341" s="2" t="n"/>
      <c r="B341" s="2" t="n"/>
      <c r="C341" s="2" t="n"/>
      <c r="D341" s="2" t="n"/>
    </row>
    <row r="342" ht="15.75" customHeight="1" s="82">
      <c r="A342" s="2" t="n"/>
      <c r="B342" s="2" t="n"/>
      <c r="C342" s="2" t="n"/>
      <c r="D342" s="2" t="n"/>
    </row>
    <row r="343" ht="15.75" customHeight="1" s="82">
      <c r="A343" s="2" t="n"/>
      <c r="B343" s="2" t="n"/>
      <c r="C343" s="2" t="n"/>
      <c r="D343" s="2" t="n"/>
    </row>
    <row r="344" ht="15.75" customHeight="1" s="82">
      <c r="A344" s="2" t="n"/>
      <c r="B344" s="2" t="n"/>
      <c r="C344" s="2" t="n"/>
      <c r="D344" s="2" t="n"/>
    </row>
    <row r="345" ht="15.75" customHeight="1" s="82">
      <c r="A345" s="2" t="n"/>
      <c r="B345" s="2" t="n"/>
      <c r="C345" s="2" t="n"/>
      <c r="D345" s="2" t="n"/>
    </row>
    <row r="346" ht="15.75" customHeight="1" s="82">
      <c r="A346" s="2" t="n"/>
      <c r="B346" s="2" t="n"/>
      <c r="C346" s="2" t="n"/>
      <c r="D346" s="2" t="n"/>
    </row>
    <row r="347" ht="15.75" customHeight="1" s="82">
      <c r="A347" s="2" t="n"/>
      <c r="B347" s="2" t="n"/>
      <c r="C347" s="2" t="n"/>
      <c r="D347" s="2" t="n"/>
    </row>
    <row r="348" ht="15.75" customHeight="1" s="82">
      <c r="A348" s="2" t="n"/>
      <c r="B348" s="2" t="n"/>
      <c r="C348" s="2" t="n"/>
      <c r="D348" s="2" t="n"/>
    </row>
    <row r="349" ht="15.75" customHeight="1" s="82">
      <c r="A349" s="2" t="n"/>
      <c r="B349" s="2" t="n"/>
      <c r="C349" s="2" t="n"/>
      <c r="D349" s="2" t="n"/>
    </row>
    <row r="350" ht="15.75" customHeight="1" s="82">
      <c r="A350" s="2" t="n"/>
      <c r="B350" s="2" t="n"/>
      <c r="C350" s="2" t="n"/>
      <c r="D350" s="2" t="n"/>
    </row>
    <row r="351" ht="15.75" customHeight="1" s="82">
      <c r="A351" s="2" t="n"/>
      <c r="B351" s="2" t="n"/>
      <c r="C351" s="2" t="n"/>
      <c r="D351" s="2" t="n"/>
    </row>
    <row r="352" ht="15.75" customHeight="1" s="82">
      <c r="A352" s="2" t="n"/>
      <c r="B352" s="2" t="n"/>
      <c r="C352" s="2" t="n"/>
      <c r="D352" s="2" t="n"/>
    </row>
    <row r="353" ht="15.75" customHeight="1" s="82">
      <c r="A353" s="2" t="n"/>
      <c r="B353" s="2" t="n"/>
      <c r="C353" s="2" t="n"/>
      <c r="D353" s="2" t="n"/>
    </row>
    <row r="354" ht="15.75" customHeight="1" s="82">
      <c r="A354" s="2" t="n"/>
      <c r="B354" s="2" t="n"/>
      <c r="C354" s="2" t="n"/>
      <c r="D354" s="2" t="n"/>
    </row>
    <row r="355" ht="15.75" customHeight="1" s="82">
      <c r="A355" s="2" t="n"/>
      <c r="B355" s="2" t="n"/>
      <c r="C355" s="2" t="n"/>
      <c r="D355" s="2" t="n"/>
    </row>
    <row r="356" ht="15.75" customHeight="1" s="82">
      <c r="A356" s="2" t="n"/>
      <c r="B356" s="2" t="n"/>
      <c r="C356" s="2" t="n"/>
      <c r="D356" s="2" t="n"/>
    </row>
    <row r="357" ht="15.75" customHeight="1" s="82">
      <c r="A357" s="2" t="n"/>
      <c r="B357" s="2" t="n"/>
      <c r="C357" s="2" t="n"/>
      <c r="D357" s="2" t="n"/>
    </row>
    <row r="358" ht="15.75" customHeight="1" s="82">
      <c r="A358" s="2" t="n"/>
      <c r="B358" s="2" t="n"/>
      <c r="C358" s="2" t="n"/>
      <c r="D358" s="2" t="n"/>
    </row>
    <row r="359" ht="15.75" customHeight="1" s="82">
      <c r="A359" s="2" t="n"/>
      <c r="B359" s="2" t="n"/>
      <c r="C359" s="2" t="n"/>
      <c r="D359" s="2" t="n"/>
    </row>
    <row r="360" ht="15.75" customHeight="1" s="82">
      <c r="A360" s="2" t="n"/>
      <c r="B360" s="2" t="n"/>
      <c r="C360" s="2" t="n"/>
      <c r="D360" s="2" t="n"/>
    </row>
    <row r="361" ht="15.75" customHeight="1" s="82">
      <c r="A361" s="2" t="n"/>
      <c r="B361" s="2" t="n"/>
      <c r="C361" s="2" t="n"/>
      <c r="D361" s="2" t="n"/>
    </row>
    <row r="362" ht="15.75" customHeight="1" s="82">
      <c r="A362" s="2" t="n"/>
      <c r="B362" s="2" t="n"/>
      <c r="C362" s="2" t="n"/>
      <c r="D362" s="2" t="n"/>
    </row>
    <row r="363" ht="15.75" customHeight="1" s="82">
      <c r="A363" s="2" t="n"/>
      <c r="B363" s="2" t="n"/>
      <c r="C363" s="2" t="n"/>
      <c r="D363" s="2" t="n"/>
    </row>
    <row r="364" ht="15.75" customHeight="1" s="82">
      <c r="A364" s="2" t="n"/>
      <c r="B364" s="2" t="n"/>
      <c r="C364" s="2" t="n"/>
      <c r="D364" s="2" t="n"/>
    </row>
    <row r="365" ht="15.75" customHeight="1" s="82">
      <c r="A365" s="2" t="n"/>
      <c r="B365" s="2" t="n"/>
      <c r="C365" s="2" t="n"/>
      <c r="D365" s="2" t="n"/>
    </row>
    <row r="366" ht="15.75" customHeight="1" s="82">
      <c r="A366" s="2" t="n"/>
      <c r="B366" s="2" t="n"/>
      <c r="C366" s="2" t="n"/>
      <c r="D366" s="2" t="n"/>
    </row>
    <row r="367" ht="15.75" customHeight="1" s="82">
      <c r="A367" s="2" t="n"/>
      <c r="B367" s="2" t="n"/>
      <c r="C367" s="2" t="n"/>
      <c r="D367" s="2" t="n"/>
    </row>
    <row r="368" ht="15.75" customHeight="1" s="82">
      <c r="A368" s="2" t="n"/>
      <c r="B368" s="2" t="n"/>
      <c r="C368" s="2" t="n"/>
      <c r="D368" s="2" t="n"/>
    </row>
    <row r="369" ht="15.75" customHeight="1" s="82">
      <c r="A369" s="2" t="n"/>
      <c r="B369" s="2" t="n"/>
      <c r="C369" s="2" t="n"/>
      <c r="D369" s="2" t="n"/>
    </row>
    <row r="370" ht="15.75" customHeight="1" s="82">
      <c r="A370" s="2" t="n"/>
      <c r="B370" s="2" t="n"/>
      <c r="C370" s="2" t="n"/>
      <c r="D370" s="2" t="n"/>
    </row>
    <row r="371" ht="15.75" customHeight="1" s="82">
      <c r="A371" s="2" t="n"/>
      <c r="B371" s="2" t="n"/>
      <c r="C371" s="2" t="n"/>
      <c r="D371" s="2" t="n"/>
    </row>
    <row r="372" ht="15.75" customHeight="1" s="82">
      <c r="A372" s="2" t="n"/>
      <c r="B372" s="2" t="n"/>
      <c r="C372" s="2" t="n"/>
      <c r="D372" s="2" t="n"/>
    </row>
    <row r="373" ht="15.75" customHeight="1" s="82">
      <c r="A373" s="2" t="n"/>
      <c r="B373" s="2" t="n"/>
      <c r="C373" s="2" t="n"/>
      <c r="D373" s="2" t="n"/>
    </row>
    <row r="374" ht="15.75" customHeight="1" s="82">
      <c r="A374" s="2" t="n"/>
      <c r="B374" s="2" t="n"/>
      <c r="C374" s="2" t="n"/>
      <c r="D374" s="2" t="n"/>
    </row>
    <row r="375" ht="15.75" customHeight="1" s="82">
      <c r="A375" s="2" t="n"/>
      <c r="B375" s="2" t="n"/>
      <c r="C375" s="2" t="n"/>
      <c r="D375" s="2" t="n"/>
    </row>
    <row r="376" ht="15.75" customHeight="1" s="82">
      <c r="A376" s="2" t="n"/>
      <c r="B376" s="2" t="n"/>
      <c r="C376" s="2" t="n"/>
      <c r="D376" s="2" t="n"/>
    </row>
    <row r="377" ht="15.75" customHeight="1" s="82">
      <c r="A377" s="2" t="n"/>
      <c r="B377" s="2" t="n"/>
      <c r="C377" s="2" t="n"/>
      <c r="D377" s="2" t="n"/>
    </row>
    <row r="378" ht="15.75" customHeight="1" s="82">
      <c r="A378" s="2" t="n"/>
      <c r="B378" s="2" t="n"/>
      <c r="C378" s="2" t="n"/>
      <c r="D378" s="2" t="n"/>
    </row>
    <row r="379" ht="15.75" customHeight="1" s="82">
      <c r="A379" s="2" t="n"/>
      <c r="B379" s="2" t="n"/>
      <c r="C379" s="2" t="n"/>
      <c r="D379" s="2" t="n"/>
    </row>
    <row r="380" ht="15.75" customHeight="1" s="82">
      <c r="A380" s="2" t="n"/>
      <c r="B380" s="2" t="n"/>
      <c r="C380" s="2" t="n"/>
      <c r="D380" s="2" t="n"/>
    </row>
    <row r="381" ht="15.75" customHeight="1" s="82">
      <c r="A381" s="2" t="n"/>
      <c r="B381" s="2" t="n"/>
      <c r="C381" s="2" t="n"/>
      <c r="D381" s="2" t="n"/>
    </row>
    <row r="382" ht="15.75" customHeight="1" s="82">
      <c r="A382" s="2" t="n"/>
      <c r="B382" s="2" t="n"/>
      <c r="C382" s="2" t="n"/>
      <c r="D382" s="2" t="n"/>
    </row>
    <row r="383" ht="15.75" customHeight="1" s="82">
      <c r="A383" s="2" t="n"/>
      <c r="B383" s="2" t="n"/>
      <c r="C383" s="2" t="n"/>
      <c r="D383" s="2" t="n"/>
    </row>
    <row r="384" ht="15.75" customHeight="1" s="82">
      <c r="A384" s="2" t="n"/>
      <c r="B384" s="2" t="n"/>
      <c r="C384" s="2" t="n"/>
      <c r="D384" s="2" t="n"/>
    </row>
    <row r="385" ht="15.75" customHeight="1" s="82">
      <c r="A385" s="2" t="n"/>
      <c r="B385" s="2" t="n"/>
      <c r="C385" s="2" t="n"/>
      <c r="D385" s="2" t="n"/>
    </row>
    <row r="386" ht="15.75" customHeight="1" s="82">
      <c r="A386" s="2" t="n"/>
      <c r="B386" s="2" t="n"/>
      <c r="C386" s="2" t="n"/>
      <c r="D386" s="2" t="n"/>
    </row>
    <row r="387" ht="15.75" customHeight="1" s="82">
      <c r="A387" s="2" t="n"/>
      <c r="B387" s="2" t="n"/>
      <c r="C387" s="2" t="n"/>
      <c r="D387" s="2" t="n"/>
    </row>
    <row r="388" ht="15.75" customHeight="1" s="82">
      <c r="A388" s="2" t="n"/>
      <c r="B388" s="2" t="n"/>
      <c r="C388" s="2" t="n"/>
      <c r="D388" s="2" t="n"/>
    </row>
    <row r="389" ht="15.75" customHeight="1" s="82">
      <c r="A389" s="2" t="n"/>
      <c r="B389" s="2" t="n"/>
      <c r="C389" s="2" t="n"/>
      <c r="D389" s="2" t="n"/>
    </row>
    <row r="390" ht="15.75" customHeight="1" s="82">
      <c r="A390" s="2" t="n"/>
      <c r="B390" s="2" t="n"/>
      <c r="C390" s="2" t="n"/>
      <c r="D390" s="2" t="n"/>
    </row>
    <row r="391" ht="15.75" customHeight="1" s="82">
      <c r="A391" s="2" t="n"/>
      <c r="B391" s="2" t="n"/>
      <c r="C391" s="2" t="n"/>
      <c r="D391" s="2" t="n"/>
    </row>
    <row r="392" ht="15.75" customHeight="1" s="82">
      <c r="A392" s="2" t="n"/>
      <c r="B392" s="2" t="n"/>
      <c r="C392" s="2" t="n"/>
      <c r="D392" s="2" t="n"/>
    </row>
    <row r="393" ht="15.75" customHeight="1" s="82">
      <c r="A393" s="2" t="n"/>
      <c r="B393" s="2" t="n"/>
      <c r="C393" s="2" t="n"/>
      <c r="D393" s="2" t="n"/>
    </row>
    <row r="394" ht="15.75" customHeight="1" s="82">
      <c r="A394" s="2" t="n"/>
      <c r="B394" s="2" t="n"/>
      <c r="C394" s="2" t="n"/>
      <c r="D394" s="2" t="n"/>
    </row>
    <row r="395" ht="15.75" customHeight="1" s="82">
      <c r="A395" s="2" t="n"/>
      <c r="B395" s="2" t="n"/>
      <c r="C395" s="2" t="n"/>
      <c r="D395" s="2" t="n"/>
    </row>
    <row r="396" ht="15.75" customHeight="1" s="82">
      <c r="A396" s="2" t="n"/>
      <c r="B396" s="2" t="n"/>
      <c r="C396" s="2" t="n"/>
      <c r="D396" s="2" t="n"/>
    </row>
    <row r="397" ht="15.75" customHeight="1" s="82">
      <c r="A397" s="2" t="n"/>
      <c r="B397" s="2" t="n"/>
      <c r="C397" s="2" t="n"/>
      <c r="D397" s="2" t="n"/>
    </row>
    <row r="398" ht="15.75" customHeight="1" s="82">
      <c r="A398" s="2" t="n"/>
      <c r="B398" s="2" t="n"/>
      <c r="C398" s="2" t="n"/>
      <c r="D398" s="2" t="n"/>
    </row>
    <row r="399" ht="15.75" customHeight="1" s="82">
      <c r="A399" s="2" t="n"/>
      <c r="B399" s="2" t="n"/>
      <c r="C399" s="2" t="n"/>
      <c r="D399" s="2" t="n"/>
    </row>
    <row r="400" ht="15.75" customHeight="1" s="82">
      <c r="A400" s="2" t="n"/>
      <c r="B400" s="2" t="n"/>
      <c r="C400" s="2" t="n"/>
      <c r="D400" s="2" t="n"/>
    </row>
    <row r="401" ht="15.75" customHeight="1" s="82">
      <c r="A401" s="2" t="n"/>
      <c r="B401" s="2" t="n"/>
      <c r="C401" s="2" t="n"/>
      <c r="D401" s="2" t="n"/>
    </row>
    <row r="402" ht="15.75" customHeight="1" s="82">
      <c r="A402" s="2" t="n"/>
      <c r="B402" s="2" t="n"/>
      <c r="C402" s="2" t="n"/>
      <c r="D402" s="2" t="n"/>
    </row>
    <row r="403" ht="15.75" customHeight="1" s="82">
      <c r="A403" s="2" t="n"/>
      <c r="B403" s="2" t="n"/>
      <c r="C403" s="2" t="n"/>
      <c r="D403" s="2" t="n"/>
    </row>
    <row r="404" ht="15.75" customHeight="1" s="82">
      <c r="A404" s="2" t="n"/>
      <c r="B404" s="2" t="n"/>
      <c r="C404" s="2" t="n"/>
      <c r="D404" s="2" t="n"/>
    </row>
    <row r="405" ht="15.75" customHeight="1" s="82">
      <c r="A405" s="2" t="n"/>
      <c r="B405" s="2" t="n"/>
      <c r="C405" s="2" t="n"/>
      <c r="D405" s="2" t="n"/>
    </row>
    <row r="406" ht="15.75" customHeight="1" s="82">
      <c r="A406" s="2" t="n"/>
      <c r="B406" s="2" t="n"/>
      <c r="C406" s="2" t="n"/>
      <c r="D406" s="2" t="n"/>
    </row>
    <row r="407" ht="15.75" customHeight="1" s="82">
      <c r="A407" s="2" t="n"/>
      <c r="B407" s="2" t="n"/>
      <c r="C407" s="2" t="n"/>
      <c r="D407" s="2" t="n"/>
    </row>
    <row r="408" ht="15.75" customHeight="1" s="82">
      <c r="A408" s="2" t="n"/>
      <c r="B408" s="2" t="n"/>
      <c r="C408" s="2" t="n"/>
      <c r="D408" s="2" t="n"/>
    </row>
    <row r="409" ht="15.75" customHeight="1" s="82">
      <c r="A409" s="2" t="n"/>
      <c r="B409" s="2" t="n"/>
      <c r="C409" s="2" t="n"/>
      <c r="D409" s="2" t="n"/>
    </row>
    <row r="410" ht="15.75" customHeight="1" s="82">
      <c r="A410" s="2" t="n"/>
      <c r="B410" s="2" t="n"/>
      <c r="C410" s="2" t="n"/>
      <c r="D410" s="2" t="n"/>
    </row>
    <row r="411" ht="15.75" customHeight="1" s="82">
      <c r="A411" s="2" t="n"/>
      <c r="B411" s="2" t="n"/>
      <c r="C411" s="2" t="n"/>
      <c r="D411" s="2" t="n"/>
    </row>
    <row r="412" ht="15.75" customHeight="1" s="82">
      <c r="A412" s="2" t="n"/>
      <c r="B412" s="2" t="n"/>
      <c r="C412" s="2" t="n"/>
      <c r="D412" s="2" t="n"/>
    </row>
    <row r="413" ht="15.75" customHeight="1" s="82">
      <c r="A413" s="2" t="n"/>
      <c r="B413" s="2" t="n"/>
      <c r="C413" s="2" t="n"/>
      <c r="D413" s="2" t="n"/>
    </row>
    <row r="414" ht="15.75" customHeight="1" s="82">
      <c r="A414" s="2" t="n"/>
      <c r="B414" s="2" t="n"/>
      <c r="C414" s="2" t="n"/>
      <c r="D414" s="2" t="n"/>
    </row>
    <row r="415" ht="15.75" customHeight="1" s="82">
      <c r="A415" s="2" t="n"/>
      <c r="B415" s="2" t="n"/>
      <c r="C415" s="2" t="n"/>
      <c r="D415" s="2" t="n"/>
    </row>
    <row r="416" ht="15.75" customHeight="1" s="82">
      <c r="A416" s="2" t="n"/>
      <c r="B416" s="2" t="n"/>
      <c r="C416" s="2" t="n"/>
      <c r="D416" s="2" t="n"/>
    </row>
    <row r="417" ht="15.75" customHeight="1" s="82">
      <c r="A417" s="2" t="n"/>
      <c r="B417" s="2" t="n"/>
      <c r="C417" s="2" t="n"/>
      <c r="D417" s="2" t="n"/>
    </row>
    <row r="418" ht="15.75" customHeight="1" s="82">
      <c r="A418" s="2" t="n"/>
      <c r="B418" s="2" t="n"/>
      <c r="C418" s="2" t="n"/>
      <c r="D418" s="2" t="n"/>
    </row>
    <row r="419" ht="15.75" customHeight="1" s="82">
      <c r="A419" s="2" t="n"/>
      <c r="B419" s="2" t="n"/>
      <c r="C419" s="2" t="n"/>
      <c r="D419" s="2" t="n"/>
    </row>
    <row r="420" ht="15.75" customHeight="1" s="82">
      <c r="A420" s="2" t="n"/>
      <c r="B420" s="2" t="n"/>
      <c r="C420" s="2" t="n"/>
      <c r="D420" s="2" t="n"/>
    </row>
    <row r="421" ht="15.75" customHeight="1" s="82">
      <c r="A421" s="2" t="n"/>
      <c r="B421" s="2" t="n"/>
      <c r="C421" s="2" t="n"/>
      <c r="D421" s="2" t="n"/>
    </row>
    <row r="422" ht="15.75" customHeight="1" s="82">
      <c r="A422" s="2" t="n"/>
      <c r="B422" s="2" t="n"/>
      <c r="C422" s="2" t="n"/>
      <c r="D422" s="2" t="n"/>
    </row>
    <row r="423" ht="15.75" customHeight="1" s="82">
      <c r="A423" s="2" t="n"/>
      <c r="B423" s="2" t="n"/>
      <c r="C423" s="2" t="n"/>
      <c r="D423" s="2" t="n"/>
    </row>
    <row r="424" ht="15.75" customHeight="1" s="82">
      <c r="A424" s="2" t="n"/>
      <c r="B424" s="2" t="n"/>
      <c r="C424" s="2" t="n"/>
      <c r="D424" s="2" t="n"/>
    </row>
    <row r="425" ht="15.75" customHeight="1" s="82">
      <c r="A425" s="2" t="n"/>
      <c r="B425" s="2" t="n"/>
      <c r="C425" s="2" t="n"/>
      <c r="D425" s="2" t="n"/>
    </row>
    <row r="426" ht="15.75" customHeight="1" s="82">
      <c r="A426" s="2" t="n"/>
      <c r="B426" s="2" t="n"/>
      <c r="C426" s="2" t="n"/>
      <c r="D426" s="2" t="n"/>
    </row>
    <row r="427" ht="15.75" customHeight="1" s="82">
      <c r="A427" s="2" t="n"/>
      <c r="B427" s="2" t="n"/>
      <c r="C427" s="2" t="n"/>
      <c r="D427" s="2" t="n"/>
    </row>
    <row r="428" ht="15.75" customHeight="1" s="82">
      <c r="A428" s="2" t="n"/>
      <c r="B428" s="2" t="n"/>
      <c r="C428" s="2" t="n"/>
      <c r="D428" s="2" t="n"/>
    </row>
    <row r="429" ht="15.75" customHeight="1" s="82">
      <c r="A429" s="2" t="n"/>
      <c r="B429" s="2" t="n"/>
      <c r="C429" s="2" t="n"/>
      <c r="D429" s="2" t="n"/>
    </row>
    <row r="430" ht="15.75" customHeight="1" s="82">
      <c r="A430" s="2" t="n"/>
      <c r="B430" s="2" t="n"/>
      <c r="C430" s="2" t="n"/>
      <c r="D430" s="2" t="n"/>
    </row>
    <row r="431" ht="15.75" customHeight="1" s="82">
      <c r="A431" s="2" t="n"/>
      <c r="B431" s="2" t="n"/>
      <c r="C431" s="2" t="n"/>
      <c r="D431" s="2" t="n"/>
    </row>
    <row r="432" ht="15.75" customHeight="1" s="82">
      <c r="A432" s="2" t="n"/>
      <c r="B432" s="2" t="n"/>
      <c r="C432" s="2" t="n"/>
      <c r="D432" s="2" t="n"/>
    </row>
    <row r="433" ht="15.75" customHeight="1" s="82">
      <c r="A433" s="2" t="n"/>
      <c r="B433" s="2" t="n"/>
      <c r="C433" s="2" t="n"/>
      <c r="D433" s="2" t="n"/>
    </row>
    <row r="434" ht="15.75" customHeight="1" s="82">
      <c r="A434" s="2" t="n"/>
      <c r="B434" s="2" t="n"/>
      <c r="C434" s="2" t="n"/>
      <c r="D434" s="2" t="n"/>
    </row>
    <row r="435" ht="15.75" customHeight="1" s="82">
      <c r="A435" s="2" t="n"/>
      <c r="B435" s="2" t="n"/>
      <c r="C435" s="2" t="n"/>
      <c r="D435" s="2" t="n"/>
    </row>
    <row r="436" ht="15.75" customHeight="1" s="82">
      <c r="A436" s="2" t="n"/>
      <c r="B436" s="2" t="n"/>
      <c r="C436" s="2" t="n"/>
      <c r="D436" s="2" t="n"/>
    </row>
    <row r="437" ht="15.75" customHeight="1" s="82">
      <c r="A437" s="2" t="n"/>
      <c r="B437" s="2" t="n"/>
      <c r="C437" s="2" t="n"/>
      <c r="D437" s="2" t="n"/>
    </row>
    <row r="438" ht="15.75" customHeight="1" s="82">
      <c r="A438" s="2" t="n"/>
      <c r="B438" s="2" t="n"/>
      <c r="C438" s="2" t="n"/>
      <c r="D438" s="2" t="n"/>
    </row>
    <row r="439" ht="15.75" customHeight="1" s="82">
      <c r="A439" s="2" t="n"/>
      <c r="B439" s="2" t="n"/>
      <c r="C439" s="2" t="n"/>
      <c r="D439" s="2" t="n"/>
    </row>
    <row r="440" ht="15.75" customHeight="1" s="82">
      <c r="A440" s="2" t="n"/>
      <c r="B440" s="2" t="n"/>
      <c r="C440" s="2" t="n"/>
      <c r="D440" s="2" t="n"/>
    </row>
    <row r="441" ht="15.75" customHeight="1" s="82">
      <c r="A441" s="2" t="n"/>
      <c r="B441" s="2" t="n"/>
      <c r="C441" s="2" t="n"/>
      <c r="D441" s="2" t="n"/>
    </row>
    <row r="442" ht="15.75" customHeight="1" s="82">
      <c r="A442" s="2" t="n"/>
      <c r="B442" s="2" t="n"/>
      <c r="C442" s="2" t="n"/>
      <c r="D442" s="2" t="n"/>
    </row>
    <row r="443" ht="15.75" customHeight="1" s="82">
      <c r="A443" s="2" t="n"/>
      <c r="B443" s="2" t="n"/>
      <c r="C443" s="2" t="n"/>
      <c r="D443" s="2" t="n"/>
    </row>
    <row r="444" ht="15.75" customHeight="1" s="82">
      <c r="A444" s="2" t="n"/>
      <c r="B444" s="2" t="n"/>
      <c r="C444" s="2" t="n"/>
      <c r="D444" s="2" t="n"/>
    </row>
    <row r="445" ht="15.75" customHeight="1" s="82">
      <c r="A445" s="2" t="n"/>
      <c r="B445" s="2" t="n"/>
      <c r="C445" s="2" t="n"/>
      <c r="D445" s="2" t="n"/>
    </row>
    <row r="446" ht="15.75" customHeight="1" s="82">
      <c r="A446" s="2" t="n"/>
      <c r="B446" s="2" t="n"/>
      <c r="C446" s="2" t="n"/>
      <c r="D446" s="2" t="n"/>
    </row>
    <row r="447" ht="15.75" customHeight="1" s="82">
      <c r="A447" s="2" t="n"/>
      <c r="B447" s="2" t="n"/>
      <c r="C447" s="2" t="n"/>
      <c r="D447" s="2" t="n"/>
    </row>
    <row r="448" ht="15.75" customHeight="1" s="82">
      <c r="A448" s="2" t="n"/>
      <c r="B448" s="2" t="n"/>
      <c r="C448" s="2" t="n"/>
      <c r="D448" s="2" t="n"/>
    </row>
    <row r="449" ht="15.75" customHeight="1" s="82">
      <c r="A449" s="2" t="n"/>
      <c r="B449" s="2" t="n"/>
      <c r="C449" s="2" t="n"/>
      <c r="D449" s="2" t="n"/>
    </row>
    <row r="450" ht="15.75" customHeight="1" s="82">
      <c r="A450" s="2" t="n"/>
      <c r="B450" s="2" t="n"/>
      <c r="C450" s="2" t="n"/>
      <c r="D450" s="2" t="n"/>
    </row>
    <row r="451" ht="15.75" customHeight="1" s="82">
      <c r="A451" s="2" t="n"/>
      <c r="B451" s="2" t="n"/>
      <c r="C451" s="2" t="n"/>
      <c r="D451" s="2" t="n"/>
    </row>
    <row r="452" ht="15.75" customHeight="1" s="82">
      <c r="A452" s="2" t="n"/>
      <c r="B452" s="2" t="n"/>
      <c r="C452" s="2" t="n"/>
      <c r="D452" s="2" t="n"/>
    </row>
    <row r="453" ht="15.75" customHeight="1" s="82">
      <c r="A453" s="2" t="n"/>
      <c r="B453" s="2" t="n"/>
      <c r="C453" s="2" t="n"/>
      <c r="D453" s="2" t="n"/>
    </row>
    <row r="454" ht="15.75" customHeight="1" s="82">
      <c r="A454" s="2" t="n"/>
      <c r="B454" s="2" t="n"/>
      <c r="C454" s="2" t="n"/>
      <c r="D454" s="2" t="n"/>
    </row>
    <row r="455" ht="15.75" customHeight="1" s="82">
      <c r="A455" s="2" t="n"/>
      <c r="B455" s="2" t="n"/>
      <c r="C455" s="2" t="n"/>
      <c r="D455" s="2" t="n"/>
    </row>
    <row r="456" ht="15.75" customHeight="1" s="82">
      <c r="A456" s="2" t="n"/>
      <c r="B456" s="2" t="n"/>
      <c r="C456" s="2" t="n"/>
      <c r="D456" s="2" t="n"/>
    </row>
    <row r="457" ht="15.75" customHeight="1" s="82">
      <c r="A457" s="2" t="n"/>
      <c r="B457" s="2" t="n"/>
      <c r="C457" s="2" t="n"/>
      <c r="D457" s="2" t="n"/>
    </row>
    <row r="458" ht="15.75" customHeight="1" s="82">
      <c r="A458" s="2" t="n"/>
      <c r="B458" s="2" t="n"/>
      <c r="C458" s="2" t="n"/>
      <c r="D458" s="2" t="n"/>
    </row>
    <row r="459" ht="15.75" customHeight="1" s="82">
      <c r="A459" s="2" t="n"/>
      <c r="B459" s="2" t="n"/>
      <c r="C459" s="2" t="n"/>
      <c r="D459" s="2" t="n"/>
    </row>
    <row r="460" ht="15.75" customHeight="1" s="82">
      <c r="A460" s="2" t="n"/>
      <c r="B460" s="2" t="n"/>
      <c r="C460" s="2" t="n"/>
      <c r="D460" s="2" t="n"/>
    </row>
    <row r="461" ht="15.75" customHeight="1" s="82">
      <c r="A461" s="2" t="n"/>
      <c r="B461" s="2" t="n"/>
      <c r="C461" s="2" t="n"/>
      <c r="D461" s="2" t="n"/>
    </row>
    <row r="462" ht="15.75" customHeight="1" s="82">
      <c r="A462" s="2" t="n"/>
      <c r="B462" s="2" t="n"/>
      <c r="C462" s="2" t="n"/>
      <c r="D462" s="2" t="n"/>
    </row>
    <row r="463" ht="15.75" customHeight="1" s="82">
      <c r="A463" s="2" t="n"/>
      <c r="B463" s="2" t="n"/>
      <c r="C463" s="2" t="n"/>
      <c r="D463" s="2" t="n"/>
    </row>
    <row r="464" ht="15.75" customHeight="1" s="82">
      <c r="A464" s="2" t="n"/>
      <c r="B464" s="2" t="n"/>
      <c r="C464" s="2" t="n"/>
      <c r="D464" s="2" t="n"/>
    </row>
    <row r="465" ht="15.75" customHeight="1" s="82">
      <c r="A465" s="2" t="n"/>
      <c r="B465" s="2" t="n"/>
      <c r="C465" s="2" t="n"/>
      <c r="D465" s="2" t="n"/>
    </row>
    <row r="466" ht="15.75" customHeight="1" s="82">
      <c r="A466" s="2" t="n"/>
      <c r="B466" s="2" t="n"/>
      <c r="C466" s="2" t="n"/>
      <c r="D466" s="2" t="n"/>
    </row>
    <row r="467" ht="15.75" customHeight="1" s="82">
      <c r="A467" s="2" t="n"/>
      <c r="B467" s="2" t="n"/>
      <c r="C467" s="2" t="n"/>
      <c r="D467" s="2" t="n"/>
    </row>
    <row r="468" ht="15.75" customHeight="1" s="82">
      <c r="A468" s="2" t="n"/>
      <c r="B468" s="2" t="n"/>
      <c r="C468" s="2" t="n"/>
      <c r="D468" s="2" t="n"/>
    </row>
    <row r="469" ht="15.75" customHeight="1" s="82">
      <c r="A469" s="2" t="n"/>
      <c r="B469" s="2" t="n"/>
      <c r="C469" s="2" t="n"/>
      <c r="D469" s="2" t="n"/>
    </row>
    <row r="470" ht="15.75" customHeight="1" s="82">
      <c r="A470" s="2" t="n"/>
      <c r="B470" s="2" t="n"/>
      <c r="C470" s="2" t="n"/>
      <c r="D470" s="2" t="n"/>
    </row>
    <row r="471" ht="15.75" customHeight="1" s="82">
      <c r="A471" s="2" t="n"/>
      <c r="B471" s="2" t="n"/>
      <c r="C471" s="2" t="n"/>
      <c r="D471" s="2" t="n"/>
    </row>
    <row r="472" ht="15.75" customHeight="1" s="82">
      <c r="A472" s="2" t="n"/>
      <c r="B472" s="2" t="n"/>
      <c r="C472" s="2" t="n"/>
      <c r="D472" s="2" t="n"/>
    </row>
    <row r="473" ht="15.75" customHeight="1" s="82">
      <c r="A473" s="2" t="n"/>
      <c r="B473" s="2" t="n"/>
      <c r="C473" s="2" t="n"/>
      <c r="D473" s="2" t="n"/>
    </row>
    <row r="474" ht="15.75" customHeight="1" s="82">
      <c r="A474" s="2" t="n"/>
      <c r="B474" s="2" t="n"/>
      <c r="C474" s="2" t="n"/>
      <c r="D474" s="2" t="n"/>
    </row>
    <row r="475" ht="15.75" customHeight="1" s="82">
      <c r="A475" s="2" t="n"/>
      <c r="B475" s="2" t="n"/>
      <c r="C475" s="2" t="n"/>
      <c r="D475" s="2" t="n"/>
    </row>
    <row r="476" ht="15.75" customHeight="1" s="82">
      <c r="A476" s="2" t="n"/>
      <c r="B476" s="2" t="n"/>
      <c r="C476" s="2" t="n"/>
      <c r="D476" s="2" t="n"/>
    </row>
    <row r="477" ht="15.75" customHeight="1" s="82">
      <c r="A477" s="2" t="n"/>
      <c r="B477" s="2" t="n"/>
      <c r="C477" s="2" t="n"/>
      <c r="D477" s="2" t="n"/>
    </row>
    <row r="478" ht="15.75" customHeight="1" s="82">
      <c r="A478" s="2" t="n"/>
      <c r="B478" s="2" t="n"/>
      <c r="C478" s="2" t="n"/>
      <c r="D478" s="2" t="n"/>
    </row>
    <row r="479" ht="15.75" customHeight="1" s="82">
      <c r="A479" s="2" t="n"/>
      <c r="B479" s="2" t="n"/>
      <c r="C479" s="2" t="n"/>
      <c r="D479" s="2" t="n"/>
    </row>
    <row r="480" ht="15.75" customHeight="1" s="82">
      <c r="A480" s="2" t="n"/>
      <c r="B480" s="2" t="n"/>
      <c r="C480" s="2" t="n"/>
      <c r="D480" s="2" t="n"/>
    </row>
    <row r="481" ht="15.75" customHeight="1" s="82">
      <c r="A481" s="2" t="n"/>
      <c r="B481" s="2" t="n"/>
      <c r="C481" s="2" t="n"/>
      <c r="D481" s="2" t="n"/>
    </row>
    <row r="482" ht="15.75" customHeight="1" s="82">
      <c r="A482" s="2" t="n"/>
      <c r="B482" s="2" t="n"/>
      <c r="C482" s="2" t="n"/>
      <c r="D482" s="2" t="n"/>
    </row>
    <row r="483" ht="15.75" customHeight="1" s="82">
      <c r="A483" s="2" t="n"/>
      <c r="B483" s="2" t="n"/>
      <c r="C483" s="2" t="n"/>
      <c r="D483" s="2" t="n"/>
    </row>
    <row r="484" ht="15.75" customHeight="1" s="82">
      <c r="A484" s="2" t="n"/>
      <c r="B484" s="2" t="n"/>
      <c r="C484" s="2" t="n"/>
      <c r="D484" s="2" t="n"/>
    </row>
    <row r="485" ht="15.75" customHeight="1" s="82">
      <c r="A485" s="2" t="n"/>
      <c r="B485" s="2" t="n"/>
      <c r="C485" s="2" t="n"/>
      <c r="D485" s="2" t="n"/>
    </row>
    <row r="486" ht="15.75" customHeight="1" s="82">
      <c r="A486" s="2" t="n"/>
      <c r="B486" s="2" t="n"/>
      <c r="C486" s="2" t="n"/>
      <c r="D486" s="2" t="n"/>
    </row>
    <row r="487" ht="15.75" customHeight="1" s="82">
      <c r="A487" s="2" t="n"/>
      <c r="B487" s="2" t="n"/>
      <c r="C487" s="2" t="n"/>
      <c r="D487" s="2" t="n"/>
    </row>
    <row r="488" ht="15.75" customHeight="1" s="82">
      <c r="A488" s="2" t="n"/>
      <c r="B488" s="2" t="n"/>
      <c r="C488" s="2" t="n"/>
      <c r="D488" s="2" t="n"/>
    </row>
    <row r="489" ht="15.75" customHeight="1" s="82">
      <c r="A489" s="2" t="n"/>
      <c r="B489" s="2" t="n"/>
      <c r="C489" s="2" t="n"/>
      <c r="D489" s="2" t="n"/>
    </row>
    <row r="490" ht="15.75" customHeight="1" s="82">
      <c r="A490" s="2" t="n"/>
      <c r="B490" s="2" t="n"/>
      <c r="C490" s="2" t="n"/>
      <c r="D490" s="2" t="n"/>
    </row>
    <row r="491" ht="15.75" customHeight="1" s="82">
      <c r="A491" s="2" t="n"/>
      <c r="B491" s="2" t="n"/>
      <c r="C491" s="2" t="n"/>
      <c r="D491" s="2" t="n"/>
    </row>
    <row r="492" ht="15.75" customHeight="1" s="82">
      <c r="A492" s="2" t="n"/>
      <c r="B492" s="2" t="n"/>
      <c r="C492" s="2" t="n"/>
      <c r="D492" s="2" t="n"/>
    </row>
    <row r="493" ht="15.75" customHeight="1" s="82">
      <c r="A493" s="2" t="n"/>
      <c r="B493" s="2" t="n"/>
      <c r="C493" s="2" t="n"/>
      <c r="D493" s="2" t="n"/>
    </row>
    <row r="494" ht="15.75" customHeight="1" s="82">
      <c r="A494" s="2" t="n"/>
      <c r="B494" s="2" t="n"/>
      <c r="C494" s="2" t="n"/>
      <c r="D494" s="2" t="n"/>
    </row>
    <row r="495" ht="15.75" customHeight="1" s="82">
      <c r="A495" s="2" t="n"/>
      <c r="B495" s="2" t="n"/>
      <c r="C495" s="2" t="n"/>
      <c r="D495" s="2" t="n"/>
    </row>
    <row r="496" ht="15.75" customHeight="1" s="82">
      <c r="A496" s="2" t="n"/>
      <c r="B496" s="2" t="n"/>
      <c r="C496" s="2" t="n"/>
      <c r="D496" s="2" t="n"/>
    </row>
    <row r="497" ht="15.75" customHeight="1" s="82">
      <c r="A497" s="2" t="n"/>
      <c r="B497" s="2" t="n"/>
      <c r="C497" s="2" t="n"/>
      <c r="D497" s="2" t="n"/>
    </row>
    <row r="498" ht="15.75" customHeight="1" s="82">
      <c r="A498" s="2" t="n"/>
      <c r="B498" s="2" t="n"/>
      <c r="C498" s="2" t="n"/>
      <c r="D498" s="2" t="n"/>
    </row>
    <row r="499" ht="15.75" customHeight="1" s="82">
      <c r="A499" s="2" t="n"/>
      <c r="B499" s="2" t="n"/>
      <c r="C499" s="2" t="n"/>
      <c r="D499" s="2" t="n"/>
    </row>
    <row r="500" ht="15.75" customHeight="1" s="82">
      <c r="A500" s="2" t="n"/>
      <c r="B500" s="2" t="n"/>
      <c r="C500" s="2" t="n"/>
      <c r="D500" s="2" t="n"/>
    </row>
    <row r="501" ht="15.75" customHeight="1" s="82">
      <c r="A501" s="2" t="n"/>
      <c r="B501" s="2" t="n"/>
      <c r="C501" s="2" t="n"/>
      <c r="D501" s="2" t="n"/>
    </row>
    <row r="502" ht="15.75" customHeight="1" s="82">
      <c r="A502" s="2" t="n"/>
      <c r="B502" s="2" t="n"/>
      <c r="C502" s="2" t="n"/>
      <c r="D502" s="2" t="n"/>
    </row>
    <row r="503" ht="15.75" customHeight="1" s="82">
      <c r="A503" s="2" t="n"/>
      <c r="B503" s="2" t="n"/>
      <c r="C503" s="2" t="n"/>
      <c r="D503" s="2" t="n"/>
    </row>
    <row r="504" ht="15.75" customHeight="1" s="82">
      <c r="A504" s="2" t="n"/>
      <c r="B504" s="2" t="n"/>
      <c r="C504" s="2" t="n"/>
      <c r="D504" s="2" t="n"/>
    </row>
    <row r="505" ht="15.75" customHeight="1" s="82">
      <c r="A505" s="2" t="n"/>
      <c r="B505" s="2" t="n"/>
      <c r="C505" s="2" t="n"/>
      <c r="D505" s="2" t="n"/>
    </row>
    <row r="506" ht="15.75" customHeight="1" s="82">
      <c r="A506" s="2" t="n"/>
      <c r="B506" s="2" t="n"/>
      <c r="C506" s="2" t="n"/>
      <c r="D506" s="2" t="n"/>
    </row>
    <row r="507" ht="15.75" customHeight="1" s="82">
      <c r="A507" s="2" t="n"/>
      <c r="B507" s="2" t="n"/>
      <c r="C507" s="2" t="n"/>
      <c r="D507" s="2" t="n"/>
    </row>
    <row r="508" ht="15.75" customHeight="1" s="82">
      <c r="A508" s="2" t="n"/>
      <c r="B508" s="2" t="n"/>
      <c r="C508" s="2" t="n"/>
      <c r="D508" s="2" t="n"/>
    </row>
    <row r="509" ht="15.75" customHeight="1" s="82">
      <c r="A509" s="2" t="n"/>
      <c r="B509" s="2" t="n"/>
      <c r="C509" s="2" t="n"/>
      <c r="D509" s="2" t="n"/>
    </row>
    <row r="510" ht="15.75" customHeight="1" s="82">
      <c r="A510" s="2" t="n"/>
      <c r="B510" s="2" t="n"/>
      <c r="C510" s="2" t="n"/>
      <c r="D510" s="2" t="n"/>
    </row>
    <row r="511" ht="15.75" customHeight="1" s="82">
      <c r="A511" s="2" t="n"/>
      <c r="B511" s="2" t="n"/>
      <c r="C511" s="2" t="n"/>
      <c r="D511" s="2" t="n"/>
    </row>
    <row r="512" ht="15.75" customHeight="1" s="82">
      <c r="A512" s="2" t="n"/>
      <c r="B512" s="2" t="n"/>
      <c r="C512" s="2" t="n"/>
      <c r="D512" s="2" t="n"/>
    </row>
    <row r="513" ht="15.75" customHeight="1" s="82">
      <c r="A513" s="2" t="n"/>
      <c r="B513" s="2" t="n"/>
      <c r="C513" s="2" t="n"/>
      <c r="D513" s="2" t="n"/>
    </row>
    <row r="514" ht="15.75" customHeight="1" s="82">
      <c r="A514" s="2" t="n"/>
      <c r="B514" s="2" t="n"/>
      <c r="C514" s="2" t="n"/>
      <c r="D514" s="2" t="n"/>
    </row>
    <row r="515" ht="15.75" customHeight="1" s="82">
      <c r="A515" s="2" t="n"/>
      <c r="B515" s="2" t="n"/>
      <c r="C515" s="2" t="n"/>
      <c r="D515" s="2" t="n"/>
    </row>
    <row r="516" ht="15.75" customHeight="1" s="82">
      <c r="A516" s="2" t="n"/>
      <c r="B516" s="2" t="n"/>
      <c r="C516" s="2" t="n"/>
      <c r="D516" s="2" t="n"/>
    </row>
    <row r="517" ht="15.75" customHeight="1" s="82">
      <c r="A517" s="2" t="n"/>
      <c r="B517" s="2" t="n"/>
      <c r="C517" s="2" t="n"/>
      <c r="D517" s="2" t="n"/>
    </row>
    <row r="518" ht="15.75" customHeight="1" s="82">
      <c r="A518" s="2" t="n"/>
      <c r="B518" s="2" t="n"/>
      <c r="C518" s="2" t="n"/>
      <c r="D518" s="2" t="n"/>
    </row>
    <row r="519" ht="15.75" customHeight="1" s="82">
      <c r="A519" s="2" t="n"/>
      <c r="B519" s="2" t="n"/>
      <c r="C519" s="2" t="n"/>
      <c r="D519" s="2" t="n"/>
    </row>
    <row r="520" ht="15.75" customHeight="1" s="82">
      <c r="A520" s="2" t="n"/>
      <c r="B520" s="2" t="n"/>
      <c r="C520" s="2" t="n"/>
      <c r="D520" s="2" t="n"/>
    </row>
    <row r="521" ht="15.75" customHeight="1" s="82">
      <c r="A521" s="2" t="n"/>
      <c r="B521" s="2" t="n"/>
      <c r="C521" s="2" t="n"/>
      <c r="D521" s="2" t="n"/>
    </row>
    <row r="522" ht="15.75" customHeight="1" s="82">
      <c r="A522" s="2" t="n"/>
      <c r="B522" s="2" t="n"/>
      <c r="C522" s="2" t="n"/>
      <c r="D522" s="2" t="n"/>
    </row>
    <row r="523" ht="15.75" customHeight="1" s="82">
      <c r="A523" s="2" t="n"/>
      <c r="B523" s="2" t="n"/>
      <c r="C523" s="2" t="n"/>
      <c r="D523" s="2" t="n"/>
    </row>
    <row r="524" ht="15.75" customHeight="1" s="82">
      <c r="A524" s="2" t="n"/>
      <c r="B524" s="2" t="n"/>
      <c r="C524" s="2" t="n"/>
      <c r="D524" s="2" t="n"/>
    </row>
    <row r="525" ht="15.75" customHeight="1" s="82">
      <c r="A525" s="2" t="n"/>
      <c r="B525" s="2" t="n"/>
      <c r="C525" s="2" t="n"/>
      <c r="D525" s="2" t="n"/>
    </row>
    <row r="526" ht="15.75" customHeight="1" s="82">
      <c r="A526" s="2" t="n"/>
      <c r="B526" s="2" t="n"/>
      <c r="C526" s="2" t="n"/>
      <c r="D526" s="2" t="n"/>
    </row>
    <row r="527" ht="15.75" customHeight="1" s="82">
      <c r="A527" s="2" t="n"/>
      <c r="B527" s="2" t="n"/>
      <c r="C527" s="2" t="n"/>
      <c r="D527" s="2" t="n"/>
    </row>
    <row r="528" ht="15.75" customHeight="1" s="82">
      <c r="A528" s="2" t="n"/>
      <c r="B528" s="2" t="n"/>
      <c r="C528" s="2" t="n"/>
      <c r="D528" s="2" t="n"/>
    </row>
    <row r="529" ht="15.75" customHeight="1" s="82">
      <c r="A529" s="2" t="n"/>
      <c r="B529" s="2" t="n"/>
      <c r="C529" s="2" t="n"/>
      <c r="D529" s="2" t="n"/>
    </row>
    <row r="530" ht="15.75" customHeight="1" s="82">
      <c r="A530" s="2" t="n"/>
      <c r="B530" s="2" t="n"/>
      <c r="C530" s="2" t="n"/>
      <c r="D530" s="2" t="n"/>
    </row>
    <row r="531" ht="15.75" customHeight="1" s="82">
      <c r="A531" s="2" t="n"/>
      <c r="B531" s="2" t="n"/>
      <c r="C531" s="2" t="n"/>
      <c r="D531" s="2" t="n"/>
    </row>
    <row r="532" ht="15.75" customHeight="1" s="82">
      <c r="A532" s="2" t="n"/>
      <c r="B532" s="2" t="n"/>
      <c r="C532" s="2" t="n"/>
      <c r="D532" s="2" t="n"/>
    </row>
    <row r="533" ht="15.75" customHeight="1" s="82">
      <c r="A533" s="2" t="n"/>
      <c r="B533" s="2" t="n"/>
      <c r="C533" s="2" t="n"/>
      <c r="D533" s="2" t="n"/>
    </row>
    <row r="534" ht="15.75" customHeight="1" s="82">
      <c r="A534" s="2" t="n"/>
      <c r="B534" s="2" t="n"/>
      <c r="C534" s="2" t="n"/>
      <c r="D534" s="2" t="n"/>
    </row>
    <row r="535" ht="15.75" customHeight="1" s="82">
      <c r="A535" s="2" t="n"/>
      <c r="B535" s="2" t="n"/>
      <c r="C535" s="2" t="n"/>
      <c r="D535" s="2" t="n"/>
    </row>
    <row r="536" ht="15.75" customHeight="1" s="82">
      <c r="A536" s="2" t="n"/>
      <c r="B536" s="2" t="n"/>
      <c r="C536" s="2" t="n"/>
      <c r="D536" s="2" t="n"/>
    </row>
    <row r="537" ht="15.75" customHeight="1" s="82">
      <c r="A537" s="2" t="n"/>
      <c r="B537" s="2" t="n"/>
      <c r="C537" s="2" t="n"/>
      <c r="D537" s="2" t="n"/>
    </row>
    <row r="538" ht="15.75" customHeight="1" s="82">
      <c r="A538" s="2" t="n"/>
      <c r="B538" s="2" t="n"/>
      <c r="C538" s="2" t="n"/>
      <c r="D538" s="2" t="n"/>
    </row>
    <row r="539" ht="15.75" customHeight="1" s="82">
      <c r="A539" s="2" t="n"/>
      <c r="B539" s="2" t="n"/>
      <c r="C539" s="2" t="n"/>
      <c r="D539" s="2" t="n"/>
    </row>
    <row r="540" ht="15.75" customHeight="1" s="82">
      <c r="A540" s="2" t="n"/>
      <c r="B540" s="2" t="n"/>
      <c r="C540" s="2" t="n"/>
      <c r="D540" s="2" t="n"/>
    </row>
    <row r="541" ht="15.75" customHeight="1" s="82">
      <c r="A541" s="2" t="n"/>
      <c r="B541" s="2" t="n"/>
      <c r="C541" s="2" t="n"/>
      <c r="D541" s="2" t="n"/>
    </row>
    <row r="542" ht="15.75" customHeight="1" s="82">
      <c r="A542" s="2" t="n"/>
      <c r="B542" s="2" t="n"/>
      <c r="C542" s="2" t="n"/>
      <c r="D542" s="2" t="n"/>
    </row>
    <row r="543" ht="15.75" customHeight="1" s="82">
      <c r="A543" s="2" t="n"/>
      <c r="B543" s="2" t="n"/>
      <c r="C543" s="2" t="n"/>
      <c r="D543" s="2" t="n"/>
    </row>
    <row r="544" ht="15.75" customHeight="1" s="82">
      <c r="A544" s="2" t="n"/>
      <c r="B544" s="2" t="n"/>
      <c r="C544" s="2" t="n"/>
      <c r="D544" s="2" t="n"/>
    </row>
    <row r="545" ht="15.75" customHeight="1" s="82">
      <c r="A545" s="2" t="n"/>
      <c r="B545" s="2" t="n"/>
      <c r="C545" s="2" t="n"/>
      <c r="D545" s="2" t="n"/>
    </row>
    <row r="546" ht="15.75" customHeight="1" s="82">
      <c r="A546" s="2" t="n"/>
      <c r="B546" s="2" t="n"/>
      <c r="C546" s="2" t="n"/>
      <c r="D546" s="2" t="n"/>
    </row>
    <row r="547" ht="15.75" customHeight="1" s="82">
      <c r="A547" s="2" t="n"/>
      <c r="B547" s="2" t="n"/>
      <c r="C547" s="2" t="n"/>
      <c r="D547" s="2" t="n"/>
    </row>
    <row r="548" ht="15.75" customHeight="1" s="82">
      <c r="A548" s="2" t="n"/>
      <c r="B548" s="2" t="n"/>
      <c r="C548" s="2" t="n"/>
      <c r="D548" s="2" t="n"/>
    </row>
    <row r="549" ht="15.75" customHeight="1" s="82">
      <c r="A549" s="2" t="n"/>
      <c r="B549" s="2" t="n"/>
      <c r="C549" s="2" t="n"/>
      <c r="D549" s="2" t="n"/>
    </row>
    <row r="550" ht="15.75" customHeight="1" s="82">
      <c r="A550" s="2" t="n"/>
      <c r="B550" s="2" t="n"/>
      <c r="C550" s="2" t="n"/>
      <c r="D550" s="2" t="n"/>
    </row>
    <row r="551" ht="15.75" customHeight="1" s="82">
      <c r="A551" s="2" t="n"/>
      <c r="B551" s="2" t="n"/>
      <c r="C551" s="2" t="n"/>
      <c r="D551" s="2" t="n"/>
    </row>
    <row r="552" ht="15.75" customHeight="1" s="82">
      <c r="A552" s="2" t="n"/>
      <c r="B552" s="2" t="n"/>
      <c r="C552" s="2" t="n"/>
      <c r="D552" s="2" t="n"/>
    </row>
    <row r="553" ht="15.75" customHeight="1" s="82">
      <c r="A553" s="2" t="n"/>
      <c r="B553" s="2" t="n"/>
      <c r="C553" s="2" t="n"/>
      <c r="D553" s="2" t="n"/>
    </row>
    <row r="554" ht="15.75" customHeight="1" s="82">
      <c r="A554" s="2" t="n"/>
      <c r="B554" s="2" t="n"/>
      <c r="C554" s="2" t="n"/>
      <c r="D554" s="2" t="n"/>
    </row>
    <row r="555" ht="15.75" customHeight="1" s="82">
      <c r="A555" s="2" t="n"/>
      <c r="B555" s="2" t="n"/>
      <c r="C555" s="2" t="n"/>
      <c r="D555" s="2" t="n"/>
    </row>
    <row r="556" ht="15.75" customHeight="1" s="82">
      <c r="A556" s="2" t="n"/>
      <c r="B556" s="2" t="n"/>
      <c r="C556" s="2" t="n"/>
      <c r="D556" s="2" t="n"/>
    </row>
    <row r="557" ht="15.75" customHeight="1" s="82">
      <c r="A557" s="2" t="n"/>
      <c r="B557" s="2" t="n"/>
      <c r="C557" s="2" t="n"/>
      <c r="D557" s="2" t="n"/>
    </row>
    <row r="558" ht="15.75" customHeight="1" s="82">
      <c r="A558" s="2" t="n"/>
      <c r="B558" s="2" t="n"/>
      <c r="C558" s="2" t="n"/>
      <c r="D558" s="2" t="n"/>
    </row>
    <row r="559" ht="15.75" customHeight="1" s="82">
      <c r="A559" s="2" t="n"/>
      <c r="B559" s="2" t="n"/>
      <c r="C559" s="2" t="n"/>
      <c r="D559" s="2" t="n"/>
    </row>
    <row r="560" ht="15.75" customHeight="1" s="82">
      <c r="A560" s="2" t="n"/>
      <c r="B560" s="2" t="n"/>
      <c r="C560" s="2" t="n"/>
      <c r="D560" s="2" t="n"/>
    </row>
    <row r="561" ht="15.75" customHeight="1" s="82">
      <c r="A561" s="2" t="n"/>
      <c r="B561" s="2" t="n"/>
      <c r="C561" s="2" t="n"/>
      <c r="D561" s="2" t="n"/>
    </row>
    <row r="562" ht="15.75" customHeight="1" s="82">
      <c r="A562" s="2" t="n"/>
      <c r="B562" s="2" t="n"/>
      <c r="C562" s="2" t="n"/>
      <c r="D562" s="2" t="n"/>
    </row>
    <row r="563" ht="15.75" customHeight="1" s="82">
      <c r="A563" s="2" t="n"/>
      <c r="B563" s="2" t="n"/>
      <c r="C563" s="2" t="n"/>
      <c r="D563" s="2" t="n"/>
    </row>
    <row r="564" ht="15.75" customHeight="1" s="82">
      <c r="A564" s="2" t="n"/>
      <c r="B564" s="2" t="n"/>
      <c r="C564" s="2" t="n"/>
      <c r="D564" s="2" t="n"/>
    </row>
    <row r="565" ht="15.75" customHeight="1" s="82">
      <c r="A565" s="2" t="n"/>
      <c r="B565" s="2" t="n"/>
      <c r="C565" s="2" t="n"/>
      <c r="D565" s="2" t="n"/>
    </row>
    <row r="566" ht="15.75" customHeight="1" s="82">
      <c r="A566" s="2" t="n"/>
      <c r="B566" s="2" t="n"/>
      <c r="C566" s="2" t="n"/>
      <c r="D566" s="2" t="n"/>
    </row>
    <row r="567" ht="15.75" customHeight="1" s="82">
      <c r="A567" s="2" t="n"/>
      <c r="B567" s="2" t="n"/>
      <c r="C567" s="2" t="n"/>
      <c r="D567" s="2" t="n"/>
    </row>
    <row r="568" ht="15.75" customHeight="1" s="82">
      <c r="A568" s="2" t="n"/>
      <c r="B568" s="2" t="n"/>
      <c r="C568" s="2" t="n"/>
      <c r="D568" s="2" t="n"/>
    </row>
    <row r="569" ht="15.75" customHeight="1" s="82">
      <c r="A569" s="2" t="n"/>
      <c r="B569" s="2" t="n"/>
      <c r="C569" s="2" t="n"/>
      <c r="D569" s="2" t="n"/>
    </row>
    <row r="570" ht="15.75" customHeight="1" s="82">
      <c r="A570" s="2" t="n"/>
      <c r="B570" s="2" t="n"/>
      <c r="C570" s="2" t="n"/>
      <c r="D570" s="2" t="n"/>
    </row>
    <row r="571" ht="15.75" customHeight="1" s="82">
      <c r="A571" s="2" t="n"/>
      <c r="B571" s="2" t="n"/>
      <c r="C571" s="2" t="n"/>
      <c r="D571" s="2" t="n"/>
    </row>
    <row r="572" ht="15.75" customHeight="1" s="82">
      <c r="A572" s="2" t="n"/>
      <c r="B572" s="2" t="n"/>
      <c r="C572" s="2" t="n"/>
      <c r="D572" s="2" t="n"/>
    </row>
    <row r="573" ht="15.75" customHeight="1" s="82">
      <c r="A573" s="2" t="n"/>
      <c r="B573" s="2" t="n"/>
      <c r="C573" s="2" t="n"/>
      <c r="D573" s="2" t="n"/>
    </row>
    <row r="574" ht="15.75" customHeight="1" s="82">
      <c r="A574" s="2" t="n"/>
      <c r="B574" s="2" t="n"/>
      <c r="C574" s="2" t="n"/>
      <c r="D574" s="2" t="n"/>
    </row>
    <row r="575" ht="15.75" customHeight="1" s="82">
      <c r="A575" s="2" t="n"/>
      <c r="B575" s="2" t="n"/>
      <c r="C575" s="2" t="n"/>
      <c r="D575" s="2" t="n"/>
    </row>
    <row r="576" ht="15.75" customHeight="1" s="82">
      <c r="A576" s="2" t="n"/>
      <c r="B576" s="2" t="n"/>
      <c r="C576" s="2" t="n"/>
      <c r="D576" s="2" t="n"/>
    </row>
    <row r="577" ht="15.75" customHeight="1" s="82">
      <c r="A577" s="2" t="n"/>
      <c r="B577" s="2" t="n"/>
      <c r="C577" s="2" t="n"/>
      <c r="D577" s="2" t="n"/>
    </row>
    <row r="578" ht="15.75" customHeight="1" s="82">
      <c r="A578" s="2" t="n"/>
      <c r="B578" s="2" t="n"/>
      <c r="C578" s="2" t="n"/>
      <c r="D578" s="2" t="n"/>
    </row>
    <row r="579" ht="15.75" customHeight="1" s="82">
      <c r="A579" s="2" t="n"/>
      <c r="B579" s="2" t="n"/>
      <c r="C579" s="2" t="n"/>
      <c r="D579" s="2" t="n"/>
    </row>
    <row r="580" ht="15.75" customHeight="1" s="82">
      <c r="A580" s="2" t="n"/>
      <c r="B580" s="2" t="n"/>
      <c r="C580" s="2" t="n"/>
      <c r="D580" s="2" t="n"/>
    </row>
    <row r="581" ht="15.75" customHeight="1" s="82">
      <c r="A581" s="2" t="n"/>
      <c r="B581" s="2" t="n"/>
      <c r="C581" s="2" t="n"/>
      <c r="D581" s="2" t="n"/>
    </row>
    <row r="582" ht="15.75" customHeight="1" s="82">
      <c r="A582" s="2" t="n"/>
      <c r="B582" s="2" t="n"/>
      <c r="C582" s="2" t="n"/>
      <c r="D582" s="2" t="n"/>
    </row>
    <row r="583" ht="15.75" customHeight="1" s="82">
      <c r="A583" s="2" t="n"/>
      <c r="B583" s="2" t="n"/>
      <c r="C583" s="2" t="n"/>
      <c r="D583" s="2" t="n"/>
    </row>
    <row r="584" ht="15.75" customHeight="1" s="82">
      <c r="A584" s="2" t="n"/>
      <c r="B584" s="2" t="n"/>
      <c r="C584" s="2" t="n"/>
      <c r="D584" s="2" t="n"/>
    </row>
    <row r="585" ht="15.75" customHeight="1" s="82">
      <c r="A585" s="2" t="n"/>
      <c r="B585" s="2" t="n"/>
      <c r="C585" s="2" t="n"/>
      <c r="D585" s="2" t="n"/>
    </row>
    <row r="586" ht="15.75" customHeight="1" s="82">
      <c r="A586" s="2" t="n"/>
      <c r="B586" s="2" t="n"/>
      <c r="C586" s="2" t="n"/>
      <c r="D586" s="2" t="n"/>
    </row>
    <row r="587" ht="15.75" customHeight="1" s="82">
      <c r="A587" s="2" t="n"/>
      <c r="B587" s="2" t="n"/>
      <c r="C587" s="2" t="n"/>
      <c r="D587" s="2" t="n"/>
    </row>
    <row r="588" ht="15.75" customHeight="1" s="82">
      <c r="A588" s="2" t="n"/>
      <c r="B588" s="2" t="n"/>
      <c r="C588" s="2" t="n"/>
      <c r="D588" s="2" t="n"/>
    </row>
    <row r="589" ht="15.75" customHeight="1" s="82">
      <c r="A589" s="2" t="n"/>
      <c r="B589" s="2" t="n"/>
      <c r="C589" s="2" t="n"/>
      <c r="D589" s="2" t="n"/>
    </row>
    <row r="590" ht="15.75" customHeight="1" s="82">
      <c r="A590" s="2" t="n"/>
      <c r="B590" s="2" t="n"/>
      <c r="C590" s="2" t="n"/>
      <c r="D590" s="2" t="n"/>
    </row>
    <row r="591" ht="15.75" customHeight="1" s="82">
      <c r="A591" s="2" t="n"/>
      <c r="B591" s="2" t="n"/>
      <c r="C591" s="2" t="n"/>
      <c r="D591" s="2" t="n"/>
    </row>
    <row r="592" ht="15.75" customHeight="1" s="82">
      <c r="A592" s="2" t="n"/>
      <c r="B592" s="2" t="n"/>
      <c r="C592" s="2" t="n"/>
      <c r="D592" s="2" t="n"/>
    </row>
    <row r="593" ht="15.75" customHeight="1" s="82">
      <c r="A593" s="2" t="n"/>
      <c r="B593" s="2" t="n"/>
      <c r="C593" s="2" t="n"/>
      <c r="D593" s="2" t="n"/>
    </row>
    <row r="594" ht="15.75" customHeight="1" s="82">
      <c r="A594" s="2" t="n"/>
      <c r="B594" s="2" t="n"/>
      <c r="C594" s="2" t="n"/>
      <c r="D594" s="2" t="n"/>
    </row>
    <row r="595" ht="15.75" customHeight="1" s="82">
      <c r="A595" s="2" t="n"/>
      <c r="B595" s="2" t="n"/>
      <c r="C595" s="2" t="n"/>
      <c r="D595" s="2" t="n"/>
    </row>
    <row r="596" ht="15.75" customHeight="1" s="82">
      <c r="A596" s="2" t="n"/>
      <c r="B596" s="2" t="n"/>
      <c r="C596" s="2" t="n"/>
      <c r="D596" s="2" t="n"/>
    </row>
    <row r="597" ht="15.75" customHeight="1" s="82">
      <c r="A597" s="2" t="n"/>
      <c r="B597" s="2" t="n"/>
      <c r="C597" s="2" t="n"/>
      <c r="D597" s="2" t="n"/>
    </row>
    <row r="598" ht="15.75" customHeight="1" s="82">
      <c r="A598" s="2" t="n"/>
      <c r="B598" s="2" t="n"/>
      <c r="C598" s="2" t="n"/>
      <c r="D598" s="2" t="n"/>
    </row>
    <row r="599" ht="15.75" customHeight="1" s="82">
      <c r="A599" s="2" t="n"/>
      <c r="B599" s="2" t="n"/>
      <c r="C599" s="2" t="n"/>
      <c r="D599" s="2" t="n"/>
    </row>
    <row r="600" ht="15.75" customHeight="1" s="82">
      <c r="A600" s="2" t="n"/>
      <c r="B600" s="2" t="n"/>
      <c r="C600" s="2" t="n"/>
      <c r="D600" s="2" t="n"/>
    </row>
    <row r="601" ht="15.75" customHeight="1" s="82">
      <c r="A601" s="2" t="n"/>
      <c r="B601" s="2" t="n"/>
      <c r="C601" s="2" t="n"/>
      <c r="D601" s="2" t="n"/>
    </row>
    <row r="602" ht="15.75" customHeight="1" s="82">
      <c r="A602" s="2" t="n"/>
      <c r="B602" s="2" t="n"/>
      <c r="C602" s="2" t="n"/>
      <c r="D602" s="2" t="n"/>
    </row>
    <row r="603" ht="15.75" customHeight="1" s="82">
      <c r="A603" s="2" t="n"/>
      <c r="B603" s="2" t="n"/>
      <c r="C603" s="2" t="n"/>
      <c r="D603" s="2" t="n"/>
    </row>
    <row r="604" ht="15.75" customHeight="1" s="82">
      <c r="A604" s="2" t="n"/>
      <c r="B604" s="2" t="n"/>
      <c r="C604" s="2" t="n"/>
      <c r="D604" s="2" t="n"/>
    </row>
    <row r="605" ht="15.75" customHeight="1" s="82">
      <c r="A605" s="2" t="n"/>
      <c r="B605" s="2" t="n"/>
      <c r="C605" s="2" t="n"/>
      <c r="D605" s="2" t="n"/>
    </row>
    <row r="606" ht="15.75" customHeight="1" s="82">
      <c r="A606" s="2" t="n"/>
      <c r="B606" s="2" t="n"/>
      <c r="C606" s="2" t="n"/>
      <c r="D606" s="2" t="n"/>
    </row>
    <row r="607" ht="15.75" customHeight="1" s="82">
      <c r="A607" s="2" t="n"/>
      <c r="B607" s="2" t="n"/>
      <c r="C607" s="2" t="n"/>
      <c r="D607" s="2" t="n"/>
    </row>
    <row r="608" ht="15.75" customHeight="1" s="82">
      <c r="A608" s="2" t="n"/>
      <c r="B608" s="2" t="n"/>
      <c r="C608" s="2" t="n"/>
      <c r="D608" s="2" t="n"/>
    </row>
    <row r="609" ht="15.75" customHeight="1" s="82">
      <c r="A609" s="2" t="n"/>
      <c r="B609" s="2" t="n"/>
      <c r="C609" s="2" t="n"/>
      <c r="D609" s="2" t="n"/>
    </row>
    <row r="610" ht="15.75" customHeight="1" s="82">
      <c r="A610" s="2" t="n"/>
      <c r="B610" s="2" t="n"/>
      <c r="C610" s="2" t="n"/>
      <c r="D610" s="2" t="n"/>
    </row>
    <row r="611" ht="15.75" customHeight="1" s="82">
      <c r="A611" s="2" t="n"/>
      <c r="B611" s="2" t="n"/>
      <c r="C611" s="2" t="n"/>
      <c r="D611" s="2" t="n"/>
    </row>
    <row r="612" ht="15.75" customHeight="1" s="82">
      <c r="A612" s="2" t="n"/>
      <c r="B612" s="2" t="n"/>
      <c r="C612" s="2" t="n"/>
      <c r="D612" s="2" t="n"/>
    </row>
    <row r="613" ht="15.75" customHeight="1" s="82">
      <c r="A613" s="2" t="n"/>
      <c r="B613" s="2" t="n"/>
      <c r="C613" s="2" t="n"/>
      <c r="D613" s="2" t="n"/>
    </row>
    <row r="614" ht="15.75" customHeight="1" s="82">
      <c r="A614" s="2" t="n"/>
      <c r="B614" s="2" t="n"/>
      <c r="C614" s="2" t="n"/>
      <c r="D614" s="2" t="n"/>
    </row>
    <row r="615" ht="15.75" customHeight="1" s="82">
      <c r="A615" s="2" t="n"/>
      <c r="B615" s="2" t="n"/>
      <c r="C615" s="2" t="n"/>
      <c r="D615" s="2" t="n"/>
    </row>
    <row r="616" ht="15.75" customHeight="1" s="82">
      <c r="A616" s="2" t="n"/>
      <c r="B616" s="2" t="n"/>
      <c r="C616" s="2" t="n"/>
      <c r="D616" s="2" t="n"/>
    </row>
    <row r="617" ht="15.75" customHeight="1" s="82">
      <c r="A617" s="2" t="n"/>
      <c r="B617" s="2" t="n"/>
      <c r="C617" s="2" t="n"/>
      <c r="D617" s="2" t="n"/>
    </row>
    <row r="618" ht="15.75" customHeight="1" s="82">
      <c r="A618" s="2" t="n"/>
      <c r="B618" s="2" t="n"/>
      <c r="C618" s="2" t="n"/>
      <c r="D618" s="2" t="n"/>
    </row>
    <row r="619" ht="15.75" customHeight="1" s="82">
      <c r="A619" s="2" t="n"/>
      <c r="B619" s="2" t="n"/>
      <c r="C619" s="2" t="n"/>
      <c r="D619" s="2" t="n"/>
    </row>
    <row r="620" ht="15.75" customHeight="1" s="82">
      <c r="A620" s="2" t="n"/>
      <c r="B620" s="2" t="n"/>
      <c r="C620" s="2" t="n"/>
      <c r="D620" s="2" t="n"/>
    </row>
    <row r="621" ht="15.75" customHeight="1" s="82">
      <c r="A621" s="2" t="n"/>
      <c r="B621" s="2" t="n"/>
      <c r="C621" s="2" t="n"/>
      <c r="D621" s="2" t="n"/>
    </row>
    <row r="622" ht="15.75" customHeight="1" s="82">
      <c r="A622" s="2" t="n"/>
      <c r="B622" s="2" t="n"/>
      <c r="C622" s="2" t="n"/>
      <c r="D622" s="2" t="n"/>
    </row>
    <row r="623" ht="15.75" customHeight="1" s="82">
      <c r="A623" s="2" t="n"/>
      <c r="B623" s="2" t="n"/>
      <c r="C623" s="2" t="n"/>
      <c r="D623" s="2" t="n"/>
    </row>
    <row r="624" ht="15.75" customHeight="1" s="82">
      <c r="A624" s="2" t="n"/>
      <c r="B624" s="2" t="n"/>
      <c r="C624" s="2" t="n"/>
      <c r="D624" s="2" t="n"/>
    </row>
    <row r="625" ht="15.75" customHeight="1" s="82">
      <c r="A625" s="2" t="n"/>
      <c r="B625" s="2" t="n"/>
      <c r="C625" s="2" t="n"/>
      <c r="D625" s="2" t="n"/>
    </row>
    <row r="626" ht="15.75" customHeight="1" s="82">
      <c r="A626" s="2" t="n"/>
      <c r="B626" s="2" t="n"/>
      <c r="C626" s="2" t="n"/>
      <c r="D626" s="2" t="n"/>
    </row>
    <row r="627" ht="15.75" customHeight="1" s="82">
      <c r="A627" s="2" t="n"/>
      <c r="B627" s="2" t="n"/>
      <c r="C627" s="2" t="n"/>
      <c r="D627" s="2" t="n"/>
    </row>
    <row r="628" ht="15.75" customHeight="1" s="82">
      <c r="A628" s="2" t="n"/>
      <c r="B628" s="2" t="n"/>
      <c r="C628" s="2" t="n"/>
      <c r="D628" s="2" t="n"/>
    </row>
    <row r="629" ht="15.75" customHeight="1" s="82">
      <c r="A629" s="2" t="n"/>
      <c r="B629" s="2" t="n"/>
      <c r="C629" s="2" t="n"/>
      <c r="D629" s="2" t="n"/>
    </row>
    <row r="630" ht="15.75" customHeight="1" s="82">
      <c r="A630" s="2" t="n"/>
      <c r="B630" s="2" t="n"/>
      <c r="C630" s="2" t="n"/>
      <c r="D630" s="2" t="n"/>
    </row>
    <row r="631" ht="15.75" customHeight="1" s="82">
      <c r="A631" s="2" t="n"/>
      <c r="B631" s="2" t="n"/>
      <c r="C631" s="2" t="n"/>
      <c r="D631" s="2" t="n"/>
    </row>
    <row r="632" ht="15.75" customHeight="1" s="82">
      <c r="A632" s="2" t="n"/>
      <c r="B632" s="2" t="n"/>
      <c r="C632" s="2" t="n"/>
      <c r="D632" s="2" t="n"/>
    </row>
    <row r="633" ht="15.75" customHeight="1" s="82">
      <c r="A633" s="2" t="n"/>
      <c r="B633" s="2" t="n"/>
      <c r="C633" s="2" t="n"/>
      <c r="D633" s="2" t="n"/>
    </row>
    <row r="634" ht="15.75" customHeight="1" s="82">
      <c r="A634" s="2" t="n"/>
      <c r="B634" s="2" t="n"/>
      <c r="C634" s="2" t="n"/>
      <c r="D634" s="2" t="n"/>
    </row>
    <row r="635" ht="15.75" customHeight="1" s="82">
      <c r="A635" s="2" t="n"/>
      <c r="B635" s="2" t="n"/>
      <c r="C635" s="2" t="n"/>
      <c r="D635" s="2" t="n"/>
    </row>
    <row r="636" ht="15.75" customHeight="1" s="82">
      <c r="A636" s="2" t="n"/>
      <c r="B636" s="2" t="n"/>
      <c r="C636" s="2" t="n"/>
      <c r="D636" s="2" t="n"/>
    </row>
    <row r="637" ht="15.75" customHeight="1" s="82">
      <c r="A637" s="2" t="n"/>
      <c r="B637" s="2" t="n"/>
      <c r="C637" s="2" t="n"/>
      <c r="D637" s="2" t="n"/>
    </row>
    <row r="638" ht="15.75" customHeight="1" s="82">
      <c r="A638" s="2" t="n"/>
      <c r="B638" s="2" t="n"/>
      <c r="C638" s="2" t="n"/>
      <c r="D638" s="2" t="n"/>
    </row>
    <row r="639" ht="15.75" customHeight="1" s="82">
      <c r="A639" s="2" t="n"/>
      <c r="B639" s="2" t="n"/>
      <c r="C639" s="2" t="n"/>
      <c r="D639" s="2" t="n"/>
    </row>
    <row r="640" ht="15.75" customHeight="1" s="82">
      <c r="A640" s="2" t="n"/>
      <c r="B640" s="2" t="n"/>
      <c r="C640" s="2" t="n"/>
      <c r="D640" s="2" t="n"/>
    </row>
    <row r="641" ht="15.75" customHeight="1" s="82">
      <c r="A641" s="2" t="n"/>
      <c r="B641" s="2" t="n"/>
      <c r="C641" s="2" t="n"/>
      <c r="D641" s="2" t="n"/>
    </row>
    <row r="642" ht="15.75" customHeight="1" s="82">
      <c r="A642" s="2" t="n"/>
      <c r="B642" s="2" t="n"/>
      <c r="C642" s="2" t="n"/>
      <c r="D642" s="2" t="n"/>
    </row>
    <row r="643" ht="15.75" customHeight="1" s="82">
      <c r="A643" s="2" t="n"/>
      <c r="B643" s="2" t="n"/>
      <c r="C643" s="2" t="n"/>
      <c r="D643" s="2" t="n"/>
    </row>
    <row r="644" ht="15.75" customHeight="1" s="82">
      <c r="A644" s="2" t="n"/>
      <c r="B644" s="2" t="n"/>
      <c r="C644" s="2" t="n"/>
      <c r="D644" s="2" t="n"/>
    </row>
    <row r="645" ht="15.75" customHeight="1" s="82">
      <c r="A645" s="2" t="n"/>
      <c r="B645" s="2" t="n"/>
      <c r="C645" s="2" t="n"/>
      <c r="D645" s="2" t="n"/>
    </row>
    <row r="646" ht="15.75" customHeight="1" s="82">
      <c r="A646" s="2" t="n"/>
      <c r="B646" s="2" t="n"/>
      <c r="C646" s="2" t="n"/>
      <c r="D646" s="2" t="n"/>
    </row>
    <row r="647" ht="15.75" customHeight="1" s="82">
      <c r="A647" s="2" t="n"/>
      <c r="B647" s="2" t="n"/>
      <c r="C647" s="2" t="n"/>
      <c r="D647" s="2" t="n"/>
    </row>
    <row r="648" ht="15.75" customHeight="1" s="82">
      <c r="A648" s="2" t="n"/>
      <c r="B648" s="2" t="n"/>
      <c r="C648" s="2" t="n"/>
      <c r="D648" s="2" t="n"/>
    </row>
    <row r="649" ht="15.75" customHeight="1" s="82">
      <c r="A649" s="2" t="n"/>
      <c r="B649" s="2" t="n"/>
      <c r="C649" s="2" t="n"/>
      <c r="D649" s="2" t="n"/>
    </row>
    <row r="650" ht="15.75" customHeight="1" s="82">
      <c r="A650" s="2" t="n"/>
      <c r="B650" s="2" t="n"/>
      <c r="C650" s="2" t="n"/>
      <c r="D650" s="2" t="n"/>
    </row>
    <row r="651" ht="15.75" customHeight="1" s="82">
      <c r="A651" s="2" t="n"/>
      <c r="B651" s="2" t="n"/>
      <c r="C651" s="2" t="n"/>
      <c r="D651" s="2" t="n"/>
    </row>
    <row r="652" ht="15.75" customHeight="1" s="82">
      <c r="A652" s="2" t="n"/>
      <c r="B652" s="2" t="n"/>
      <c r="C652" s="2" t="n"/>
      <c r="D652" s="2" t="n"/>
    </row>
    <row r="653" ht="15.75" customHeight="1" s="82">
      <c r="A653" s="2" t="n"/>
      <c r="B653" s="2" t="n"/>
      <c r="C653" s="2" t="n"/>
      <c r="D653" s="2" t="n"/>
    </row>
    <row r="654" ht="15.75" customHeight="1" s="82">
      <c r="A654" s="2" t="n"/>
      <c r="B654" s="2" t="n"/>
      <c r="C654" s="2" t="n"/>
      <c r="D654" s="2" t="n"/>
    </row>
    <row r="655" ht="15.75" customHeight="1" s="82">
      <c r="A655" s="2" t="n"/>
      <c r="B655" s="2" t="n"/>
      <c r="C655" s="2" t="n"/>
      <c r="D655" s="2" t="n"/>
    </row>
    <row r="656" ht="15.75" customHeight="1" s="82">
      <c r="A656" s="2" t="n"/>
      <c r="B656" s="2" t="n"/>
      <c r="C656" s="2" t="n"/>
      <c r="D656" s="2" t="n"/>
    </row>
    <row r="657" ht="15.75" customHeight="1" s="82">
      <c r="A657" s="2" t="n"/>
      <c r="B657" s="2" t="n"/>
      <c r="C657" s="2" t="n"/>
      <c r="D657" s="2" t="n"/>
    </row>
    <row r="658" ht="15.75" customHeight="1" s="82">
      <c r="A658" s="2" t="n"/>
      <c r="B658" s="2" t="n"/>
      <c r="C658" s="2" t="n"/>
      <c r="D658" s="2" t="n"/>
    </row>
    <row r="659" ht="15.75" customHeight="1" s="82">
      <c r="A659" s="2" t="n"/>
      <c r="B659" s="2" t="n"/>
      <c r="C659" s="2" t="n"/>
      <c r="D659" s="2" t="n"/>
    </row>
    <row r="660" ht="15.75" customHeight="1" s="82">
      <c r="A660" s="2" t="n"/>
      <c r="B660" s="2" t="n"/>
      <c r="C660" s="2" t="n"/>
      <c r="D660" s="2" t="n"/>
    </row>
    <row r="661" ht="15.75" customHeight="1" s="82">
      <c r="A661" s="2" t="n"/>
      <c r="B661" s="2" t="n"/>
      <c r="C661" s="2" t="n"/>
      <c r="D661" s="2" t="n"/>
    </row>
    <row r="662" ht="15.75" customHeight="1" s="82">
      <c r="A662" s="2" t="n"/>
      <c r="B662" s="2" t="n"/>
      <c r="C662" s="2" t="n"/>
      <c r="D662" s="2" t="n"/>
    </row>
    <row r="663" ht="15.75" customHeight="1" s="82">
      <c r="A663" s="2" t="n"/>
      <c r="B663" s="2" t="n"/>
      <c r="C663" s="2" t="n"/>
      <c r="D663" s="2" t="n"/>
    </row>
    <row r="664" ht="15.75" customHeight="1" s="82">
      <c r="A664" s="2" t="n"/>
      <c r="B664" s="2" t="n"/>
      <c r="C664" s="2" t="n"/>
      <c r="D664" s="2" t="n"/>
    </row>
    <row r="665" ht="15.75" customHeight="1" s="82">
      <c r="A665" s="2" t="n"/>
      <c r="B665" s="2" t="n"/>
      <c r="C665" s="2" t="n"/>
      <c r="D665" s="2" t="n"/>
    </row>
    <row r="666" ht="15.75" customHeight="1" s="82">
      <c r="A666" s="2" t="n"/>
      <c r="B666" s="2" t="n"/>
      <c r="C666" s="2" t="n"/>
      <c r="D666" s="2" t="n"/>
    </row>
    <row r="667" ht="15.75" customHeight="1" s="82">
      <c r="A667" s="2" t="n"/>
      <c r="B667" s="2" t="n"/>
      <c r="C667" s="2" t="n"/>
      <c r="D667" s="2" t="n"/>
    </row>
    <row r="668" ht="15.75" customHeight="1" s="82">
      <c r="A668" s="2" t="n"/>
      <c r="B668" s="2" t="n"/>
      <c r="C668" s="2" t="n"/>
      <c r="D668" s="2" t="n"/>
    </row>
    <row r="669" ht="15.75" customHeight="1" s="82">
      <c r="A669" s="2" t="n"/>
      <c r="B669" s="2" t="n"/>
      <c r="C669" s="2" t="n"/>
      <c r="D669" s="2" t="n"/>
    </row>
    <row r="670" ht="15.75" customHeight="1" s="82">
      <c r="A670" s="2" t="n"/>
      <c r="B670" s="2" t="n"/>
      <c r="C670" s="2" t="n"/>
      <c r="D670" s="2" t="n"/>
    </row>
    <row r="671" ht="15.75" customHeight="1" s="82">
      <c r="A671" s="2" t="n"/>
      <c r="B671" s="2" t="n"/>
      <c r="C671" s="2" t="n"/>
      <c r="D671" s="2" t="n"/>
    </row>
    <row r="672" ht="15.75" customHeight="1" s="82">
      <c r="A672" s="2" t="n"/>
      <c r="B672" s="2" t="n"/>
      <c r="C672" s="2" t="n"/>
      <c r="D672" s="2" t="n"/>
    </row>
    <row r="673" ht="15.75" customHeight="1" s="82">
      <c r="A673" s="2" t="n"/>
      <c r="B673" s="2" t="n"/>
      <c r="C673" s="2" t="n"/>
      <c r="D673" s="2" t="n"/>
    </row>
    <row r="674" ht="15.75" customHeight="1" s="82">
      <c r="A674" s="2" t="n"/>
      <c r="B674" s="2" t="n"/>
      <c r="C674" s="2" t="n"/>
      <c r="D674" s="2" t="n"/>
    </row>
    <row r="675" ht="15.75" customHeight="1" s="82">
      <c r="A675" s="2" t="n"/>
      <c r="B675" s="2" t="n"/>
      <c r="C675" s="2" t="n"/>
      <c r="D675" s="2" t="n"/>
    </row>
    <row r="676" ht="15.75" customHeight="1" s="82">
      <c r="A676" s="2" t="n"/>
      <c r="B676" s="2" t="n"/>
      <c r="C676" s="2" t="n"/>
      <c r="D676" s="2" t="n"/>
    </row>
    <row r="677" ht="15.75" customHeight="1" s="82">
      <c r="A677" s="2" t="n"/>
      <c r="B677" s="2" t="n"/>
      <c r="C677" s="2" t="n"/>
      <c r="D677" s="2" t="n"/>
    </row>
    <row r="678" ht="15.75" customHeight="1" s="82">
      <c r="A678" s="2" t="n"/>
      <c r="B678" s="2" t="n"/>
      <c r="C678" s="2" t="n"/>
      <c r="D678" s="2" t="n"/>
    </row>
    <row r="679" ht="15.75" customHeight="1" s="82">
      <c r="A679" s="2" t="n"/>
      <c r="B679" s="2" t="n"/>
      <c r="C679" s="2" t="n"/>
      <c r="D679" s="2" t="n"/>
    </row>
    <row r="680" ht="15.75" customHeight="1" s="82">
      <c r="A680" s="2" t="n"/>
      <c r="B680" s="2" t="n"/>
      <c r="C680" s="2" t="n"/>
      <c r="D680" s="2" t="n"/>
    </row>
    <row r="681" ht="15.75" customHeight="1" s="82">
      <c r="A681" s="2" t="n"/>
      <c r="B681" s="2" t="n"/>
      <c r="C681" s="2" t="n"/>
      <c r="D681" s="2" t="n"/>
    </row>
    <row r="682" ht="15.75" customHeight="1" s="82">
      <c r="A682" s="2" t="n"/>
      <c r="B682" s="2" t="n"/>
      <c r="C682" s="2" t="n"/>
      <c r="D682" s="2" t="n"/>
    </row>
    <row r="683" ht="15.75" customHeight="1" s="82">
      <c r="A683" s="2" t="n"/>
      <c r="B683" s="2" t="n"/>
      <c r="C683" s="2" t="n"/>
      <c r="D683" s="2" t="n"/>
    </row>
    <row r="684" ht="15.75" customHeight="1" s="82">
      <c r="A684" s="2" t="n"/>
      <c r="B684" s="2" t="n"/>
      <c r="C684" s="2" t="n"/>
      <c r="D684" s="2" t="n"/>
    </row>
    <row r="685" ht="15.75" customHeight="1" s="82">
      <c r="A685" s="2" t="n"/>
      <c r="B685" s="2" t="n"/>
      <c r="C685" s="2" t="n"/>
      <c r="D685" s="2" t="n"/>
    </row>
    <row r="686" ht="15.75" customHeight="1" s="82">
      <c r="A686" s="2" t="n"/>
      <c r="B686" s="2" t="n"/>
      <c r="C686" s="2" t="n"/>
      <c r="D686" s="2" t="n"/>
    </row>
    <row r="687" ht="15.75" customHeight="1" s="82">
      <c r="A687" s="2" t="n"/>
      <c r="B687" s="2" t="n"/>
      <c r="C687" s="2" t="n"/>
      <c r="D687" s="2" t="n"/>
    </row>
    <row r="688" ht="15.75" customHeight="1" s="82">
      <c r="A688" s="2" t="n"/>
      <c r="B688" s="2" t="n"/>
      <c r="C688" s="2" t="n"/>
      <c r="D688" s="2" t="n"/>
    </row>
    <row r="689" ht="15.75" customHeight="1" s="82">
      <c r="A689" s="2" t="n"/>
      <c r="B689" s="2" t="n"/>
      <c r="C689" s="2" t="n"/>
      <c r="D689" s="2" t="n"/>
    </row>
    <row r="690" ht="15.75" customHeight="1" s="82">
      <c r="A690" s="2" t="n"/>
      <c r="B690" s="2" t="n"/>
      <c r="C690" s="2" t="n"/>
      <c r="D690" s="2" t="n"/>
    </row>
    <row r="691" ht="15.75" customHeight="1" s="82">
      <c r="A691" s="2" t="n"/>
      <c r="B691" s="2" t="n"/>
      <c r="C691" s="2" t="n"/>
      <c r="D691" s="2" t="n"/>
    </row>
    <row r="692" ht="15.75" customHeight="1" s="82">
      <c r="A692" s="2" t="n"/>
      <c r="B692" s="2" t="n"/>
      <c r="C692" s="2" t="n"/>
      <c r="D692" s="2" t="n"/>
    </row>
    <row r="693" ht="15.75" customHeight="1" s="82">
      <c r="A693" s="2" t="n"/>
      <c r="B693" s="2" t="n"/>
      <c r="C693" s="2" t="n"/>
      <c r="D693" s="2" t="n"/>
    </row>
    <row r="694" ht="15.75" customHeight="1" s="82">
      <c r="A694" s="2" t="n"/>
      <c r="B694" s="2" t="n"/>
      <c r="C694" s="2" t="n"/>
      <c r="D694" s="2" t="n"/>
    </row>
    <row r="695" ht="15.75" customHeight="1" s="82">
      <c r="A695" s="2" t="n"/>
      <c r="B695" s="2" t="n"/>
      <c r="C695" s="2" t="n"/>
      <c r="D695" s="2" t="n"/>
    </row>
    <row r="696" ht="15.75" customHeight="1" s="82">
      <c r="A696" s="2" t="n"/>
      <c r="B696" s="2" t="n"/>
      <c r="C696" s="2" t="n"/>
      <c r="D696" s="2" t="n"/>
    </row>
    <row r="697" ht="15.75" customHeight="1" s="82">
      <c r="A697" s="2" t="n"/>
      <c r="B697" s="2" t="n"/>
      <c r="C697" s="2" t="n"/>
      <c r="D697" s="2" t="n"/>
    </row>
    <row r="698" ht="15.75" customHeight="1" s="82">
      <c r="A698" s="2" t="n"/>
      <c r="B698" s="2" t="n"/>
      <c r="C698" s="2" t="n"/>
      <c r="D698" s="2" t="n"/>
    </row>
    <row r="699" ht="15.75" customHeight="1" s="82">
      <c r="A699" s="2" t="n"/>
      <c r="B699" s="2" t="n"/>
      <c r="C699" s="2" t="n"/>
      <c r="D699" s="2" t="n"/>
    </row>
    <row r="700" ht="15.75" customHeight="1" s="82">
      <c r="A700" s="2" t="n"/>
      <c r="B700" s="2" t="n"/>
      <c r="C700" s="2" t="n"/>
      <c r="D700" s="2" t="n"/>
    </row>
    <row r="701" ht="15.75" customHeight="1" s="82">
      <c r="A701" s="2" t="n"/>
      <c r="B701" s="2" t="n"/>
      <c r="C701" s="2" t="n"/>
      <c r="D701" s="2" t="n"/>
    </row>
    <row r="702" ht="15.75" customHeight="1" s="82">
      <c r="A702" s="2" t="n"/>
      <c r="B702" s="2" t="n"/>
      <c r="C702" s="2" t="n"/>
      <c r="D702" s="2" t="n"/>
    </row>
    <row r="703" ht="15.75" customHeight="1" s="82">
      <c r="A703" s="2" t="n"/>
      <c r="B703" s="2" t="n"/>
      <c r="C703" s="2" t="n"/>
      <c r="D703" s="2" t="n"/>
    </row>
    <row r="704" ht="15.75" customHeight="1" s="82">
      <c r="A704" s="2" t="n"/>
      <c r="B704" s="2" t="n"/>
      <c r="C704" s="2" t="n"/>
      <c r="D704" s="2" t="n"/>
    </row>
    <row r="705" ht="15.75" customHeight="1" s="82">
      <c r="A705" s="2" t="n"/>
      <c r="B705" s="2" t="n"/>
      <c r="C705" s="2" t="n"/>
      <c r="D705" s="2" t="n"/>
    </row>
    <row r="706" ht="15.75" customHeight="1" s="82">
      <c r="A706" s="2" t="n"/>
      <c r="B706" s="2" t="n"/>
      <c r="C706" s="2" t="n"/>
      <c r="D706" s="2" t="n"/>
    </row>
    <row r="707" ht="15.75" customHeight="1" s="82">
      <c r="A707" s="2" t="n"/>
      <c r="B707" s="2" t="n"/>
      <c r="C707" s="2" t="n"/>
      <c r="D707" s="2" t="n"/>
    </row>
    <row r="708" ht="15.75" customHeight="1" s="82">
      <c r="A708" s="2" t="n"/>
      <c r="B708" s="2" t="n"/>
      <c r="C708" s="2" t="n"/>
      <c r="D708" s="2" t="n"/>
    </row>
    <row r="709" ht="15.75" customHeight="1" s="82">
      <c r="A709" s="2" t="n"/>
      <c r="B709" s="2" t="n"/>
      <c r="C709" s="2" t="n"/>
      <c r="D709" s="2" t="n"/>
    </row>
    <row r="710" ht="15.75" customHeight="1" s="82">
      <c r="A710" s="2" t="n"/>
      <c r="B710" s="2" t="n"/>
      <c r="C710" s="2" t="n"/>
      <c r="D710" s="2" t="n"/>
    </row>
    <row r="711" ht="15.75" customHeight="1" s="82">
      <c r="A711" s="2" t="n"/>
      <c r="B711" s="2" t="n"/>
      <c r="C711" s="2" t="n"/>
      <c r="D711" s="2" t="n"/>
    </row>
    <row r="712" ht="15.75" customHeight="1" s="82">
      <c r="A712" s="2" t="n"/>
      <c r="B712" s="2" t="n"/>
      <c r="C712" s="2" t="n"/>
      <c r="D712" s="2" t="n"/>
    </row>
    <row r="713" ht="15.75" customHeight="1" s="82">
      <c r="A713" s="2" t="n"/>
      <c r="B713" s="2" t="n"/>
      <c r="C713" s="2" t="n"/>
      <c r="D713" s="2" t="n"/>
    </row>
    <row r="714" ht="15.75" customHeight="1" s="82">
      <c r="A714" s="2" t="n"/>
      <c r="B714" s="2" t="n"/>
      <c r="C714" s="2" t="n"/>
      <c r="D714" s="2" t="n"/>
    </row>
    <row r="715" ht="15.75" customHeight="1" s="82">
      <c r="A715" s="2" t="n"/>
      <c r="B715" s="2" t="n"/>
      <c r="C715" s="2" t="n"/>
      <c r="D715" s="2" t="n"/>
    </row>
    <row r="716" ht="15.75" customHeight="1" s="82">
      <c r="A716" s="2" t="n"/>
      <c r="B716" s="2" t="n"/>
      <c r="C716" s="2" t="n"/>
      <c r="D716" s="2" t="n"/>
    </row>
    <row r="717" ht="15.75" customHeight="1" s="82">
      <c r="A717" s="2" t="n"/>
      <c r="B717" s="2" t="n"/>
      <c r="C717" s="2" t="n"/>
      <c r="D717" s="2" t="n"/>
    </row>
    <row r="718" ht="15.75" customHeight="1" s="82">
      <c r="A718" s="2" t="n"/>
      <c r="B718" s="2" t="n"/>
      <c r="C718" s="2" t="n"/>
      <c r="D718" s="2" t="n"/>
    </row>
    <row r="719" ht="15.75" customHeight="1" s="82">
      <c r="A719" s="2" t="n"/>
      <c r="B719" s="2" t="n"/>
      <c r="C719" s="2" t="n"/>
      <c r="D719" s="2" t="n"/>
    </row>
    <row r="720" ht="15.75" customHeight="1" s="82">
      <c r="A720" s="2" t="n"/>
      <c r="B720" s="2" t="n"/>
      <c r="C720" s="2" t="n"/>
      <c r="D720" s="2" t="n"/>
    </row>
    <row r="721" ht="15.75" customHeight="1" s="82">
      <c r="A721" s="2" t="n"/>
      <c r="B721" s="2" t="n"/>
      <c r="C721" s="2" t="n"/>
      <c r="D721" s="2" t="n"/>
    </row>
    <row r="722" ht="15.75" customHeight="1" s="82">
      <c r="A722" s="2" t="n"/>
      <c r="B722" s="2" t="n"/>
      <c r="C722" s="2" t="n"/>
      <c r="D722" s="2" t="n"/>
    </row>
    <row r="723" ht="15.75" customHeight="1" s="82">
      <c r="A723" s="2" t="n"/>
      <c r="B723" s="2" t="n"/>
      <c r="C723" s="2" t="n"/>
      <c r="D723" s="2" t="n"/>
    </row>
    <row r="724" ht="15.75" customHeight="1" s="82">
      <c r="A724" s="2" t="n"/>
      <c r="B724" s="2" t="n"/>
      <c r="C724" s="2" t="n"/>
      <c r="D724" s="2" t="n"/>
    </row>
    <row r="725" ht="15.75" customHeight="1" s="82">
      <c r="A725" s="2" t="n"/>
      <c r="B725" s="2" t="n"/>
      <c r="C725" s="2" t="n"/>
      <c r="D725" s="2" t="n"/>
    </row>
    <row r="726" ht="15.75" customHeight="1" s="82">
      <c r="A726" s="2" t="n"/>
      <c r="B726" s="2" t="n"/>
      <c r="C726" s="2" t="n"/>
      <c r="D726" s="2" t="n"/>
    </row>
    <row r="727" ht="15.75" customHeight="1" s="82">
      <c r="A727" s="2" t="n"/>
      <c r="B727" s="2" t="n"/>
      <c r="C727" s="2" t="n"/>
      <c r="D727" s="2" t="n"/>
    </row>
    <row r="728" ht="15.75" customHeight="1" s="82">
      <c r="A728" s="2" t="n"/>
      <c r="B728" s="2" t="n"/>
      <c r="C728" s="2" t="n"/>
      <c r="D728" s="2" t="n"/>
    </row>
    <row r="729" ht="15.75" customHeight="1" s="82">
      <c r="A729" s="2" t="n"/>
      <c r="B729" s="2" t="n"/>
      <c r="C729" s="2" t="n"/>
      <c r="D729" s="2" t="n"/>
    </row>
    <row r="730" ht="15.75" customHeight="1" s="82">
      <c r="A730" s="2" t="n"/>
      <c r="B730" s="2" t="n"/>
      <c r="C730" s="2" t="n"/>
      <c r="D730" s="2" t="n"/>
    </row>
    <row r="731" ht="15.75" customHeight="1" s="82">
      <c r="A731" s="2" t="n"/>
      <c r="B731" s="2" t="n"/>
      <c r="C731" s="2" t="n"/>
      <c r="D731" s="2" t="n"/>
    </row>
    <row r="732" ht="15.75" customHeight="1" s="82">
      <c r="A732" s="2" t="n"/>
      <c r="B732" s="2" t="n"/>
      <c r="C732" s="2" t="n"/>
      <c r="D732" s="2" t="n"/>
    </row>
    <row r="733" ht="15.75" customHeight="1" s="82">
      <c r="A733" s="2" t="n"/>
      <c r="B733" s="2" t="n"/>
      <c r="C733" s="2" t="n"/>
      <c r="D733" s="2" t="n"/>
    </row>
    <row r="734" ht="15.75" customHeight="1" s="82">
      <c r="A734" s="2" t="n"/>
      <c r="B734" s="2" t="n"/>
      <c r="C734" s="2" t="n"/>
      <c r="D734" s="2" t="n"/>
    </row>
    <row r="735" ht="15.75" customHeight="1" s="82">
      <c r="A735" s="2" t="n"/>
      <c r="B735" s="2" t="n"/>
      <c r="C735" s="2" t="n"/>
      <c r="D735" s="2" t="n"/>
    </row>
    <row r="736" ht="15.75" customHeight="1" s="82">
      <c r="A736" s="2" t="n"/>
      <c r="B736" s="2" t="n"/>
      <c r="C736" s="2" t="n"/>
      <c r="D736" s="2" t="n"/>
    </row>
    <row r="737" ht="15.75" customHeight="1" s="82">
      <c r="A737" s="2" t="n"/>
      <c r="B737" s="2" t="n"/>
      <c r="C737" s="2" t="n"/>
      <c r="D737" s="2" t="n"/>
    </row>
    <row r="738" ht="15.75" customHeight="1" s="82">
      <c r="A738" s="2" t="n"/>
      <c r="B738" s="2" t="n"/>
      <c r="C738" s="2" t="n"/>
      <c r="D738" s="2" t="n"/>
    </row>
    <row r="739" ht="15.75" customHeight="1" s="82">
      <c r="A739" s="2" t="n"/>
      <c r="B739" s="2" t="n"/>
      <c r="C739" s="2" t="n"/>
      <c r="D739" s="2" t="n"/>
    </row>
    <row r="740" ht="15.75" customHeight="1" s="82">
      <c r="A740" s="2" t="n"/>
      <c r="B740" s="2" t="n"/>
      <c r="C740" s="2" t="n"/>
      <c r="D740" s="2" t="n"/>
    </row>
    <row r="741" ht="15.75" customHeight="1" s="82">
      <c r="A741" s="2" t="n"/>
      <c r="B741" s="2" t="n"/>
      <c r="C741" s="2" t="n"/>
      <c r="D741" s="2" t="n"/>
    </row>
    <row r="742" ht="15.75" customHeight="1" s="82">
      <c r="A742" s="2" t="n"/>
      <c r="B742" s="2" t="n"/>
      <c r="C742" s="2" t="n"/>
      <c r="D742" s="2" t="n"/>
    </row>
    <row r="743" ht="15.75" customHeight="1" s="82">
      <c r="A743" s="2" t="n"/>
      <c r="B743" s="2" t="n"/>
      <c r="C743" s="2" t="n"/>
      <c r="D743" s="2" t="n"/>
    </row>
    <row r="744" ht="15.75" customHeight="1" s="82">
      <c r="A744" s="2" t="n"/>
      <c r="B744" s="2" t="n"/>
      <c r="C744" s="2" t="n"/>
      <c r="D744" s="2" t="n"/>
    </row>
    <row r="745" ht="15.75" customHeight="1" s="82">
      <c r="A745" s="2" t="n"/>
      <c r="B745" s="2" t="n"/>
      <c r="C745" s="2" t="n"/>
      <c r="D745" s="2" t="n"/>
    </row>
    <row r="746" ht="15.75" customHeight="1" s="82">
      <c r="A746" s="2" t="n"/>
      <c r="B746" s="2" t="n"/>
      <c r="C746" s="2" t="n"/>
      <c r="D746" s="2" t="n"/>
    </row>
    <row r="747" ht="15.75" customHeight="1" s="82">
      <c r="A747" s="2" t="n"/>
      <c r="B747" s="2" t="n"/>
      <c r="C747" s="2" t="n"/>
      <c r="D747" s="2" t="n"/>
    </row>
    <row r="748" ht="15.75" customHeight="1" s="82">
      <c r="A748" s="2" t="n"/>
      <c r="B748" s="2" t="n"/>
      <c r="C748" s="2" t="n"/>
      <c r="D748" s="2" t="n"/>
    </row>
    <row r="749" ht="15.75" customHeight="1" s="82">
      <c r="A749" s="2" t="n"/>
      <c r="B749" s="2" t="n"/>
      <c r="C749" s="2" t="n"/>
      <c r="D749" s="2" t="n"/>
    </row>
    <row r="750" ht="15.75" customHeight="1" s="82">
      <c r="A750" s="2" t="n"/>
      <c r="B750" s="2" t="n"/>
      <c r="C750" s="2" t="n"/>
      <c r="D750" s="2" t="n"/>
    </row>
    <row r="751" ht="15.75" customHeight="1" s="82">
      <c r="A751" s="2" t="n"/>
      <c r="B751" s="2" t="n"/>
      <c r="C751" s="2" t="n"/>
      <c r="D751" s="2" t="n"/>
    </row>
    <row r="752" ht="15.75" customHeight="1" s="82">
      <c r="A752" s="2" t="n"/>
      <c r="B752" s="2" t="n"/>
      <c r="C752" s="2" t="n"/>
      <c r="D752" s="2" t="n"/>
    </row>
    <row r="753" ht="15.75" customHeight="1" s="82">
      <c r="A753" s="2" t="n"/>
      <c r="B753" s="2" t="n"/>
      <c r="C753" s="2" t="n"/>
      <c r="D753" s="2" t="n"/>
    </row>
    <row r="754" ht="15.75" customHeight="1" s="82">
      <c r="A754" s="2" t="n"/>
      <c r="B754" s="2" t="n"/>
      <c r="C754" s="2" t="n"/>
      <c r="D754" s="2" t="n"/>
    </row>
    <row r="755" ht="15.75" customHeight="1" s="82">
      <c r="A755" s="2" t="n"/>
      <c r="B755" s="2" t="n"/>
      <c r="C755" s="2" t="n"/>
      <c r="D755" s="2" t="n"/>
    </row>
    <row r="756" ht="15.75" customHeight="1" s="82">
      <c r="A756" s="2" t="n"/>
      <c r="B756" s="2" t="n"/>
      <c r="C756" s="2" t="n"/>
      <c r="D756" s="2" t="n"/>
    </row>
    <row r="757" ht="15.75" customHeight="1" s="82">
      <c r="A757" s="2" t="n"/>
      <c r="B757" s="2" t="n"/>
      <c r="C757" s="2" t="n"/>
      <c r="D757" s="2" t="n"/>
    </row>
    <row r="758" ht="15.75" customHeight="1" s="82">
      <c r="A758" s="2" t="n"/>
      <c r="B758" s="2" t="n"/>
      <c r="C758" s="2" t="n"/>
      <c r="D758" s="2" t="n"/>
    </row>
    <row r="759" ht="15.75" customHeight="1" s="82">
      <c r="A759" s="2" t="n"/>
      <c r="B759" s="2" t="n"/>
      <c r="C759" s="2" t="n"/>
      <c r="D759" s="2" t="n"/>
    </row>
    <row r="760" ht="15.75" customHeight="1" s="82">
      <c r="A760" s="2" t="n"/>
      <c r="B760" s="2" t="n"/>
      <c r="C760" s="2" t="n"/>
      <c r="D760" s="2" t="n"/>
    </row>
    <row r="761" ht="15.75" customHeight="1" s="82">
      <c r="A761" s="2" t="n"/>
      <c r="B761" s="2" t="n"/>
      <c r="C761" s="2" t="n"/>
      <c r="D761" s="2" t="n"/>
    </row>
    <row r="762" ht="15.75" customHeight="1" s="82">
      <c r="A762" s="2" t="n"/>
      <c r="B762" s="2" t="n"/>
      <c r="C762" s="2" t="n"/>
      <c r="D762" s="2" t="n"/>
    </row>
    <row r="763" ht="15.75" customHeight="1" s="82">
      <c r="A763" s="2" t="n"/>
      <c r="B763" s="2" t="n"/>
      <c r="C763" s="2" t="n"/>
      <c r="D763" s="2" t="n"/>
    </row>
    <row r="764" ht="15.75" customHeight="1" s="82">
      <c r="A764" s="2" t="n"/>
      <c r="B764" s="2" t="n"/>
      <c r="C764" s="2" t="n"/>
      <c r="D764" s="2" t="n"/>
    </row>
    <row r="765" ht="15.75" customHeight="1" s="82">
      <c r="A765" s="2" t="n"/>
      <c r="B765" s="2" t="n"/>
      <c r="C765" s="2" t="n"/>
      <c r="D765" s="2" t="n"/>
    </row>
    <row r="766" ht="15.75" customHeight="1" s="82">
      <c r="A766" s="2" t="n"/>
      <c r="B766" s="2" t="n"/>
      <c r="C766" s="2" t="n"/>
      <c r="D766" s="2" t="n"/>
    </row>
    <row r="767" ht="15.75" customHeight="1" s="82">
      <c r="A767" s="2" t="n"/>
      <c r="B767" s="2" t="n"/>
      <c r="C767" s="2" t="n"/>
      <c r="D767" s="2" t="n"/>
    </row>
    <row r="768" ht="15.75" customHeight="1" s="82">
      <c r="A768" s="2" t="n"/>
      <c r="B768" s="2" t="n"/>
      <c r="C768" s="2" t="n"/>
      <c r="D768" s="2" t="n"/>
    </row>
    <row r="769" ht="15.75" customHeight="1" s="82">
      <c r="A769" s="2" t="n"/>
      <c r="B769" s="2" t="n"/>
      <c r="C769" s="2" t="n"/>
      <c r="D769" s="2" t="n"/>
    </row>
    <row r="770" ht="15.75" customHeight="1" s="82">
      <c r="A770" s="2" t="n"/>
      <c r="B770" s="2" t="n"/>
      <c r="C770" s="2" t="n"/>
      <c r="D770" s="2" t="n"/>
    </row>
    <row r="771" ht="15.75" customHeight="1" s="82">
      <c r="A771" s="2" t="n"/>
      <c r="B771" s="2" t="n"/>
      <c r="C771" s="2" t="n"/>
      <c r="D771" s="2" t="n"/>
    </row>
    <row r="772" ht="15.75" customHeight="1" s="82">
      <c r="A772" s="2" t="n"/>
      <c r="B772" s="2" t="n"/>
      <c r="C772" s="2" t="n"/>
      <c r="D772" s="2" t="n"/>
    </row>
    <row r="773" ht="15.75" customHeight="1" s="82">
      <c r="A773" s="2" t="n"/>
      <c r="B773" s="2" t="n"/>
      <c r="C773" s="2" t="n"/>
      <c r="D773" s="2" t="n"/>
    </row>
    <row r="774" ht="15.75" customHeight="1" s="82">
      <c r="A774" s="2" t="n"/>
      <c r="B774" s="2" t="n"/>
      <c r="C774" s="2" t="n"/>
      <c r="D774" s="2" t="n"/>
    </row>
    <row r="775" ht="15.75" customHeight="1" s="82">
      <c r="A775" s="2" t="n"/>
      <c r="B775" s="2" t="n"/>
      <c r="C775" s="2" t="n"/>
      <c r="D775" s="2" t="n"/>
    </row>
    <row r="776" ht="15.75" customHeight="1" s="82">
      <c r="A776" s="2" t="n"/>
      <c r="B776" s="2" t="n"/>
      <c r="C776" s="2" t="n"/>
      <c r="D776" s="2" t="n"/>
    </row>
    <row r="777" ht="15.75" customHeight="1" s="82">
      <c r="A777" s="2" t="n"/>
      <c r="B777" s="2" t="n"/>
      <c r="C777" s="2" t="n"/>
      <c r="D777" s="2" t="n"/>
    </row>
    <row r="778" ht="15.75" customHeight="1" s="82">
      <c r="A778" s="2" t="n"/>
      <c r="B778" s="2" t="n"/>
      <c r="C778" s="2" t="n"/>
      <c r="D778" s="2" t="n"/>
    </row>
    <row r="779" ht="15.75" customHeight="1" s="82">
      <c r="A779" s="2" t="n"/>
      <c r="B779" s="2" t="n"/>
      <c r="C779" s="2" t="n"/>
      <c r="D779" s="2" t="n"/>
    </row>
    <row r="780" ht="15.75" customHeight="1" s="82">
      <c r="A780" s="2" t="n"/>
      <c r="B780" s="2" t="n"/>
      <c r="C780" s="2" t="n"/>
      <c r="D780" s="2" t="n"/>
    </row>
    <row r="781" ht="15.75" customHeight="1" s="82">
      <c r="A781" s="2" t="n"/>
      <c r="B781" s="2" t="n"/>
      <c r="C781" s="2" t="n"/>
      <c r="D781" s="2" t="n"/>
    </row>
    <row r="782" ht="15.75" customHeight="1" s="82">
      <c r="A782" s="2" t="n"/>
      <c r="B782" s="2" t="n"/>
      <c r="C782" s="2" t="n"/>
      <c r="D782" s="2" t="n"/>
    </row>
    <row r="783" ht="15.75" customHeight="1" s="82">
      <c r="A783" s="2" t="n"/>
      <c r="B783" s="2" t="n"/>
      <c r="C783" s="2" t="n"/>
      <c r="D783" s="2" t="n"/>
    </row>
    <row r="784" ht="15.75" customHeight="1" s="82">
      <c r="A784" s="2" t="n"/>
      <c r="B784" s="2" t="n"/>
      <c r="C784" s="2" t="n"/>
      <c r="D784" s="2" t="n"/>
    </row>
    <row r="785" ht="15.75" customHeight="1" s="82">
      <c r="A785" s="2" t="n"/>
      <c r="B785" s="2" t="n"/>
      <c r="C785" s="2" t="n"/>
      <c r="D785" s="2" t="n"/>
    </row>
    <row r="786" ht="15.75" customHeight="1" s="82">
      <c r="A786" s="2" t="n"/>
      <c r="B786" s="2" t="n"/>
      <c r="C786" s="2" t="n"/>
      <c r="D786" s="2" t="n"/>
    </row>
    <row r="787" ht="15.75" customHeight="1" s="82">
      <c r="A787" s="2" t="n"/>
      <c r="B787" s="2" t="n"/>
      <c r="C787" s="2" t="n"/>
      <c r="D787" s="2" t="n"/>
    </row>
    <row r="788" ht="15.75" customHeight="1" s="82">
      <c r="A788" s="2" t="n"/>
      <c r="B788" s="2" t="n"/>
      <c r="C788" s="2" t="n"/>
      <c r="D788" s="2" t="n"/>
    </row>
    <row r="789" ht="15.75" customHeight="1" s="82">
      <c r="A789" s="2" t="n"/>
      <c r="B789" s="2" t="n"/>
      <c r="C789" s="2" t="n"/>
      <c r="D789" s="2" t="n"/>
    </row>
    <row r="790" ht="15.75" customHeight="1" s="82">
      <c r="A790" s="2" t="n"/>
      <c r="B790" s="2" t="n"/>
      <c r="C790" s="2" t="n"/>
      <c r="D790" s="2" t="n"/>
    </row>
    <row r="791" ht="15.75" customHeight="1" s="82">
      <c r="A791" s="2" t="n"/>
      <c r="B791" s="2" t="n"/>
      <c r="C791" s="2" t="n"/>
      <c r="D791" s="2" t="n"/>
    </row>
    <row r="792" ht="15.75" customHeight="1" s="82">
      <c r="A792" s="2" t="n"/>
      <c r="B792" s="2" t="n"/>
      <c r="C792" s="2" t="n"/>
      <c r="D792" s="2" t="n"/>
    </row>
    <row r="793" ht="15.75" customHeight="1" s="82">
      <c r="A793" s="2" t="n"/>
      <c r="B793" s="2" t="n"/>
      <c r="C793" s="2" t="n"/>
      <c r="D793" s="2" t="n"/>
    </row>
    <row r="794" ht="15.75" customHeight="1" s="82">
      <c r="A794" s="2" t="n"/>
      <c r="B794" s="2" t="n"/>
      <c r="C794" s="2" t="n"/>
      <c r="D794" s="2" t="n"/>
    </row>
    <row r="795" ht="15.75" customHeight="1" s="82">
      <c r="A795" s="2" t="n"/>
      <c r="B795" s="2" t="n"/>
      <c r="C795" s="2" t="n"/>
      <c r="D795" s="2" t="n"/>
    </row>
    <row r="796" ht="15.75" customHeight="1" s="82">
      <c r="A796" s="2" t="n"/>
      <c r="B796" s="2" t="n"/>
      <c r="C796" s="2" t="n"/>
      <c r="D796" s="2" t="n"/>
    </row>
    <row r="797" ht="15.75" customHeight="1" s="82">
      <c r="A797" s="2" t="n"/>
      <c r="B797" s="2" t="n"/>
      <c r="C797" s="2" t="n"/>
      <c r="D797" s="2" t="n"/>
    </row>
    <row r="798" ht="15.75" customHeight="1" s="82">
      <c r="A798" s="2" t="n"/>
      <c r="B798" s="2" t="n"/>
      <c r="C798" s="2" t="n"/>
      <c r="D798" s="2" t="n"/>
    </row>
    <row r="799" ht="15.75" customHeight="1" s="82">
      <c r="A799" s="2" t="n"/>
      <c r="B799" s="2" t="n"/>
      <c r="C799" s="2" t="n"/>
      <c r="D799" s="2" t="n"/>
    </row>
    <row r="800" ht="15.75" customHeight="1" s="82">
      <c r="A800" s="2" t="n"/>
      <c r="B800" s="2" t="n"/>
      <c r="C800" s="2" t="n"/>
      <c r="D800" s="2" t="n"/>
    </row>
    <row r="801" ht="15.75" customHeight="1" s="82">
      <c r="A801" s="2" t="n"/>
      <c r="B801" s="2" t="n"/>
      <c r="C801" s="2" t="n"/>
      <c r="D801" s="2" t="n"/>
    </row>
    <row r="802" ht="15.75" customHeight="1" s="82">
      <c r="A802" s="2" t="n"/>
      <c r="B802" s="2" t="n"/>
      <c r="C802" s="2" t="n"/>
      <c r="D802" s="2" t="n"/>
    </row>
    <row r="803" ht="15.75" customHeight="1" s="82">
      <c r="A803" s="2" t="n"/>
      <c r="B803" s="2" t="n"/>
      <c r="C803" s="2" t="n"/>
      <c r="D803" s="2" t="n"/>
    </row>
    <row r="804" ht="15.75" customHeight="1" s="82">
      <c r="A804" s="2" t="n"/>
      <c r="B804" s="2" t="n"/>
      <c r="C804" s="2" t="n"/>
      <c r="D804" s="2" t="n"/>
    </row>
    <row r="805" ht="15.75" customHeight="1" s="82">
      <c r="A805" s="2" t="n"/>
      <c r="B805" s="2" t="n"/>
      <c r="C805" s="2" t="n"/>
      <c r="D805" s="2" t="n"/>
    </row>
    <row r="806" ht="15.75" customHeight="1" s="82">
      <c r="A806" s="2" t="n"/>
      <c r="B806" s="2" t="n"/>
      <c r="C806" s="2" t="n"/>
      <c r="D806" s="2" t="n"/>
    </row>
    <row r="807" ht="15.75" customHeight="1" s="82">
      <c r="A807" s="2" t="n"/>
      <c r="B807" s="2" t="n"/>
      <c r="C807" s="2" t="n"/>
      <c r="D807" s="2" t="n"/>
    </row>
    <row r="808" ht="15.75" customHeight="1" s="82">
      <c r="A808" s="2" t="n"/>
      <c r="B808" s="2" t="n"/>
      <c r="C808" s="2" t="n"/>
      <c r="D808" s="2" t="n"/>
    </row>
    <row r="809" ht="15.75" customHeight="1" s="82">
      <c r="A809" s="2" t="n"/>
      <c r="B809" s="2" t="n"/>
      <c r="C809" s="2" t="n"/>
      <c r="D809" s="2" t="n"/>
    </row>
    <row r="810" ht="15.75" customHeight="1" s="82">
      <c r="A810" s="2" t="n"/>
      <c r="B810" s="2" t="n"/>
      <c r="C810" s="2" t="n"/>
      <c r="D810" s="2" t="n"/>
    </row>
    <row r="811" ht="15.75" customHeight="1" s="82">
      <c r="A811" s="2" t="n"/>
      <c r="B811" s="2" t="n"/>
      <c r="C811" s="2" t="n"/>
      <c r="D811" s="2" t="n"/>
    </row>
    <row r="812" ht="15.75" customHeight="1" s="82">
      <c r="A812" s="2" t="n"/>
      <c r="B812" s="2" t="n"/>
      <c r="C812" s="2" t="n"/>
      <c r="D812" s="2" t="n"/>
    </row>
    <row r="813" ht="15.75" customHeight="1" s="82">
      <c r="A813" s="2" t="n"/>
      <c r="B813" s="2" t="n"/>
      <c r="C813" s="2" t="n"/>
      <c r="D813" s="2" t="n"/>
    </row>
    <row r="814" ht="15.75" customHeight="1" s="82">
      <c r="A814" s="2" t="n"/>
      <c r="B814" s="2" t="n"/>
      <c r="C814" s="2" t="n"/>
      <c r="D814" s="2" t="n"/>
    </row>
    <row r="815" ht="15.75" customHeight="1" s="82">
      <c r="A815" s="2" t="n"/>
      <c r="B815" s="2" t="n"/>
      <c r="C815" s="2" t="n"/>
      <c r="D815" s="2" t="n"/>
    </row>
    <row r="816" ht="15.75" customHeight="1" s="82">
      <c r="A816" s="2" t="n"/>
      <c r="B816" s="2" t="n"/>
      <c r="C816" s="2" t="n"/>
      <c r="D816" s="2" t="n"/>
    </row>
    <row r="817" ht="15.75" customHeight="1" s="82">
      <c r="A817" s="2" t="n"/>
      <c r="B817" s="2" t="n"/>
      <c r="C817" s="2" t="n"/>
      <c r="D817" s="2" t="n"/>
    </row>
    <row r="818" ht="15.75" customHeight="1" s="82">
      <c r="A818" s="2" t="n"/>
      <c r="B818" s="2" t="n"/>
      <c r="C818" s="2" t="n"/>
      <c r="D818" s="2" t="n"/>
    </row>
    <row r="819" ht="15.75" customHeight="1" s="82">
      <c r="A819" s="2" t="n"/>
      <c r="B819" s="2" t="n"/>
      <c r="C819" s="2" t="n"/>
      <c r="D819" s="2" t="n"/>
    </row>
    <row r="820" ht="15.75" customHeight="1" s="82">
      <c r="A820" s="2" t="n"/>
      <c r="B820" s="2" t="n"/>
      <c r="C820" s="2" t="n"/>
      <c r="D820" s="2" t="n"/>
    </row>
    <row r="821" ht="15.75" customHeight="1" s="82">
      <c r="A821" s="2" t="n"/>
      <c r="B821" s="2" t="n"/>
      <c r="C821" s="2" t="n"/>
      <c r="D821" s="2" t="n"/>
    </row>
    <row r="822" ht="15.75" customHeight="1" s="82">
      <c r="A822" s="2" t="n"/>
      <c r="B822" s="2" t="n"/>
      <c r="C822" s="2" t="n"/>
      <c r="D822" s="2" t="n"/>
    </row>
    <row r="823" ht="15.75" customHeight="1" s="82">
      <c r="A823" s="2" t="n"/>
      <c r="B823" s="2" t="n"/>
      <c r="C823" s="2" t="n"/>
      <c r="D823" s="2" t="n"/>
    </row>
    <row r="824" ht="15.75" customHeight="1" s="82">
      <c r="A824" s="2" t="n"/>
      <c r="B824" s="2" t="n"/>
      <c r="C824" s="2" t="n"/>
      <c r="D824" s="2" t="n"/>
    </row>
    <row r="825" ht="15.75" customHeight="1" s="82">
      <c r="A825" s="2" t="n"/>
      <c r="B825" s="2" t="n"/>
      <c r="C825" s="2" t="n"/>
      <c r="D825" s="2" t="n"/>
    </row>
    <row r="826" ht="15.75" customHeight="1" s="82">
      <c r="A826" s="2" t="n"/>
      <c r="B826" s="2" t="n"/>
      <c r="C826" s="2" t="n"/>
      <c r="D826" s="2" t="n"/>
    </row>
    <row r="827" ht="15.75" customHeight="1" s="82">
      <c r="A827" s="2" t="n"/>
      <c r="B827" s="2" t="n"/>
      <c r="C827" s="2" t="n"/>
      <c r="D827" s="2" t="n"/>
    </row>
    <row r="828" ht="15.75" customHeight="1" s="82">
      <c r="A828" s="2" t="n"/>
      <c r="B828" s="2" t="n"/>
      <c r="C828" s="2" t="n"/>
      <c r="D828" s="2" t="n"/>
    </row>
    <row r="829" ht="15.75" customHeight="1" s="82">
      <c r="A829" s="2" t="n"/>
      <c r="B829" s="2" t="n"/>
      <c r="C829" s="2" t="n"/>
      <c r="D829" s="2" t="n"/>
    </row>
    <row r="830" ht="15.75" customHeight="1" s="82">
      <c r="A830" s="2" t="n"/>
      <c r="B830" s="2" t="n"/>
      <c r="C830" s="2" t="n"/>
      <c r="D830" s="2" t="n"/>
    </row>
    <row r="831" ht="15.75" customHeight="1" s="82">
      <c r="A831" s="2" t="n"/>
      <c r="B831" s="2" t="n"/>
      <c r="C831" s="2" t="n"/>
      <c r="D831" s="2" t="n"/>
    </row>
    <row r="832" ht="15.75" customHeight="1" s="82">
      <c r="A832" s="2" t="n"/>
      <c r="B832" s="2" t="n"/>
      <c r="C832" s="2" t="n"/>
      <c r="D832" s="2" t="n"/>
    </row>
    <row r="833" ht="15.75" customHeight="1" s="82">
      <c r="A833" s="2" t="n"/>
      <c r="B833" s="2" t="n"/>
      <c r="C833" s="2" t="n"/>
      <c r="D833" s="2" t="n"/>
    </row>
    <row r="834" ht="15.75" customHeight="1" s="82">
      <c r="A834" s="2" t="n"/>
      <c r="B834" s="2" t="n"/>
      <c r="C834" s="2" t="n"/>
      <c r="D834" s="2" t="n"/>
    </row>
    <row r="835" ht="15.75" customHeight="1" s="82">
      <c r="A835" s="2" t="n"/>
      <c r="B835" s="2" t="n"/>
      <c r="C835" s="2" t="n"/>
      <c r="D835" s="2" t="n"/>
    </row>
    <row r="836" ht="15.75" customHeight="1" s="82">
      <c r="A836" s="2" t="n"/>
      <c r="B836" s="2" t="n"/>
      <c r="C836" s="2" t="n"/>
      <c r="D836" s="2" t="n"/>
    </row>
    <row r="837" ht="15.75" customHeight="1" s="82">
      <c r="A837" s="2" t="n"/>
      <c r="B837" s="2" t="n"/>
      <c r="C837" s="2" t="n"/>
      <c r="D837" s="2" t="n"/>
    </row>
    <row r="838" ht="15.75" customHeight="1" s="82">
      <c r="A838" s="2" t="n"/>
      <c r="B838" s="2" t="n"/>
      <c r="C838" s="2" t="n"/>
      <c r="D838" s="2" t="n"/>
    </row>
    <row r="839" ht="15.75" customHeight="1" s="82">
      <c r="A839" s="2" t="n"/>
      <c r="B839" s="2" t="n"/>
      <c r="C839" s="2" t="n"/>
      <c r="D839" s="2" t="n"/>
    </row>
    <row r="840" ht="15.75" customHeight="1" s="82">
      <c r="A840" s="2" t="n"/>
      <c r="B840" s="2" t="n"/>
      <c r="C840" s="2" t="n"/>
      <c r="D840" s="2" t="n"/>
    </row>
    <row r="841" ht="15.75" customHeight="1" s="82">
      <c r="A841" s="2" t="n"/>
      <c r="B841" s="2" t="n"/>
      <c r="C841" s="2" t="n"/>
      <c r="D841" s="2" t="n"/>
    </row>
    <row r="842" ht="15.75" customHeight="1" s="82">
      <c r="A842" s="2" t="n"/>
      <c r="B842" s="2" t="n"/>
      <c r="C842" s="2" t="n"/>
      <c r="D842" s="2" t="n"/>
    </row>
    <row r="843" ht="15.75" customHeight="1" s="82">
      <c r="A843" s="2" t="n"/>
      <c r="B843" s="2" t="n"/>
      <c r="C843" s="2" t="n"/>
      <c r="D843" s="2" t="n"/>
    </row>
    <row r="844" ht="15.75" customHeight="1" s="82">
      <c r="A844" s="2" t="n"/>
      <c r="B844" s="2" t="n"/>
      <c r="C844" s="2" t="n"/>
      <c r="D844" s="2" t="n"/>
    </row>
    <row r="845" ht="15.75" customHeight="1" s="82">
      <c r="A845" s="2" t="n"/>
      <c r="B845" s="2" t="n"/>
      <c r="C845" s="2" t="n"/>
      <c r="D845" s="2" t="n"/>
    </row>
    <row r="846" ht="15.75" customHeight="1" s="82">
      <c r="A846" s="2" t="n"/>
      <c r="B846" s="2" t="n"/>
      <c r="C846" s="2" t="n"/>
      <c r="D846" s="2" t="n"/>
    </row>
    <row r="847" ht="15.75" customHeight="1" s="82">
      <c r="A847" s="2" t="n"/>
      <c r="B847" s="2" t="n"/>
      <c r="C847" s="2" t="n"/>
      <c r="D847" s="2" t="n"/>
    </row>
    <row r="848" ht="15.75" customHeight="1" s="82">
      <c r="A848" s="2" t="n"/>
      <c r="B848" s="2" t="n"/>
      <c r="C848" s="2" t="n"/>
      <c r="D848" s="2" t="n"/>
    </row>
    <row r="849" ht="15.75" customHeight="1" s="82">
      <c r="A849" s="2" t="n"/>
      <c r="B849" s="2" t="n"/>
      <c r="C849" s="2" t="n"/>
      <c r="D849" s="2" t="n"/>
    </row>
    <row r="850" ht="15.75" customHeight="1" s="82">
      <c r="A850" s="2" t="n"/>
      <c r="B850" s="2" t="n"/>
      <c r="C850" s="2" t="n"/>
      <c r="D850" s="2" t="n"/>
    </row>
    <row r="851" ht="15.75" customHeight="1" s="82">
      <c r="A851" s="2" t="n"/>
      <c r="B851" s="2" t="n"/>
      <c r="C851" s="2" t="n"/>
      <c r="D851" s="2" t="n"/>
    </row>
    <row r="852" ht="15.75" customHeight="1" s="82">
      <c r="A852" s="2" t="n"/>
      <c r="B852" s="2" t="n"/>
      <c r="C852" s="2" t="n"/>
      <c r="D852" s="2" t="n"/>
    </row>
    <row r="853" ht="15.75" customHeight="1" s="82">
      <c r="A853" s="2" t="n"/>
      <c r="B853" s="2" t="n"/>
      <c r="C853" s="2" t="n"/>
      <c r="D853" s="2" t="n"/>
    </row>
    <row r="854" ht="15.75" customHeight="1" s="82">
      <c r="A854" s="2" t="n"/>
      <c r="B854" s="2" t="n"/>
      <c r="C854" s="2" t="n"/>
      <c r="D854" s="2" t="n"/>
    </row>
    <row r="855" ht="15.75" customHeight="1" s="82">
      <c r="A855" s="2" t="n"/>
      <c r="B855" s="2" t="n"/>
      <c r="C855" s="2" t="n"/>
      <c r="D855" s="2" t="n"/>
    </row>
    <row r="856" ht="15.75" customHeight="1" s="82">
      <c r="A856" s="2" t="n"/>
      <c r="B856" s="2" t="n"/>
      <c r="C856" s="2" t="n"/>
      <c r="D856" s="2" t="n"/>
    </row>
    <row r="857" ht="15.75" customHeight="1" s="82">
      <c r="A857" s="2" t="n"/>
      <c r="B857" s="2" t="n"/>
      <c r="C857" s="2" t="n"/>
      <c r="D857" s="2" t="n"/>
    </row>
    <row r="858" ht="15.75" customHeight="1" s="82">
      <c r="A858" s="2" t="n"/>
      <c r="B858" s="2" t="n"/>
      <c r="C858" s="2" t="n"/>
      <c r="D858" s="2" t="n"/>
    </row>
    <row r="859" ht="15.75" customHeight="1" s="82">
      <c r="A859" s="2" t="n"/>
      <c r="B859" s="2" t="n"/>
      <c r="C859" s="2" t="n"/>
      <c r="D859" s="2" t="n"/>
    </row>
    <row r="860" ht="15.75" customHeight="1" s="82">
      <c r="A860" s="2" t="n"/>
      <c r="B860" s="2" t="n"/>
      <c r="C860" s="2" t="n"/>
      <c r="D860" s="2" t="n"/>
    </row>
    <row r="861" ht="15.75" customHeight="1" s="82">
      <c r="A861" s="2" t="n"/>
      <c r="B861" s="2" t="n"/>
      <c r="C861" s="2" t="n"/>
      <c r="D861" s="2" t="n"/>
    </row>
    <row r="862" ht="15.75" customHeight="1" s="82">
      <c r="A862" s="2" t="n"/>
      <c r="B862" s="2" t="n"/>
      <c r="C862" s="2" t="n"/>
      <c r="D862" s="2" t="n"/>
    </row>
    <row r="863" ht="15.75" customHeight="1" s="82">
      <c r="A863" s="2" t="n"/>
      <c r="B863" s="2" t="n"/>
      <c r="C863" s="2" t="n"/>
      <c r="D863" s="2" t="n"/>
    </row>
    <row r="864" ht="15.75" customHeight="1" s="82">
      <c r="A864" s="2" t="n"/>
      <c r="B864" s="2" t="n"/>
      <c r="C864" s="2" t="n"/>
      <c r="D864" s="2" t="n"/>
    </row>
    <row r="865" ht="15.75" customHeight="1" s="82">
      <c r="A865" s="2" t="n"/>
      <c r="B865" s="2" t="n"/>
      <c r="C865" s="2" t="n"/>
      <c r="D865" s="2" t="n"/>
    </row>
    <row r="866" ht="15.75" customHeight="1" s="82">
      <c r="A866" s="2" t="n"/>
      <c r="B866" s="2" t="n"/>
      <c r="C866" s="2" t="n"/>
      <c r="D866" s="2" t="n"/>
    </row>
    <row r="867" ht="15.75" customHeight="1" s="82">
      <c r="A867" s="2" t="n"/>
      <c r="B867" s="2" t="n"/>
      <c r="C867" s="2" t="n"/>
      <c r="D867" s="2" t="n"/>
    </row>
    <row r="868" ht="15.75" customHeight="1" s="82">
      <c r="A868" s="2" t="n"/>
      <c r="B868" s="2" t="n"/>
      <c r="C868" s="2" t="n"/>
      <c r="D868" s="2" t="n"/>
    </row>
    <row r="869" ht="15.75" customHeight="1" s="82">
      <c r="A869" s="2" t="n"/>
      <c r="B869" s="2" t="n"/>
      <c r="C869" s="2" t="n"/>
      <c r="D869" s="2" t="n"/>
    </row>
    <row r="870" ht="15.75" customHeight="1" s="82">
      <c r="A870" s="2" t="n"/>
      <c r="B870" s="2" t="n"/>
      <c r="C870" s="2" t="n"/>
      <c r="D870" s="2" t="n"/>
    </row>
    <row r="871" ht="15.75" customHeight="1" s="82">
      <c r="A871" s="2" t="n"/>
      <c r="B871" s="2" t="n"/>
      <c r="C871" s="2" t="n"/>
      <c r="D871" s="2" t="n"/>
    </row>
    <row r="872" ht="15.75" customHeight="1" s="82">
      <c r="A872" s="2" t="n"/>
      <c r="B872" s="2" t="n"/>
      <c r="C872" s="2" t="n"/>
      <c r="D872" s="2" t="n"/>
    </row>
    <row r="873" ht="15.75" customHeight="1" s="82">
      <c r="A873" s="2" t="n"/>
      <c r="B873" s="2" t="n"/>
      <c r="C873" s="2" t="n"/>
      <c r="D873" s="2" t="n"/>
    </row>
    <row r="874" ht="15.75" customHeight="1" s="82">
      <c r="A874" s="2" t="n"/>
      <c r="B874" s="2" t="n"/>
      <c r="C874" s="2" t="n"/>
      <c r="D874" s="2" t="n"/>
    </row>
    <row r="875" ht="15.75" customHeight="1" s="82">
      <c r="A875" s="2" t="n"/>
      <c r="B875" s="2" t="n"/>
      <c r="C875" s="2" t="n"/>
      <c r="D875" s="2" t="n"/>
    </row>
    <row r="876" ht="15.75" customHeight="1" s="82">
      <c r="A876" s="2" t="n"/>
      <c r="B876" s="2" t="n"/>
      <c r="C876" s="2" t="n"/>
      <c r="D876" s="2" t="n"/>
    </row>
    <row r="877" ht="15.75" customHeight="1" s="82">
      <c r="A877" s="2" t="n"/>
      <c r="B877" s="2" t="n"/>
      <c r="C877" s="2" t="n"/>
      <c r="D877" s="2" t="n"/>
    </row>
    <row r="878" ht="15.75" customHeight="1" s="82">
      <c r="A878" s="2" t="n"/>
      <c r="B878" s="2" t="n"/>
      <c r="C878" s="2" t="n"/>
      <c r="D878" s="2" t="n"/>
    </row>
    <row r="879" ht="15.75" customHeight="1" s="82">
      <c r="A879" s="2" t="n"/>
      <c r="B879" s="2" t="n"/>
      <c r="C879" s="2" t="n"/>
      <c r="D879" s="2" t="n"/>
    </row>
    <row r="880" ht="15.75" customHeight="1" s="82">
      <c r="A880" s="2" t="n"/>
      <c r="B880" s="2" t="n"/>
      <c r="C880" s="2" t="n"/>
      <c r="D880" s="2" t="n"/>
    </row>
    <row r="881" ht="15.75" customHeight="1" s="82">
      <c r="A881" s="2" t="n"/>
      <c r="B881" s="2" t="n"/>
      <c r="C881" s="2" t="n"/>
      <c r="D881" s="2" t="n"/>
    </row>
    <row r="882" ht="15.75" customHeight="1" s="82">
      <c r="A882" s="2" t="n"/>
      <c r="B882" s="2" t="n"/>
      <c r="C882" s="2" t="n"/>
      <c r="D882" s="2" t="n"/>
    </row>
    <row r="883" ht="15.75" customHeight="1" s="82">
      <c r="A883" s="2" t="n"/>
      <c r="B883" s="2" t="n"/>
      <c r="C883" s="2" t="n"/>
      <c r="D883" s="2" t="n"/>
    </row>
    <row r="884" ht="15.75" customHeight="1" s="82">
      <c r="A884" s="2" t="n"/>
      <c r="B884" s="2" t="n"/>
      <c r="C884" s="2" t="n"/>
      <c r="D884" s="2" t="n"/>
    </row>
    <row r="885" ht="15.75" customHeight="1" s="82">
      <c r="A885" s="2" t="n"/>
      <c r="B885" s="2" t="n"/>
      <c r="C885" s="2" t="n"/>
      <c r="D885" s="2" t="n"/>
    </row>
    <row r="886" ht="15.75" customHeight="1" s="82">
      <c r="A886" s="2" t="n"/>
      <c r="B886" s="2" t="n"/>
      <c r="C886" s="2" t="n"/>
      <c r="D886" s="2" t="n"/>
    </row>
    <row r="887" ht="15.75" customHeight="1" s="82">
      <c r="A887" s="2" t="n"/>
      <c r="B887" s="2" t="n"/>
      <c r="C887" s="2" t="n"/>
      <c r="D887" s="2" t="n"/>
    </row>
    <row r="888" ht="15.75" customHeight="1" s="82">
      <c r="A888" s="2" t="n"/>
      <c r="B888" s="2" t="n"/>
      <c r="C888" s="2" t="n"/>
      <c r="D888" s="2" t="n"/>
    </row>
    <row r="889" ht="15.75" customHeight="1" s="82">
      <c r="A889" s="2" t="n"/>
      <c r="B889" s="2" t="n"/>
      <c r="C889" s="2" t="n"/>
      <c r="D889" s="2" t="n"/>
    </row>
    <row r="890" ht="15.75" customHeight="1" s="82">
      <c r="A890" s="2" t="n"/>
      <c r="B890" s="2" t="n"/>
      <c r="C890" s="2" t="n"/>
      <c r="D890" s="2" t="n"/>
    </row>
    <row r="891" ht="15.75" customHeight="1" s="82">
      <c r="A891" s="2" t="n"/>
      <c r="B891" s="2" t="n"/>
      <c r="C891" s="2" t="n"/>
      <c r="D891" s="2" t="n"/>
    </row>
    <row r="892" ht="15.75" customHeight="1" s="82">
      <c r="A892" s="2" t="n"/>
      <c r="B892" s="2" t="n"/>
      <c r="C892" s="2" t="n"/>
      <c r="D892" s="2" t="n"/>
    </row>
    <row r="893" ht="15.75" customHeight="1" s="82">
      <c r="A893" s="2" t="n"/>
      <c r="B893" s="2" t="n"/>
      <c r="C893" s="2" t="n"/>
      <c r="D893" s="2" t="n"/>
    </row>
    <row r="894" ht="15.75" customHeight="1" s="82">
      <c r="A894" s="2" t="n"/>
      <c r="B894" s="2" t="n"/>
      <c r="C894" s="2" t="n"/>
      <c r="D894" s="2" t="n"/>
    </row>
    <row r="895" ht="15.75" customHeight="1" s="82">
      <c r="A895" s="2" t="n"/>
      <c r="B895" s="2" t="n"/>
      <c r="C895" s="2" t="n"/>
      <c r="D895" s="2" t="n"/>
    </row>
    <row r="896" ht="15.75" customHeight="1" s="82">
      <c r="A896" s="2" t="n"/>
      <c r="B896" s="2" t="n"/>
      <c r="C896" s="2" t="n"/>
      <c r="D896" s="2" t="n"/>
    </row>
    <row r="897" ht="15.75" customHeight="1" s="82">
      <c r="A897" s="2" t="n"/>
      <c r="B897" s="2" t="n"/>
      <c r="C897" s="2" t="n"/>
      <c r="D897" s="2" t="n"/>
    </row>
    <row r="898" ht="15.75" customHeight="1" s="82">
      <c r="A898" s="2" t="n"/>
      <c r="B898" s="2" t="n"/>
      <c r="C898" s="2" t="n"/>
      <c r="D898" s="2" t="n"/>
    </row>
    <row r="899" ht="15.75" customHeight="1" s="82">
      <c r="A899" s="2" t="n"/>
      <c r="B899" s="2" t="n"/>
      <c r="C899" s="2" t="n"/>
      <c r="D899" s="2" t="n"/>
    </row>
    <row r="900" ht="15.75" customHeight="1" s="82">
      <c r="A900" s="2" t="n"/>
      <c r="B900" s="2" t="n"/>
      <c r="C900" s="2" t="n"/>
      <c r="D900" s="2" t="n"/>
    </row>
    <row r="901" ht="15.75" customHeight="1" s="82">
      <c r="A901" s="2" t="n"/>
      <c r="B901" s="2" t="n"/>
      <c r="C901" s="2" t="n"/>
      <c r="D901" s="2" t="n"/>
    </row>
    <row r="902" ht="15.75" customHeight="1" s="82">
      <c r="A902" s="2" t="n"/>
      <c r="B902" s="2" t="n"/>
      <c r="C902" s="2" t="n"/>
      <c r="D902" s="2" t="n"/>
    </row>
    <row r="903" ht="15.75" customHeight="1" s="82">
      <c r="A903" s="2" t="n"/>
      <c r="B903" s="2" t="n"/>
      <c r="C903" s="2" t="n"/>
      <c r="D903" s="2" t="n"/>
    </row>
    <row r="904" ht="15.75" customHeight="1" s="82">
      <c r="A904" s="2" t="n"/>
      <c r="B904" s="2" t="n"/>
      <c r="C904" s="2" t="n"/>
      <c r="D904" s="2" t="n"/>
    </row>
    <row r="905" ht="15.75" customHeight="1" s="82">
      <c r="A905" s="2" t="n"/>
      <c r="B905" s="2" t="n"/>
      <c r="C905" s="2" t="n"/>
      <c r="D905" s="2" t="n"/>
    </row>
    <row r="906" ht="15.75" customHeight="1" s="82">
      <c r="A906" s="2" t="n"/>
      <c r="B906" s="2" t="n"/>
      <c r="C906" s="2" t="n"/>
      <c r="D906" s="2" t="n"/>
    </row>
    <row r="907" ht="15.75" customHeight="1" s="82">
      <c r="A907" s="2" t="n"/>
      <c r="B907" s="2" t="n"/>
      <c r="C907" s="2" t="n"/>
      <c r="D907" s="2" t="n"/>
    </row>
    <row r="908" ht="15.75" customHeight="1" s="82">
      <c r="A908" s="2" t="n"/>
      <c r="B908" s="2" t="n"/>
      <c r="C908" s="2" t="n"/>
      <c r="D908" s="2" t="n"/>
    </row>
    <row r="909" ht="15.75" customHeight="1" s="82">
      <c r="A909" s="2" t="n"/>
      <c r="B909" s="2" t="n"/>
      <c r="C909" s="2" t="n"/>
      <c r="D909" s="2" t="n"/>
    </row>
    <row r="910" ht="15.75" customHeight="1" s="82">
      <c r="A910" s="2" t="n"/>
      <c r="B910" s="2" t="n"/>
      <c r="C910" s="2" t="n"/>
      <c r="D910" s="2" t="n"/>
    </row>
    <row r="911" ht="15.75" customHeight="1" s="82">
      <c r="A911" s="2" t="n"/>
      <c r="B911" s="2" t="n"/>
      <c r="C911" s="2" t="n"/>
      <c r="D911" s="2" t="n"/>
    </row>
    <row r="912" ht="15.75" customHeight="1" s="82">
      <c r="A912" s="2" t="n"/>
      <c r="B912" s="2" t="n"/>
      <c r="C912" s="2" t="n"/>
      <c r="D912" s="2" t="n"/>
    </row>
    <row r="913" ht="15.75" customHeight="1" s="82">
      <c r="A913" s="2" t="n"/>
      <c r="B913" s="2" t="n"/>
      <c r="C913" s="2" t="n"/>
      <c r="D913" s="2" t="n"/>
    </row>
    <row r="914" ht="15.75" customHeight="1" s="82">
      <c r="A914" s="2" t="n"/>
      <c r="B914" s="2" t="n"/>
      <c r="C914" s="2" t="n"/>
      <c r="D914" s="2" t="n"/>
    </row>
    <row r="915" ht="15.75" customHeight="1" s="82">
      <c r="A915" s="2" t="n"/>
      <c r="B915" s="2" t="n"/>
      <c r="C915" s="2" t="n"/>
      <c r="D915" s="2" t="n"/>
    </row>
    <row r="916" ht="15.75" customHeight="1" s="82">
      <c r="A916" s="2" t="n"/>
      <c r="B916" s="2" t="n"/>
      <c r="C916" s="2" t="n"/>
      <c r="D916" s="2" t="n"/>
    </row>
    <row r="917" ht="15.75" customHeight="1" s="82">
      <c r="A917" s="2" t="n"/>
      <c r="B917" s="2" t="n"/>
      <c r="C917" s="2" t="n"/>
      <c r="D917" s="2" t="n"/>
    </row>
    <row r="918" ht="15.75" customHeight="1" s="82">
      <c r="A918" s="2" t="n"/>
      <c r="B918" s="2" t="n"/>
      <c r="C918" s="2" t="n"/>
      <c r="D918" s="2" t="n"/>
    </row>
    <row r="919" ht="15.75" customHeight="1" s="82">
      <c r="A919" s="2" t="n"/>
      <c r="B919" s="2" t="n"/>
      <c r="C919" s="2" t="n"/>
      <c r="D919" s="2" t="n"/>
    </row>
    <row r="920" ht="15.75" customHeight="1" s="82">
      <c r="A920" s="2" t="n"/>
      <c r="B920" s="2" t="n"/>
      <c r="C920" s="2" t="n"/>
      <c r="D920" s="2" t="n"/>
    </row>
    <row r="921" ht="15.75" customHeight="1" s="82">
      <c r="A921" s="2" t="n"/>
      <c r="B921" s="2" t="n"/>
      <c r="C921" s="2" t="n"/>
      <c r="D921" s="2" t="n"/>
    </row>
    <row r="922" ht="15.75" customHeight="1" s="82">
      <c r="A922" s="2" t="n"/>
      <c r="B922" s="2" t="n"/>
      <c r="C922" s="2" t="n"/>
      <c r="D922" s="2" t="n"/>
    </row>
    <row r="923" ht="15.75" customHeight="1" s="82">
      <c r="A923" s="2" t="n"/>
      <c r="B923" s="2" t="n"/>
      <c r="C923" s="2" t="n"/>
      <c r="D923" s="2" t="n"/>
    </row>
    <row r="924" ht="15.75" customHeight="1" s="82">
      <c r="A924" s="2" t="n"/>
      <c r="B924" s="2" t="n"/>
      <c r="C924" s="2" t="n"/>
      <c r="D924" s="2" t="n"/>
    </row>
    <row r="925" ht="15.75" customHeight="1" s="82">
      <c r="A925" s="2" t="n"/>
      <c r="B925" s="2" t="n"/>
      <c r="C925" s="2" t="n"/>
      <c r="D925" s="2" t="n"/>
    </row>
    <row r="926" ht="15.75" customHeight="1" s="82">
      <c r="A926" s="2" t="n"/>
      <c r="B926" s="2" t="n"/>
      <c r="C926" s="2" t="n"/>
      <c r="D926" s="2" t="n"/>
    </row>
    <row r="927" ht="15.75" customHeight="1" s="82">
      <c r="A927" s="2" t="n"/>
      <c r="B927" s="2" t="n"/>
      <c r="C927" s="2" t="n"/>
      <c r="D927" s="2" t="n"/>
    </row>
    <row r="928" ht="15.75" customHeight="1" s="82">
      <c r="A928" s="2" t="n"/>
      <c r="B928" s="2" t="n"/>
      <c r="C928" s="2" t="n"/>
      <c r="D928" s="2" t="n"/>
    </row>
    <row r="929" ht="15.75" customHeight="1" s="82">
      <c r="A929" s="2" t="n"/>
      <c r="B929" s="2" t="n"/>
      <c r="C929" s="2" t="n"/>
      <c r="D929" s="2" t="n"/>
    </row>
    <row r="930" ht="15.75" customHeight="1" s="82">
      <c r="A930" s="2" t="n"/>
      <c r="B930" s="2" t="n"/>
      <c r="C930" s="2" t="n"/>
      <c r="D930" s="2" t="n"/>
    </row>
    <row r="931" ht="15.75" customHeight="1" s="82">
      <c r="A931" s="2" t="n"/>
      <c r="B931" s="2" t="n"/>
      <c r="C931" s="2" t="n"/>
      <c r="D931" s="2" t="n"/>
    </row>
    <row r="932" ht="15.75" customHeight="1" s="82">
      <c r="A932" s="2" t="n"/>
      <c r="B932" s="2" t="n"/>
      <c r="C932" s="2" t="n"/>
      <c r="D932" s="2" t="n"/>
    </row>
    <row r="933" ht="15.75" customHeight="1" s="82">
      <c r="A933" s="2" t="n"/>
      <c r="B933" s="2" t="n"/>
      <c r="C933" s="2" t="n"/>
      <c r="D933" s="2" t="n"/>
    </row>
    <row r="934" ht="15.75" customHeight="1" s="82">
      <c r="A934" s="2" t="n"/>
      <c r="B934" s="2" t="n"/>
      <c r="C934" s="2" t="n"/>
      <c r="D934" s="2" t="n"/>
    </row>
    <row r="935" ht="15.75" customHeight="1" s="82">
      <c r="A935" s="2" t="n"/>
      <c r="B935" s="2" t="n"/>
      <c r="C935" s="2" t="n"/>
      <c r="D935" s="2" t="n"/>
    </row>
    <row r="936" ht="15.75" customHeight="1" s="82">
      <c r="A936" s="2" t="n"/>
      <c r="B936" s="2" t="n"/>
      <c r="C936" s="2" t="n"/>
      <c r="D936" s="2" t="n"/>
    </row>
    <row r="937" ht="15.75" customHeight="1" s="82">
      <c r="A937" s="2" t="n"/>
      <c r="B937" s="2" t="n"/>
      <c r="C937" s="2" t="n"/>
      <c r="D937" s="2" t="n"/>
    </row>
    <row r="938" ht="15.75" customHeight="1" s="82">
      <c r="A938" s="2" t="n"/>
      <c r="B938" s="2" t="n"/>
      <c r="C938" s="2" t="n"/>
      <c r="D938" s="2" t="n"/>
    </row>
    <row r="939" ht="15.75" customHeight="1" s="82">
      <c r="A939" s="2" t="n"/>
      <c r="B939" s="2" t="n"/>
      <c r="C939" s="2" t="n"/>
      <c r="D939" s="2" t="n"/>
    </row>
    <row r="940" ht="15.75" customHeight="1" s="82">
      <c r="A940" s="2" t="n"/>
      <c r="B940" s="2" t="n"/>
      <c r="C940" s="2" t="n"/>
      <c r="D940" s="2" t="n"/>
    </row>
    <row r="941" ht="15.75" customHeight="1" s="82">
      <c r="A941" s="2" t="n"/>
      <c r="B941" s="2" t="n"/>
      <c r="C941" s="2" t="n"/>
      <c r="D941" s="2" t="n"/>
    </row>
    <row r="942" ht="15.75" customHeight="1" s="82">
      <c r="A942" s="2" t="n"/>
      <c r="B942" s="2" t="n"/>
      <c r="C942" s="2" t="n"/>
      <c r="D942" s="2" t="n"/>
    </row>
    <row r="943" ht="15.75" customHeight="1" s="82">
      <c r="A943" s="2" t="n"/>
      <c r="B943" s="2" t="n"/>
      <c r="C943" s="2" t="n"/>
      <c r="D943" s="2" t="n"/>
    </row>
    <row r="944" ht="15.75" customHeight="1" s="82">
      <c r="A944" s="2" t="n"/>
      <c r="B944" s="2" t="n"/>
      <c r="C944" s="2" t="n"/>
      <c r="D944" s="2" t="n"/>
    </row>
    <row r="945" ht="15.75" customHeight="1" s="82">
      <c r="A945" s="2" t="n"/>
      <c r="B945" s="2" t="n"/>
      <c r="C945" s="2" t="n"/>
      <c r="D945" s="2" t="n"/>
    </row>
    <row r="946" ht="15.75" customHeight="1" s="82">
      <c r="A946" s="2" t="n"/>
      <c r="B946" s="2" t="n"/>
      <c r="C946" s="2" t="n"/>
      <c r="D946" s="2" t="n"/>
    </row>
    <row r="947" ht="15.75" customHeight="1" s="82">
      <c r="A947" s="2" t="n"/>
      <c r="B947" s="2" t="n"/>
      <c r="C947" s="2" t="n"/>
      <c r="D947" s="2" t="n"/>
    </row>
    <row r="948" ht="15.75" customHeight="1" s="82">
      <c r="A948" s="2" t="n"/>
      <c r="B948" s="2" t="n"/>
      <c r="C948" s="2" t="n"/>
      <c r="D948" s="2" t="n"/>
    </row>
    <row r="949" ht="15.75" customHeight="1" s="82">
      <c r="A949" s="2" t="n"/>
      <c r="B949" s="2" t="n"/>
      <c r="C949" s="2" t="n"/>
      <c r="D949" s="2" t="n"/>
    </row>
    <row r="950" ht="15.75" customHeight="1" s="82">
      <c r="A950" s="2" t="n"/>
      <c r="B950" s="2" t="n"/>
      <c r="C950" s="2" t="n"/>
      <c r="D950" s="2" t="n"/>
    </row>
    <row r="951" ht="15.75" customHeight="1" s="82">
      <c r="A951" s="2" t="n"/>
      <c r="B951" s="2" t="n"/>
      <c r="C951" s="2" t="n"/>
      <c r="D951" s="2" t="n"/>
    </row>
    <row r="952" ht="15.75" customHeight="1" s="82">
      <c r="A952" s="2" t="n"/>
      <c r="B952" s="2" t="n"/>
      <c r="C952" s="2" t="n"/>
      <c r="D952" s="2" t="n"/>
    </row>
    <row r="953" ht="15.75" customHeight="1" s="82">
      <c r="A953" s="2" t="n"/>
      <c r="B953" s="2" t="n"/>
      <c r="C953" s="2" t="n"/>
      <c r="D953" s="2" t="n"/>
    </row>
    <row r="954" ht="15.75" customHeight="1" s="82">
      <c r="A954" s="2" t="n"/>
      <c r="B954" s="2" t="n"/>
      <c r="C954" s="2" t="n"/>
      <c r="D954" s="2" t="n"/>
    </row>
    <row r="955" ht="15.75" customHeight="1" s="82">
      <c r="A955" s="2" t="n"/>
      <c r="B955" s="2" t="n"/>
      <c r="C955" s="2" t="n"/>
      <c r="D955" s="2" t="n"/>
    </row>
    <row r="956" ht="15.75" customHeight="1" s="82">
      <c r="A956" s="2" t="n"/>
      <c r="B956" s="2" t="n"/>
      <c r="C956" s="2" t="n"/>
      <c r="D956" s="2" t="n"/>
    </row>
    <row r="957" ht="15.75" customHeight="1" s="82">
      <c r="A957" s="2" t="n"/>
      <c r="B957" s="2" t="n"/>
      <c r="C957" s="2" t="n"/>
      <c r="D957" s="2" t="n"/>
    </row>
    <row r="958" ht="15.75" customHeight="1" s="82">
      <c r="A958" s="2" t="n"/>
      <c r="B958" s="2" t="n"/>
      <c r="C958" s="2" t="n"/>
      <c r="D958" s="2" t="n"/>
    </row>
    <row r="959" ht="15.75" customHeight="1" s="82">
      <c r="A959" s="2" t="n"/>
      <c r="B959" s="2" t="n"/>
      <c r="C959" s="2" t="n"/>
      <c r="D959" s="2" t="n"/>
    </row>
    <row r="960" ht="15.75" customHeight="1" s="82">
      <c r="A960" s="2" t="n"/>
      <c r="B960" s="2" t="n"/>
      <c r="C960" s="2" t="n"/>
      <c r="D960" s="2" t="n"/>
    </row>
    <row r="961" ht="15.75" customHeight="1" s="82">
      <c r="A961" s="2" t="n"/>
      <c r="B961" s="2" t="n"/>
      <c r="C961" s="2" t="n"/>
      <c r="D961" s="2" t="n"/>
    </row>
    <row r="962" ht="15.75" customHeight="1" s="82">
      <c r="A962" s="2" t="n"/>
      <c r="B962" s="2" t="n"/>
      <c r="C962" s="2" t="n"/>
      <c r="D962" s="2" t="n"/>
    </row>
    <row r="963" ht="15.75" customHeight="1" s="82">
      <c r="A963" s="2" t="n"/>
      <c r="B963" s="2" t="n"/>
      <c r="C963" s="2" t="n"/>
      <c r="D963" s="2" t="n"/>
    </row>
    <row r="964" ht="15.75" customHeight="1" s="82">
      <c r="A964" s="2" t="n"/>
      <c r="B964" s="2" t="n"/>
      <c r="C964" s="2" t="n"/>
      <c r="D964" s="2" t="n"/>
    </row>
    <row r="965" ht="15.75" customHeight="1" s="82">
      <c r="A965" s="2" t="n"/>
      <c r="B965" s="2" t="n"/>
      <c r="C965" s="2" t="n"/>
      <c r="D965" s="2" t="n"/>
    </row>
    <row r="966" ht="15.75" customHeight="1" s="82">
      <c r="A966" s="2" t="n"/>
      <c r="B966" s="2" t="n"/>
      <c r="C966" s="2" t="n"/>
      <c r="D966" s="2" t="n"/>
    </row>
    <row r="967" ht="15.75" customHeight="1" s="82">
      <c r="A967" s="2" t="n"/>
      <c r="B967" s="2" t="n"/>
      <c r="C967" s="2" t="n"/>
      <c r="D967" s="2" t="n"/>
    </row>
    <row r="968" ht="15.75" customHeight="1" s="82">
      <c r="A968" s="2" t="n"/>
      <c r="B968" s="2" t="n"/>
      <c r="C968" s="2" t="n"/>
      <c r="D968" s="2" t="n"/>
    </row>
    <row r="969" ht="15.75" customHeight="1" s="82">
      <c r="A969" s="2" t="n"/>
      <c r="B969" s="2" t="n"/>
      <c r="C969" s="2" t="n"/>
      <c r="D969" s="2" t="n"/>
    </row>
    <row r="970" ht="15.75" customHeight="1" s="82">
      <c r="A970" s="2" t="n"/>
      <c r="B970" s="2" t="n"/>
      <c r="C970" s="2" t="n"/>
      <c r="D970" s="2" t="n"/>
    </row>
    <row r="971" ht="15.75" customHeight="1" s="82">
      <c r="A971" s="2" t="n"/>
      <c r="B971" s="2" t="n"/>
      <c r="C971" s="2" t="n"/>
      <c r="D971" s="2" t="n"/>
    </row>
    <row r="972" ht="15.75" customHeight="1" s="82">
      <c r="A972" s="2" t="n"/>
      <c r="B972" s="2" t="n"/>
      <c r="C972" s="2" t="n"/>
      <c r="D972" s="2" t="n"/>
    </row>
    <row r="973" ht="15.75" customHeight="1" s="82">
      <c r="A973" s="2" t="n"/>
      <c r="B973" s="2" t="n"/>
      <c r="C973" s="2" t="n"/>
      <c r="D973" s="2" t="n"/>
    </row>
    <row r="974" ht="15.75" customHeight="1" s="82">
      <c r="A974" s="2" t="n"/>
      <c r="B974" s="2" t="n"/>
      <c r="C974" s="2" t="n"/>
      <c r="D974" s="2" t="n"/>
    </row>
    <row r="975" ht="15.75" customHeight="1" s="82">
      <c r="A975" s="2" t="n"/>
      <c r="B975" s="2" t="n"/>
      <c r="C975" s="2" t="n"/>
      <c r="D975" s="2" t="n"/>
    </row>
    <row r="976" ht="15.75" customHeight="1" s="82">
      <c r="A976" s="2" t="n"/>
      <c r="B976" s="2" t="n"/>
      <c r="C976" s="2" t="n"/>
      <c r="D976" s="2" t="n"/>
    </row>
    <row r="977" ht="15.75" customHeight="1" s="82">
      <c r="A977" s="2" t="n"/>
      <c r="B977" s="2" t="n"/>
      <c r="C977" s="2" t="n"/>
      <c r="D977" s="2" t="n"/>
    </row>
    <row r="978" ht="15.75" customHeight="1" s="82">
      <c r="A978" s="2" t="n"/>
      <c r="B978" s="2" t="n"/>
      <c r="C978" s="2" t="n"/>
      <c r="D978" s="2" t="n"/>
    </row>
    <row r="979" ht="15.75" customHeight="1" s="82">
      <c r="A979" s="2" t="n"/>
      <c r="B979" s="2" t="n"/>
      <c r="C979" s="2" t="n"/>
      <c r="D979" s="2" t="n"/>
    </row>
    <row r="980" ht="15.75" customHeight="1" s="82">
      <c r="A980" s="2" t="n"/>
      <c r="B980" s="2" t="n"/>
      <c r="C980" s="2" t="n"/>
      <c r="D980" s="2" t="n"/>
    </row>
    <row r="981" ht="15.75" customHeight="1" s="82">
      <c r="A981" s="2" t="n"/>
      <c r="B981" s="2" t="n"/>
      <c r="C981" s="2" t="n"/>
      <c r="D981" s="2" t="n"/>
    </row>
    <row r="982" ht="15.75" customHeight="1" s="82">
      <c r="A982" s="2" t="n"/>
      <c r="B982" s="2" t="n"/>
      <c r="C982" s="2" t="n"/>
      <c r="D982" s="2" t="n"/>
    </row>
    <row r="983" ht="15.75" customHeight="1" s="82">
      <c r="A983" s="2" t="n"/>
      <c r="B983" s="2" t="n"/>
      <c r="C983" s="2" t="n"/>
      <c r="D983" s="2" t="n"/>
    </row>
    <row r="984" ht="15.75" customHeight="1" s="82">
      <c r="A984" s="2" t="n"/>
      <c r="B984" s="2" t="n"/>
      <c r="C984" s="2" t="n"/>
      <c r="D984" s="2" t="n"/>
    </row>
    <row r="985" ht="15.75" customHeight="1" s="82">
      <c r="A985" s="2" t="n"/>
      <c r="B985" s="2" t="n"/>
      <c r="C985" s="2" t="n"/>
      <c r="D985" s="2" t="n"/>
    </row>
    <row r="986" ht="15.75" customHeight="1" s="82">
      <c r="A986" s="2" t="n"/>
      <c r="B986" s="2" t="n"/>
      <c r="C986" s="2" t="n"/>
      <c r="D986" s="2" t="n"/>
    </row>
    <row r="987" ht="15.75" customHeight="1" s="82">
      <c r="A987" s="2" t="n"/>
      <c r="B987" s="2" t="n"/>
      <c r="C987" s="2" t="n"/>
      <c r="D987" s="2" t="n"/>
    </row>
    <row r="988" ht="15.75" customHeight="1" s="82">
      <c r="A988" s="2" t="n"/>
      <c r="B988" s="2" t="n"/>
      <c r="C988" s="2" t="n"/>
      <c r="D988" s="2" t="n"/>
    </row>
    <row r="989" ht="15.75" customHeight="1" s="82">
      <c r="A989" s="2" t="n"/>
      <c r="B989" s="2" t="n"/>
      <c r="C989" s="2" t="n"/>
      <c r="D989" s="2" t="n"/>
    </row>
    <row r="990" ht="15.75" customHeight="1" s="82">
      <c r="A990" s="2" t="n"/>
      <c r="B990" s="2" t="n"/>
      <c r="C990" s="2" t="n"/>
      <c r="D990" s="2" t="n"/>
    </row>
    <row r="991" ht="15.75" customHeight="1" s="82">
      <c r="A991" s="2" t="n"/>
      <c r="B991" s="2" t="n"/>
      <c r="C991" s="2" t="n"/>
      <c r="D991" s="2" t="n"/>
    </row>
    <row r="992" ht="15.75" customHeight="1" s="82">
      <c r="A992" s="2" t="n"/>
      <c r="B992" s="2" t="n"/>
      <c r="C992" s="2" t="n"/>
      <c r="D992" s="2" t="n"/>
    </row>
    <row r="993" ht="15.75" customHeight="1" s="82">
      <c r="A993" s="2" t="n"/>
      <c r="B993" s="2" t="n"/>
      <c r="C993" s="2" t="n"/>
      <c r="D993" s="2" t="n"/>
    </row>
    <row r="994" ht="15.75" customHeight="1" s="82">
      <c r="A994" s="2" t="n"/>
      <c r="B994" s="2" t="n"/>
      <c r="C994" s="2" t="n"/>
      <c r="D994" s="2" t="n"/>
    </row>
    <row r="995" ht="15.75" customHeight="1" s="82">
      <c r="A995" s="2" t="n"/>
      <c r="B995" s="2" t="n"/>
      <c r="C995" s="2" t="n"/>
      <c r="D995" s="2" t="n"/>
    </row>
    <row r="996" ht="15.75" customHeight="1" s="82">
      <c r="A996" s="2" t="n"/>
      <c r="B996" s="2" t="n"/>
      <c r="C996" s="2" t="n"/>
      <c r="D996" s="2" t="n"/>
    </row>
    <row r="997" ht="15.75" customHeight="1" s="82">
      <c r="A997" s="2" t="n"/>
      <c r="B997" s="2" t="n"/>
      <c r="C997" s="2" t="n"/>
      <c r="D997" s="2" t="n"/>
    </row>
    <row r="998" ht="15.75" customHeight="1" s="82">
      <c r="A998" s="2" t="n"/>
      <c r="B998" s="2" t="n"/>
      <c r="C998" s="2" t="n"/>
      <c r="D998" s="2" t="n"/>
    </row>
    <row r="999" ht="15.75" customHeight="1" s="82">
      <c r="A999" s="2" t="n"/>
      <c r="B999" s="2" t="n"/>
      <c r="C999" s="2" t="n"/>
      <c r="D999" s="2" t="n"/>
    </row>
    <row r="1000" ht="15.75" customHeight="1" s="82">
      <c r="A1000" s="2" t="n"/>
      <c r="B1000" s="2" t="n"/>
      <c r="C1000" s="2" t="n"/>
      <c r="D1000" s="2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1F3864"/>
    <outlinePr summaryBelow="1" summaryRight="1"/>
    <pageSetUpPr/>
  </sheetPr>
  <dimension ref="A1:AJ1000"/>
  <sheetViews>
    <sheetView workbookViewId="0">
      <selection activeCell="L21" sqref="L21"/>
    </sheetView>
  </sheetViews>
  <sheetFormatPr baseColWidth="10" defaultColWidth="12.6640625" defaultRowHeight="15" customHeight="1"/>
  <cols>
    <col width="21.1640625" customWidth="1" style="82" min="1" max="1"/>
    <col width="8" customWidth="1" style="82" min="2" max="4"/>
    <col width="7.6640625" customWidth="1" style="82" min="5" max="36"/>
  </cols>
  <sheetData>
    <row r="1" ht="31.5" customHeight="1" s="82">
      <c r="A1" s="56" t="inlineStr">
        <is>
          <t>Expected Capacity Factor (dimensionless)</t>
        </is>
      </c>
      <c r="B1" s="10" t="n">
        <v>2016</v>
      </c>
      <c r="C1" s="38" t="n">
        <v>2017</v>
      </c>
      <c r="D1" s="10" t="n">
        <v>2018</v>
      </c>
      <c r="E1" s="38" t="n">
        <v>2019</v>
      </c>
      <c r="F1" s="10" t="n">
        <v>2020</v>
      </c>
      <c r="G1" s="38" t="n">
        <v>2021</v>
      </c>
      <c r="H1" s="10" t="n">
        <v>2022</v>
      </c>
      <c r="I1" s="38" t="n">
        <v>2023</v>
      </c>
      <c r="J1" s="10" t="n">
        <v>2024</v>
      </c>
      <c r="K1" s="38" t="n">
        <v>2025</v>
      </c>
      <c r="L1" s="10" t="n">
        <v>2026</v>
      </c>
      <c r="M1" s="38" t="n">
        <v>2027</v>
      </c>
      <c r="N1" s="10" t="n">
        <v>2028</v>
      </c>
      <c r="O1" s="38" t="n">
        <v>2029</v>
      </c>
      <c r="P1" s="10" t="n">
        <v>2030</v>
      </c>
      <c r="Q1" s="38" t="n">
        <v>2031</v>
      </c>
      <c r="R1" s="10" t="n">
        <v>2032</v>
      </c>
      <c r="S1" s="38" t="n">
        <v>2033</v>
      </c>
      <c r="T1" s="10" t="n">
        <v>2034</v>
      </c>
      <c r="U1" s="38" t="n">
        <v>2035</v>
      </c>
      <c r="V1" s="10" t="n">
        <v>2036</v>
      </c>
      <c r="W1" s="38" t="n">
        <v>2037</v>
      </c>
      <c r="X1" s="10" t="n">
        <v>2038</v>
      </c>
      <c r="Y1" s="38" t="n">
        <v>2039</v>
      </c>
      <c r="Z1" s="10" t="n">
        <v>2040</v>
      </c>
      <c r="AA1" s="38" t="n">
        <v>2041</v>
      </c>
      <c r="AB1" s="10" t="n">
        <v>2042</v>
      </c>
      <c r="AC1" s="38" t="n">
        <v>2043</v>
      </c>
      <c r="AD1" s="10" t="n">
        <v>2044</v>
      </c>
      <c r="AE1" s="38" t="n">
        <v>2045</v>
      </c>
      <c r="AF1" s="10" t="n">
        <v>2046</v>
      </c>
      <c r="AG1" s="38" t="n">
        <v>2047</v>
      </c>
      <c r="AH1" s="10" t="n">
        <v>2048</v>
      </c>
      <c r="AI1" s="38" t="n">
        <v>2049</v>
      </c>
      <c r="AJ1" s="10" t="n">
        <v>2050</v>
      </c>
    </row>
    <row r="2" ht="14.5" customHeight="1" s="82">
      <c r="A2" s="10" t="inlineStr">
        <is>
          <t>hard coal</t>
        </is>
      </c>
      <c r="B2" s="10" t="n">
        <v>0</v>
      </c>
      <c r="C2" s="10">
        <f>$B2</f>
        <v/>
      </c>
      <c r="D2" s="10">
        <f>$B2</f>
        <v/>
      </c>
      <c r="E2" s="10">
        <f>$B2</f>
        <v/>
      </c>
      <c r="F2" s="10">
        <f>$B2</f>
        <v/>
      </c>
      <c r="G2" s="10">
        <f>$B2</f>
        <v/>
      </c>
      <c r="H2" s="10">
        <f>$B2</f>
        <v/>
      </c>
      <c r="I2" s="10">
        <f>$B2</f>
        <v/>
      </c>
      <c r="J2" s="10">
        <f>$B2</f>
        <v/>
      </c>
      <c r="K2" s="10">
        <f>$B2</f>
        <v/>
      </c>
      <c r="L2" s="10">
        <f>$B2</f>
        <v/>
      </c>
      <c r="M2" s="10">
        <f>$B2</f>
        <v/>
      </c>
      <c r="N2" s="10">
        <f>$B2</f>
        <v/>
      </c>
      <c r="O2" s="10">
        <f>$B2</f>
        <v/>
      </c>
      <c r="P2" s="10">
        <f>$B2</f>
        <v/>
      </c>
      <c r="Q2" s="10">
        <f>$B2</f>
        <v/>
      </c>
      <c r="R2" s="10">
        <f>$B2</f>
        <v/>
      </c>
      <c r="S2" s="10">
        <f>$B2</f>
        <v/>
      </c>
      <c r="T2" s="10">
        <f>$B2</f>
        <v/>
      </c>
      <c r="U2" s="10">
        <f>$B2</f>
        <v/>
      </c>
      <c r="V2" s="10">
        <f>$B2</f>
        <v/>
      </c>
      <c r="W2" s="10">
        <f>$B2</f>
        <v/>
      </c>
      <c r="X2" s="10">
        <f>$B2</f>
        <v/>
      </c>
      <c r="Y2" s="10">
        <f>$B2</f>
        <v/>
      </c>
      <c r="Z2" s="10">
        <f>$B2</f>
        <v/>
      </c>
      <c r="AA2" s="10">
        <f>$B2</f>
        <v/>
      </c>
      <c r="AB2" s="10">
        <f>$B2</f>
        <v/>
      </c>
      <c r="AC2" s="10">
        <f>$B2</f>
        <v/>
      </c>
      <c r="AD2" s="10">
        <f>$B2</f>
        <v/>
      </c>
      <c r="AE2" s="10">
        <f>$B2</f>
        <v/>
      </c>
      <c r="AF2" s="10">
        <f>$B2</f>
        <v/>
      </c>
      <c r="AG2" s="10">
        <f>$B2</f>
        <v/>
      </c>
      <c r="AH2" s="10">
        <f>$B2</f>
        <v/>
      </c>
      <c r="AI2" s="10">
        <f>$B2</f>
        <v/>
      </c>
      <c r="AJ2" s="10">
        <f>$B2</f>
        <v/>
      </c>
    </row>
    <row r="3" ht="14.5" customHeight="1" s="82">
      <c r="A3" s="10" t="inlineStr">
        <is>
          <t>natural gas nonpeaker</t>
        </is>
      </c>
      <c r="B3" s="10" t="n">
        <v>0</v>
      </c>
      <c r="C3" s="10">
        <f>$B3</f>
        <v/>
      </c>
      <c r="D3" s="10">
        <f>$B3</f>
        <v/>
      </c>
      <c r="E3" s="10">
        <f>$B3</f>
        <v/>
      </c>
      <c r="F3" s="10">
        <f>$B3</f>
        <v/>
      </c>
      <c r="G3" s="10">
        <f>$B3</f>
        <v/>
      </c>
      <c r="H3" s="10">
        <f>$B3</f>
        <v/>
      </c>
      <c r="I3" s="10">
        <f>$B3</f>
        <v/>
      </c>
      <c r="J3" s="10">
        <f>$B3</f>
        <v/>
      </c>
      <c r="K3" s="10">
        <f>$B3</f>
        <v/>
      </c>
      <c r="L3" s="10">
        <f>$B3</f>
        <v/>
      </c>
      <c r="M3" s="10">
        <f>$B3</f>
        <v/>
      </c>
      <c r="N3" s="10">
        <f>$B3</f>
        <v/>
      </c>
      <c r="O3" s="10">
        <f>$B3</f>
        <v/>
      </c>
      <c r="P3" s="10">
        <f>$B3</f>
        <v/>
      </c>
      <c r="Q3" s="10">
        <f>$B3</f>
        <v/>
      </c>
      <c r="R3" s="10">
        <f>$B3</f>
        <v/>
      </c>
      <c r="S3" s="10">
        <f>$B3</f>
        <v/>
      </c>
      <c r="T3" s="10">
        <f>$B3</f>
        <v/>
      </c>
      <c r="U3" s="10">
        <f>$B3</f>
        <v/>
      </c>
      <c r="V3" s="10">
        <f>$B3</f>
        <v/>
      </c>
      <c r="W3" s="10">
        <f>$B3</f>
        <v/>
      </c>
      <c r="X3" s="10">
        <f>$B3</f>
        <v/>
      </c>
      <c r="Y3" s="10">
        <f>$B3</f>
        <v/>
      </c>
      <c r="Z3" s="10">
        <f>$B3</f>
        <v/>
      </c>
      <c r="AA3" s="10">
        <f>$B3</f>
        <v/>
      </c>
      <c r="AB3" s="10">
        <f>$B3</f>
        <v/>
      </c>
      <c r="AC3" s="10">
        <f>$B3</f>
        <v/>
      </c>
      <c r="AD3" s="10">
        <f>$B3</f>
        <v/>
      </c>
      <c r="AE3" s="10">
        <f>$B3</f>
        <v/>
      </c>
      <c r="AF3" s="10">
        <f>$B3</f>
        <v/>
      </c>
      <c r="AG3" s="10">
        <f>$B3</f>
        <v/>
      </c>
      <c r="AH3" s="10">
        <f>$B3</f>
        <v/>
      </c>
      <c r="AI3" s="10">
        <f>$B3</f>
        <v/>
      </c>
      <c r="AJ3" s="10">
        <f>$B3</f>
        <v/>
      </c>
    </row>
    <row r="4" ht="14.5" customHeight="1" s="82">
      <c r="A4" s="10" t="inlineStr">
        <is>
          <t>nuclear</t>
        </is>
      </c>
      <c r="B4" s="10" t="n">
        <v>0</v>
      </c>
      <c r="C4" s="10">
        <f>$B4</f>
        <v/>
      </c>
      <c r="D4" s="10">
        <f>$B4</f>
        <v/>
      </c>
      <c r="E4" s="10">
        <f>$B4</f>
        <v/>
      </c>
      <c r="F4" s="10">
        <f>$B4</f>
        <v/>
      </c>
      <c r="G4" s="10">
        <f>$B4</f>
        <v/>
      </c>
      <c r="H4" s="10">
        <f>$B4</f>
        <v/>
      </c>
      <c r="I4" s="10">
        <f>$B4</f>
        <v/>
      </c>
      <c r="J4" s="10">
        <f>$B4</f>
        <v/>
      </c>
      <c r="K4" s="10">
        <f>$B4</f>
        <v/>
      </c>
      <c r="L4" s="10">
        <f>$B4</f>
        <v/>
      </c>
      <c r="M4" s="10">
        <f>$B4</f>
        <v/>
      </c>
      <c r="N4" s="10">
        <f>$B4</f>
        <v/>
      </c>
      <c r="O4" s="10">
        <f>$B4</f>
        <v/>
      </c>
      <c r="P4" s="10">
        <f>$B4</f>
        <v/>
      </c>
      <c r="Q4" s="10">
        <f>$B4</f>
        <v/>
      </c>
      <c r="R4" s="10">
        <f>$B4</f>
        <v/>
      </c>
      <c r="S4" s="10">
        <f>$B4</f>
        <v/>
      </c>
      <c r="T4" s="10">
        <f>$B4</f>
        <v/>
      </c>
      <c r="U4" s="10">
        <f>$B4</f>
        <v/>
      </c>
      <c r="V4" s="10">
        <f>$B4</f>
        <v/>
      </c>
      <c r="W4" s="10">
        <f>$B4</f>
        <v/>
      </c>
      <c r="X4" s="10">
        <f>$B4</f>
        <v/>
      </c>
      <c r="Y4" s="10">
        <f>$B4</f>
        <v/>
      </c>
      <c r="Z4" s="10">
        <f>$B4</f>
        <v/>
      </c>
      <c r="AA4" s="10">
        <f>$B4</f>
        <v/>
      </c>
      <c r="AB4" s="10">
        <f>$B4</f>
        <v/>
      </c>
      <c r="AC4" s="10">
        <f>$B4</f>
        <v/>
      </c>
      <c r="AD4" s="10">
        <f>$B4</f>
        <v/>
      </c>
      <c r="AE4" s="10">
        <f>$B4</f>
        <v/>
      </c>
      <c r="AF4" s="10">
        <f>$B4</f>
        <v/>
      </c>
      <c r="AG4" s="10">
        <f>$B4</f>
        <v/>
      </c>
      <c r="AH4" s="10">
        <f>$B4</f>
        <v/>
      </c>
      <c r="AI4" s="10">
        <f>$B4</f>
        <v/>
      </c>
      <c r="AJ4" s="10">
        <f>$B4</f>
        <v/>
      </c>
    </row>
    <row r="5" ht="14.5" customHeight="1" s="82">
      <c r="A5" s="10" t="inlineStr">
        <is>
          <t>hydro</t>
        </is>
      </c>
      <c r="B5" s="10" t="n">
        <v>0</v>
      </c>
      <c r="C5" s="10">
        <f>$B5</f>
        <v/>
      </c>
      <c r="D5" s="10">
        <f>$B5</f>
        <v/>
      </c>
      <c r="E5" s="10">
        <f>$B5</f>
        <v/>
      </c>
      <c r="F5" s="10">
        <f>$B5</f>
        <v/>
      </c>
      <c r="G5" s="10">
        <f>$B5</f>
        <v/>
      </c>
      <c r="H5" s="10">
        <f>$B5</f>
        <v/>
      </c>
      <c r="I5" s="10">
        <f>$B5</f>
        <v/>
      </c>
      <c r="J5" s="10">
        <f>$B5</f>
        <v/>
      </c>
      <c r="K5" s="10">
        <f>$B5</f>
        <v/>
      </c>
      <c r="L5" s="10">
        <f>$B5</f>
        <v/>
      </c>
      <c r="M5" s="10">
        <f>$B5</f>
        <v/>
      </c>
      <c r="N5" s="10">
        <f>$B5</f>
        <v/>
      </c>
      <c r="O5" s="10">
        <f>$B5</f>
        <v/>
      </c>
      <c r="P5" s="10">
        <f>$B5</f>
        <v/>
      </c>
      <c r="Q5" s="10">
        <f>$B5</f>
        <v/>
      </c>
      <c r="R5" s="10">
        <f>$B5</f>
        <v/>
      </c>
      <c r="S5" s="10">
        <f>$B5</f>
        <v/>
      </c>
      <c r="T5" s="10">
        <f>$B5</f>
        <v/>
      </c>
      <c r="U5" s="10">
        <f>$B5</f>
        <v/>
      </c>
      <c r="V5" s="10">
        <f>$B5</f>
        <v/>
      </c>
      <c r="W5" s="10">
        <f>$B5</f>
        <v/>
      </c>
      <c r="X5" s="10">
        <f>$B5</f>
        <v/>
      </c>
      <c r="Y5" s="10">
        <f>$B5</f>
        <v/>
      </c>
      <c r="Z5" s="10">
        <f>$B5</f>
        <v/>
      </c>
      <c r="AA5" s="10">
        <f>$B5</f>
        <v/>
      </c>
      <c r="AB5" s="10">
        <f>$B5</f>
        <v/>
      </c>
      <c r="AC5" s="10">
        <f>$B5</f>
        <v/>
      </c>
      <c r="AD5" s="10">
        <f>$B5</f>
        <v/>
      </c>
      <c r="AE5" s="10">
        <f>$B5</f>
        <v/>
      </c>
      <c r="AF5" s="10">
        <f>$B5</f>
        <v/>
      </c>
      <c r="AG5" s="10">
        <f>$B5</f>
        <v/>
      </c>
      <c r="AH5" s="10">
        <f>$B5</f>
        <v/>
      </c>
      <c r="AI5" s="10">
        <f>$B5</f>
        <v/>
      </c>
      <c r="AJ5" s="10">
        <f>$B5</f>
        <v/>
      </c>
    </row>
    <row r="6" ht="14.5" customHeight="1" s="82">
      <c r="A6" s="10" t="inlineStr">
        <is>
          <t>onshore wind</t>
        </is>
      </c>
      <c r="B6" s="10" t="n">
        <v>0</v>
      </c>
      <c r="C6" s="10">
        <f>$B6</f>
        <v/>
      </c>
      <c r="D6" s="10">
        <f>$B6</f>
        <v/>
      </c>
      <c r="E6" s="10">
        <f>$B6</f>
        <v/>
      </c>
      <c r="F6" s="10">
        <f>$B6</f>
        <v/>
      </c>
      <c r="G6" s="10">
        <f>$B6</f>
        <v/>
      </c>
      <c r="H6" s="10">
        <f>$B6</f>
        <v/>
      </c>
      <c r="I6" s="10">
        <f>$B6</f>
        <v/>
      </c>
      <c r="J6" s="10">
        <f>$B6</f>
        <v/>
      </c>
      <c r="K6" s="10">
        <f>$B6</f>
        <v/>
      </c>
      <c r="L6" s="10">
        <f>$B6</f>
        <v/>
      </c>
      <c r="M6" s="10">
        <f>$B6</f>
        <v/>
      </c>
      <c r="N6" s="10">
        <f>$B6</f>
        <v/>
      </c>
      <c r="O6" s="10">
        <f>$B6</f>
        <v/>
      </c>
      <c r="P6" s="10">
        <f>$B6</f>
        <v/>
      </c>
      <c r="Q6" s="10">
        <f>$B6</f>
        <v/>
      </c>
      <c r="R6" s="10">
        <f>$B6</f>
        <v/>
      </c>
      <c r="S6" s="10">
        <f>$B6</f>
        <v/>
      </c>
      <c r="T6" s="10">
        <f>$B6</f>
        <v/>
      </c>
      <c r="U6" s="10">
        <f>$B6</f>
        <v/>
      </c>
      <c r="V6" s="10">
        <f>$B6</f>
        <v/>
      </c>
      <c r="W6" s="10">
        <f>$B6</f>
        <v/>
      </c>
      <c r="X6" s="10">
        <f>$B6</f>
        <v/>
      </c>
      <c r="Y6" s="10">
        <f>$B6</f>
        <v/>
      </c>
      <c r="Z6" s="10">
        <f>$B6</f>
        <v/>
      </c>
      <c r="AA6" s="10">
        <f>$B6</f>
        <v/>
      </c>
      <c r="AB6" s="10">
        <f>$B6</f>
        <v/>
      </c>
      <c r="AC6" s="10">
        <f>$B6</f>
        <v/>
      </c>
      <c r="AD6" s="10">
        <f>$B6</f>
        <v/>
      </c>
      <c r="AE6" s="10">
        <f>$B6</f>
        <v/>
      </c>
      <c r="AF6" s="10">
        <f>$B6</f>
        <v/>
      </c>
      <c r="AG6" s="10">
        <f>$B6</f>
        <v/>
      </c>
      <c r="AH6" s="10">
        <f>$B6</f>
        <v/>
      </c>
      <c r="AI6" s="10">
        <f>$B6</f>
        <v/>
      </c>
      <c r="AJ6" s="10">
        <f>$B6</f>
        <v/>
      </c>
    </row>
    <row r="7" ht="14.5" customHeight="1" s="82">
      <c r="A7" s="10" t="inlineStr">
        <is>
          <t>solar PV</t>
        </is>
      </c>
      <c r="B7" s="10" t="n">
        <v>0</v>
      </c>
      <c r="C7" s="10">
        <f>$B7</f>
        <v/>
      </c>
      <c r="D7" s="10">
        <f>$B7</f>
        <v/>
      </c>
      <c r="E7" s="10">
        <f>$B7</f>
        <v/>
      </c>
      <c r="F7" s="10">
        <f>$B7</f>
        <v/>
      </c>
      <c r="G7" s="10">
        <f>$B7</f>
        <v/>
      </c>
      <c r="H7" s="10">
        <f>$B7</f>
        <v/>
      </c>
      <c r="I7" s="10">
        <f>$B7</f>
        <v/>
      </c>
      <c r="J7" s="10">
        <f>$B7</f>
        <v/>
      </c>
      <c r="K7" s="10">
        <f>$B7</f>
        <v/>
      </c>
      <c r="L7" s="10">
        <f>$B7</f>
        <v/>
      </c>
      <c r="M7" s="10">
        <f>$B7</f>
        <v/>
      </c>
      <c r="N7" s="10">
        <f>$B7</f>
        <v/>
      </c>
      <c r="O7" s="10">
        <f>$B7</f>
        <v/>
      </c>
      <c r="P7" s="10">
        <f>$B7</f>
        <v/>
      </c>
      <c r="Q7" s="10">
        <f>$B7</f>
        <v/>
      </c>
      <c r="R7" s="10">
        <f>$B7</f>
        <v/>
      </c>
      <c r="S7" s="10">
        <f>$B7</f>
        <v/>
      </c>
      <c r="T7" s="10">
        <f>$B7</f>
        <v/>
      </c>
      <c r="U7" s="10">
        <f>$B7</f>
        <v/>
      </c>
      <c r="V7" s="10">
        <f>$B7</f>
        <v/>
      </c>
      <c r="W7" s="10">
        <f>$B7</f>
        <v/>
      </c>
      <c r="X7" s="10">
        <f>$B7</f>
        <v/>
      </c>
      <c r="Y7" s="10">
        <f>$B7</f>
        <v/>
      </c>
      <c r="Z7" s="10">
        <f>$B7</f>
        <v/>
      </c>
      <c r="AA7" s="10">
        <f>$B7</f>
        <v/>
      </c>
      <c r="AB7" s="10">
        <f>$B7</f>
        <v/>
      </c>
      <c r="AC7" s="10">
        <f>$B7</f>
        <v/>
      </c>
      <c r="AD7" s="10">
        <f>$B7</f>
        <v/>
      </c>
      <c r="AE7" s="10">
        <f>$B7</f>
        <v/>
      </c>
      <c r="AF7" s="10">
        <f>$B7</f>
        <v/>
      </c>
      <c r="AG7" s="10">
        <f>$B7</f>
        <v/>
      </c>
      <c r="AH7" s="10">
        <f>$B7</f>
        <v/>
      </c>
      <c r="AI7" s="10">
        <f>$B7</f>
        <v/>
      </c>
      <c r="AJ7" s="10">
        <f>$B7</f>
        <v/>
      </c>
    </row>
    <row r="8" ht="14.5" customHeight="1" s="82">
      <c r="A8" s="10" t="inlineStr">
        <is>
          <t>solar thermal</t>
        </is>
      </c>
      <c r="B8" s="10" t="n">
        <v>0</v>
      </c>
      <c r="C8" s="10">
        <f>$B8</f>
        <v/>
      </c>
      <c r="D8" s="10">
        <f>$B8</f>
        <v/>
      </c>
      <c r="E8" s="10">
        <f>$B8</f>
        <v/>
      </c>
      <c r="F8" s="10">
        <f>$B8</f>
        <v/>
      </c>
      <c r="G8" s="10">
        <f>$B8</f>
        <v/>
      </c>
      <c r="H8" s="10">
        <f>$B8</f>
        <v/>
      </c>
      <c r="I8" s="10">
        <f>$B8</f>
        <v/>
      </c>
      <c r="J8" s="10">
        <f>$B8</f>
        <v/>
      </c>
      <c r="K8" s="10">
        <f>$B8</f>
        <v/>
      </c>
      <c r="L8" s="10">
        <f>$B8</f>
        <v/>
      </c>
      <c r="M8" s="10">
        <f>$B8</f>
        <v/>
      </c>
      <c r="N8" s="10">
        <f>$B8</f>
        <v/>
      </c>
      <c r="O8" s="10">
        <f>$B8</f>
        <v/>
      </c>
      <c r="P8" s="10">
        <f>$B8</f>
        <v/>
      </c>
      <c r="Q8" s="10">
        <f>$B8</f>
        <v/>
      </c>
      <c r="R8" s="10">
        <f>$B8</f>
        <v/>
      </c>
      <c r="S8" s="10">
        <f>$B8</f>
        <v/>
      </c>
      <c r="T8" s="10">
        <f>$B8</f>
        <v/>
      </c>
      <c r="U8" s="10">
        <f>$B8</f>
        <v/>
      </c>
      <c r="V8" s="10">
        <f>$B8</f>
        <v/>
      </c>
      <c r="W8" s="10">
        <f>$B8</f>
        <v/>
      </c>
      <c r="X8" s="10">
        <f>$B8</f>
        <v/>
      </c>
      <c r="Y8" s="10">
        <f>$B8</f>
        <v/>
      </c>
      <c r="Z8" s="10">
        <f>$B8</f>
        <v/>
      </c>
      <c r="AA8" s="10">
        <f>$B8</f>
        <v/>
      </c>
      <c r="AB8" s="10">
        <f>$B8</f>
        <v/>
      </c>
      <c r="AC8" s="10">
        <f>$B8</f>
        <v/>
      </c>
      <c r="AD8" s="10">
        <f>$B8</f>
        <v/>
      </c>
      <c r="AE8" s="10">
        <f>$B8</f>
        <v/>
      </c>
      <c r="AF8" s="10">
        <f>$B8</f>
        <v/>
      </c>
      <c r="AG8" s="10">
        <f>$B8</f>
        <v/>
      </c>
      <c r="AH8" s="10">
        <f>$B8</f>
        <v/>
      </c>
      <c r="AI8" s="10">
        <f>$B8</f>
        <v/>
      </c>
      <c r="AJ8" s="10">
        <f>$B8</f>
        <v/>
      </c>
    </row>
    <row r="9" ht="14.5" customHeight="1" s="82">
      <c r="A9" s="10" t="inlineStr">
        <is>
          <t>biomass</t>
        </is>
      </c>
      <c r="B9" s="10" t="n">
        <v>0</v>
      </c>
      <c r="C9" s="10">
        <f>$B9</f>
        <v/>
      </c>
      <c r="D9" s="10">
        <f>$B9</f>
        <v/>
      </c>
      <c r="E9" s="10">
        <f>$B9</f>
        <v/>
      </c>
      <c r="F9" s="10">
        <f>$B9</f>
        <v/>
      </c>
      <c r="G9" s="10">
        <f>$B9</f>
        <v/>
      </c>
      <c r="H9" s="10">
        <f>$B9</f>
        <v/>
      </c>
      <c r="I9" s="10">
        <f>$B9</f>
        <v/>
      </c>
      <c r="J9" s="10">
        <f>$B9</f>
        <v/>
      </c>
      <c r="K9" s="10">
        <f>$B9</f>
        <v/>
      </c>
      <c r="L9" s="10">
        <f>$B9</f>
        <v/>
      </c>
      <c r="M9" s="10">
        <f>$B9</f>
        <v/>
      </c>
      <c r="N9" s="10">
        <f>$B9</f>
        <v/>
      </c>
      <c r="O9" s="10">
        <f>$B9</f>
        <v/>
      </c>
      <c r="P9" s="10">
        <f>$B9</f>
        <v/>
      </c>
      <c r="Q9" s="10">
        <f>$B9</f>
        <v/>
      </c>
      <c r="R9" s="10">
        <f>$B9</f>
        <v/>
      </c>
      <c r="S9" s="10">
        <f>$B9</f>
        <v/>
      </c>
      <c r="T9" s="10">
        <f>$B9</f>
        <v/>
      </c>
      <c r="U9" s="10">
        <f>$B9</f>
        <v/>
      </c>
      <c r="V9" s="10">
        <f>$B9</f>
        <v/>
      </c>
      <c r="W9" s="10">
        <f>$B9</f>
        <v/>
      </c>
      <c r="X9" s="10">
        <f>$B9</f>
        <v/>
      </c>
      <c r="Y9" s="10">
        <f>$B9</f>
        <v/>
      </c>
      <c r="Z9" s="10">
        <f>$B9</f>
        <v/>
      </c>
      <c r="AA9" s="10">
        <f>$B9</f>
        <v/>
      </c>
      <c r="AB9" s="10">
        <f>$B9</f>
        <v/>
      </c>
      <c r="AC9" s="10">
        <f>$B9</f>
        <v/>
      </c>
      <c r="AD9" s="10">
        <f>$B9</f>
        <v/>
      </c>
      <c r="AE9" s="10">
        <f>$B9</f>
        <v/>
      </c>
      <c r="AF9" s="10">
        <f>$B9</f>
        <v/>
      </c>
      <c r="AG9" s="10">
        <f>$B9</f>
        <v/>
      </c>
      <c r="AH9" s="10">
        <f>$B9</f>
        <v/>
      </c>
      <c r="AI9" s="10">
        <f>$B9</f>
        <v/>
      </c>
      <c r="AJ9" s="10">
        <f>$B9</f>
        <v/>
      </c>
    </row>
    <row r="10" ht="14.5" customHeight="1" s="82">
      <c r="A10" s="10" t="inlineStr">
        <is>
          <t>geothermal</t>
        </is>
      </c>
      <c r="B10" s="10" t="n">
        <v>0</v>
      </c>
      <c r="C10" s="10">
        <f>$B10</f>
        <v/>
      </c>
      <c r="D10" s="10">
        <f>$B10</f>
        <v/>
      </c>
      <c r="E10" s="10">
        <f>$B10</f>
        <v/>
      </c>
      <c r="F10" s="10">
        <f>$B10</f>
        <v/>
      </c>
      <c r="G10" s="10">
        <f>$B10</f>
        <v/>
      </c>
      <c r="H10" s="10">
        <f>$B10</f>
        <v/>
      </c>
      <c r="I10" s="10">
        <f>$B10</f>
        <v/>
      </c>
      <c r="J10" s="10">
        <f>$B10</f>
        <v/>
      </c>
      <c r="K10" s="10">
        <f>$B10</f>
        <v/>
      </c>
      <c r="L10" s="10">
        <f>$B10</f>
        <v/>
      </c>
      <c r="M10" s="10">
        <f>$B10</f>
        <v/>
      </c>
      <c r="N10" s="10">
        <f>$B10</f>
        <v/>
      </c>
      <c r="O10" s="10">
        <f>$B10</f>
        <v/>
      </c>
      <c r="P10" s="10">
        <f>$B10</f>
        <v/>
      </c>
      <c r="Q10" s="10">
        <f>$B10</f>
        <v/>
      </c>
      <c r="R10" s="10">
        <f>$B10</f>
        <v/>
      </c>
      <c r="S10" s="10">
        <f>$B10</f>
        <v/>
      </c>
      <c r="T10" s="10">
        <f>$B10</f>
        <v/>
      </c>
      <c r="U10" s="10">
        <f>$B10</f>
        <v/>
      </c>
      <c r="V10" s="10">
        <f>$B10</f>
        <v/>
      </c>
      <c r="W10" s="10">
        <f>$B10</f>
        <v/>
      </c>
      <c r="X10" s="10">
        <f>$B10</f>
        <v/>
      </c>
      <c r="Y10" s="10">
        <f>$B10</f>
        <v/>
      </c>
      <c r="Z10" s="10">
        <f>$B10</f>
        <v/>
      </c>
      <c r="AA10" s="10">
        <f>$B10</f>
        <v/>
      </c>
      <c r="AB10" s="10">
        <f>$B10</f>
        <v/>
      </c>
      <c r="AC10" s="10">
        <f>$B10</f>
        <v/>
      </c>
      <c r="AD10" s="10">
        <f>$B10</f>
        <v/>
      </c>
      <c r="AE10" s="10">
        <f>$B10</f>
        <v/>
      </c>
      <c r="AF10" s="10">
        <f>$B10</f>
        <v/>
      </c>
      <c r="AG10" s="10">
        <f>$B10</f>
        <v/>
      </c>
      <c r="AH10" s="10">
        <f>$B10</f>
        <v/>
      </c>
      <c r="AI10" s="10">
        <f>$B10</f>
        <v/>
      </c>
      <c r="AJ10" s="10">
        <f>$B10</f>
        <v/>
      </c>
    </row>
    <row r="11" ht="14.5" customHeight="1" s="82">
      <c r="A11" s="10" t="inlineStr">
        <is>
          <t>petroleum</t>
        </is>
      </c>
      <c r="B11" s="10" t="n">
        <v>0</v>
      </c>
      <c r="C11" s="10">
        <f>$B11</f>
        <v/>
      </c>
      <c r="D11" s="10">
        <f>$B11</f>
        <v/>
      </c>
      <c r="E11" s="10">
        <f>$B11</f>
        <v/>
      </c>
      <c r="F11" s="10">
        <f>$B11</f>
        <v/>
      </c>
      <c r="G11" s="10">
        <f>$B11</f>
        <v/>
      </c>
      <c r="H11" s="10">
        <f>$B11</f>
        <v/>
      </c>
      <c r="I11" s="10">
        <f>$B11</f>
        <v/>
      </c>
      <c r="J11" s="10">
        <f>$B11</f>
        <v/>
      </c>
      <c r="K11" s="10">
        <f>$B11</f>
        <v/>
      </c>
      <c r="L11" s="10">
        <f>$B11</f>
        <v/>
      </c>
      <c r="M11" s="10">
        <f>$B11</f>
        <v/>
      </c>
      <c r="N11" s="10">
        <f>$B11</f>
        <v/>
      </c>
      <c r="O11" s="10">
        <f>$B11</f>
        <v/>
      </c>
      <c r="P11" s="10">
        <f>$B11</f>
        <v/>
      </c>
      <c r="Q11" s="10">
        <f>$B11</f>
        <v/>
      </c>
      <c r="R11" s="10">
        <f>$B11</f>
        <v/>
      </c>
      <c r="S11" s="10">
        <f>$B11</f>
        <v/>
      </c>
      <c r="T11" s="10">
        <f>$B11</f>
        <v/>
      </c>
      <c r="U11" s="10">
        <f>$B11</f>
        <v/>
      </c>
      <c r="V11" s="10">
        <f>$B11</f>
        <v/>
      </c>
      <c r="W11" s="10">
        <f>$B11</f>
        <v/>
      </c>
      <c r="X11" s="10">
        <f>$B11</f>
        <v/>
      </c>
      <c r="Y11" s="10">
        <f>$B11</f>
        <v/>
      </c>
      <c r="Z11" s="10">
        <f>$B11</f>
        <v/>
      </c>
      <c r="AA11" s="10">
        <f>$B11</f>
        <v/>
      </c>
      <c r="AB11" s="10">
        <f>$B11</f>
        <v/>
      </c>
      <c r="AC11" s="10">
        <f>$B11</f>
        <v/>
      </c>
      <c r="AD11" s="10">
        <f>$B11</f>
        <v/>
      </c>
      <c r="AE11" s="10">
        <f>$B11</f>
        <v/>
      </c>
      <c r="AF11" s="10">
        <f>$B11</f>
        <v/>
      </c>
      <c r="AG11" s="10">
        <f>$B11</f>
        <v/>
      </c>
      <c r="AH11" s="10">
        <f>$B11</f>
        <v/>
      </c>
      <c r="AI11" s="10">
        <f>$B11</f>
        <v/>
      </c>
      <c r="AJ11" s="10">
        <f>$B11</f>
        <v/>
      </c>
    </row>
    <row r="12" ht="14.5" customHeight="1" s="82">
      <c r="A12" s="10" t="inlineStr">
        <is>
          <t>natural gas peaker</t>
        </is>
      </c>
      <c r="B12" s="10" t="n">
        <v>0</v>
      </c>
      <c r="C12" s="10">
        <f>$B12</f>
        <v/>
      </c>
      <c r="D12" s="10">
        <f>$B12</f>
        <v/>
      </c>
      <c r="E12" s="10">
        <f>$B12</f>
        <v/>
      </c>
      <c r="F12" s="10">
        <f>$B12</f>
        <v/>
      </c>
      <c r="G12" s="10">
        <f>$B12</f>
        <v/>
      </c>
      <c r="H12" s="10">
        <f>$B12</f>
        <v/>
      </c>
      <c r="I12" s="10">
        <f>$B12</f>
        <v/>
      </c>
      <c r="J12" s="10">
        <f>$B12</f>
        <v/>
      </c>
      <c r="K12" s="10">
        <f>$B12</f>
        <v/>
      </c>
      <c r="L12" s="10">
        <f>$B12</f>
        <v/>
      </c>
      <c r="M12" s="10">
        <f>$B12</f>
        <v/>
      </c>
      <c r="N12" s="10">
        <f>$B12</f>
        <v/>
      </c>
      <c r="O12" s="10">
        <f>$B12</f>
        <v/>
      </c>
      <c r="P12" s="10">
        <f>$B12</f>
        <v/>
      </c>
      <c r="Q12" s="10">
        <f>$B12</f>
        <v/>
      </c>
      <c r="R12" s="10">
        <f>$B12</f>
        <v/>
      </c>
      <c r="S12" s="10">
        <f>$B12</f>
        <v/>
      </c>
      <c r="T12" s="10">
        <f>$B12</f>
        <v/>
      </c>
      <c r="U12" s="10">
        <f>$B12</f>
        <v/>
      </c>
      <c r="V12" s="10">
        <f>$B12</f>
        <v/>
      </c>
      <c r="W12" s="10">
        <f>$B12</f>
        <v/>
      </c>
      <c r="X12" s="10">
        <f>$B12</f>
        <v/>
      </c>
      <c r="Y12" s="10">
        <f>$B12</f>
        <v/>
      </c>
      <c r="Z12" s="10">
        <f>$B12</f>
        <v/>
      </c>
      <c r="AA12" s="10">
        <f>$B12</f>
        <v/>
      </c>
      <c r="AB12" s="10">
        <f>$B12</f>
        <v/>
      </c>
      <c r="AC12" s="10">
        <f>$B12</f>
        <v/>
      </c>
      <c r="AD12" s="10">
        <f>$B12</f>
        <v/>
      </c>
      <c r="AE12" s="10">
        <f>$B12</f>
        <v/>
      </c>
      <c r="AF12" s="10">
        <f>$B12</f>
        <v/>
      </c>
      <c r="AG12" s="10">
        <f>$B12</f>
        <v/>
      </c>
      <c r="AH12" s="10">
        <f>$B12</f>
        <v/>
      </c>
      <c r="AI12" s="10">
        <f>$B12</f>
        <v/>
      </c>
      <c r="AJ12" s="10">
        <f>$B12</f>
        <v/>
      </c>
    </row>
    <row r="13" ht="14.5" customHeight="1" s="82">
      <c r="A13" s="10" t="inlineStr">
        <is>
          <t>lignite</t>
        </is>
      </c>
      <c r="B13" s="10" t="n">
        <v>0</v>
      </c>
      <c r="C13" s="10">
        <f>$B13</f>
        <v/>
      </c>
      <c r="D13" s="10">
        <f>$B13</f>
        <v/>
      </c>
      <c r="E13" s="10">
        <f>$B13</f>
        <v/>
      </c>
      <c r="F13" s="10">
        <f>$B13</f>
        <v/>
      </c>
      <c r="G13" s="10">
        <f>$B13</f>
        <v/>
      </c>
      <c r="H13" s="10">
        <f>$B13</f>
        <v/>
      </c>
      <c r="I13" s="10">
        <f>$B13</f>
        <v/>
      </c>
      <c r="J13" s="10">
        <f>$B13</f>
        <v/>
      </c>
      <c r="K13" s="10">
        <f>$B13</f>
        <v/>
      </c>
      <c r="L13" s="10">
        <f>$B13</f>
        <v/>
      </c>
      <c r="M13" s="10">
        <f>$B13</f>
        <v/>
      </c>
      <c r="N13" s="10">
        <f>$B13</f>
        <v/>
      </c>
      <c r="O13" s="10">
        <f>$B13</f>
        <v/>
      </c>
      <c r="P13" s="10">
        <f>$B13</f>
        <v/>
      </c>
      <c r="Q13" s="10">
        <f>$B13</f>
        <v/>
      </c>
      <c r="R13" s="10">
        <f>$B13</f>
        <v/>
      </c>
      <c r="S13" s="10">
        <f>$B13</f>
        <v/>
      </c>
      <c r="T13" s="10">
        <f>$B13</f>
        <v/>
      </c>
      <c r="U13" s="10">
        <f>$B13</f>
        <v/>
      </c>
      <c r="V13" s="10">
        <f>$B13</f>
        <v/>
      </c>
      <c r="W13" s="10">
        <f>$B13</f>
        <v/>
      </c>
      <c r="X13" s="10">
        <f>$B13</f>
        <v/>
      </c>
      <c r="Y13" s="10">
        <f>$B13</f>
        <v/>
      </c>
      <c r="Z13" s="10">
        <f>$B13</f>
        <v/>
      </c>
      <c r="AA13" s="10">
        <f>$B13</f>
        <v/>
      </c>
      <c r="AB13" s="10">
        <f>$B13</f>
        <v/>
      </c>
      <c r="AC13" s="10">
        <f>$B13</f>
        <v/>
      </c>
      <c r="AD13" s="10">
        <f>$B13</f>
        <v/>
      </c>
      <c r="AE13" s="10">
        <f>$B13</f>
        <v/>
      </c>
      <c r="AF13" s="10">
        <f>$B13</f>
        <v/>
      </c>
      <c r="AG13" s="10">
        <f>$B13</f>
        <v/>
      </c>
      <c r="AH13" s="10">
        <f>$B13</f>
        <v/>
      </c>
      <c r="AI13" s="10">
        <f>$B13</f>
        <v/>
      </c>
      <c r="AJ13" s="10">
        <f>$B13</f>
        <v/>
      </c>
    </row>
    <row r="14" ht="14.5" customHeight="1" s="82">
      <c r="A14" s="10" t="inlineStr">
        <is>
          <t>offshore wind</t>
        </is>
      </c>
      <c r="B14" s="10" t="n">
        <v>0</v>
      </c>
      <c r="C14" s="10">
        <f>$B14</f>
        <v/>
      </c>
      <c r="D14" s="10">
        <f>$B14</f>
        <v/>
      </c>
      <c r="E14" s="10">
        <f>$B14</f>
        <v/>
      </c>
      <c r="F14" s="10">
        <f>$B14</f>
        <v/>
      </c>
      <c r="G14" s="10">
        <f>$B14</f>
        <v/>
      </c>
      <c r="H14" s="10">
        <f>$B14</f>
        <v/>
      </c>
      <c r="I14" s="10">
        <f>$B14</f>
        <v/>
      </c>
      <c r="J14" s="10">
        <f>$B14</f>
        <v/>
      </c>
      <c r="K14" s="10">
        <f>$B14</f>
        <v/>
      </c>
      <c r="L14" s="10">
        <f>$B14</f>
        <v/>
      </c>
      <c r="M14" s="10">
        <f>$B14</f>
        <v/>
      </c>
      <c r="N14" s="10">
        <f>$B14</f>
        <v/>
      </c>
      <c r="O14" s="10">
        <f>$B14</f>
        <v/>
      </c>
      <c r="P14" s="10">
        <f>$B14</f>
        <v/>
      </c>
      <c r="Q14" s="10">
        <f>$B14</f>
        <v/>
      </c>
      <c r="R14" s="10">
        <f>$B14</f>
        <v/>
      </c>
      <c r="S14" s="10">
        <f>$B14</f>
        <v/>
      </c>
      <c r="T14" s="10">
        <f>$B14</f>
        <v/>
      </c>
      <c r="U14" s="10">
        <f>$B14</f>
        <v/>
      </c>
      <c r="V14" s="10">
        <f>$B14</f>
        <v/>
      </c>
      <c r="W14" s="10">
        <f>$B14</f>
        <v/>
      </c>
      <c r="X14" s="10">
        <f>$B14</f>
        <v/>
      </c>
      <c r="Y14" s="10">
        <f>$B14</f>
        <v/>
      </c>
      <c r="Z14" s="10">
        <f>$B14</f>
        <v/>
      </c>
      <c r="AA14" s="10">
        <f>$B14</f>
        <v/>
      </c>
      <c r="AB14" s="10">
        <f>$B14</f>
        <v/>
      </c>
      <c r="AC14" s="10">
        <f>$B14</f>
        <v/>
      </c>
      <c r="AD14" s="10">
        <f>$B14</f>
        <v/>
      </c>
      <c r="AE14" s="10">
        <f>$B14</f>
        <v/>
      </c>
      <c r="AF14" s="10">
        <f>$B14</f>
        <v/>
      </c>
      <c r="AG14" s="10">
        <f>$B14</f>
        <v/>
      </c>
      <c r="AH14" s="10">
        <f>$B14</f>
        <v/>
      </c>
      <c r="AI14" s="10">
        <f>$B14</f>
        <v/>
      </c>
      <c r="AJ14" s="10">
        <f>$B14</f>
        <v/>
      </c>
    </row>
    <row r="15" ht="14.5" customHeight="1" s="82">
      <c r="A15" s="10" t="inlineStr">
        <is>
          <t>crude oil</t>
        </is>
      </c>
      <c r="B15" s="10" t="n">
        <v>0</v>
      </c>
      <c r="C15" s="10">
        <f>$B15</f>
        <v/>
      </c>
      <c r="D15" s="10">
        <f>$B15</f>
        <v/>
      </c>
      <c r="E15" s="10">
        <f>$B15</f>
        <v/>
      </c>
      <c r="F15" s="10">
        <f>$B15</f>
        <v/>
      </c>
      <c r="G15" s="10">
        <f>$B15</f>
        <v/>
      </c>
      <c r="H15" s="10">
        <f>$B15</f>
        <v/>
      </c>
      <c r="I15" s="10">
        <f>$B15</f>
        <v/>
      </c>
      <c r="J15" s="10">
        <f>$B15</f>
        <v/>
      </c>
      <c r="K15" s="10">
        <f>$B15</f>
        <v/>
      </c>
      <c r="L15" s="10">
        <f>$B15</f>
        <v/>
      </c>
      <c r="M15" s="10">
        <f>$B15</f>
        <v/>
      </c>
      <c r="N15" s="10">
        <f>$B15</f>
        <v/>
      </c>
      <c r="O15" s="10">
        <f>$B15</f>
        <v/>
      </c>
      <c r="P15" s="10">
        <f>$B15</f>
        <v/>
      </c>
      <c r="Q15" s="10">
        <f>$B15</f>
        <v/>
      </c>
      <c r="R15" s="10">
        <f>$B15</f>
        <v/>
      </c>
      <c r="S15" s="10">
        <f>$B15</f>
        <v/>
      </c>
      <c r="T15" s="10">
        <f>$B15</f>
        <v/>
      </c>
      <c r="U15" s="10">
        <f>$B15</f>
        <v/>
      </c>
      <c r="V15" s="10">
        <f>$B15</f>
        <v/>
      </c>
      <c r="W15" s="10">
        <f>$B15</f>
        <v/>
      </c>
      <c r="X15" s="10">
        <f>$B15</f>
        <v/>
      </c>
      <c r="Y15" s="10">
        <f>$B15</f>
        <v/>
      </c>
      <c r="Z15" s="10">
        <f>$B15</f>
        <v/>
      </c>
      <c r="AA15" s="10">
        <f>$B15</f>
        <v/>
      </c>
      <c r="AB15" s="10">
        <f>$B15</f>
        <v/>
      </c>
      <c r="AC15" s="10">
        <f>$B15</f>
        <v/>
      </c>
      <c r="AD15" s="10">
        <f>$B15</f>
        <v/>
      </c>
      <c r="AE15" s="10">
        <f>$B15</f>
        <v/>
      </c>
      <c r="AF15" s="10">
        <f>$B15</f>
        <v/>
      </c>
      <c r="AG15" s="10">
        <f>$B15</f>
        <v/>
      </c>
      <c r="AH15" s="10">
        <f>$B15</f>
        <v/>
      </c>
      <c r="AI15" s="10">
        <f>$B15</f>
        <v/>
      </c>
      <c r="AJ15" s="10">
        <f>$B15</f>
        <v/>
      </c>
    </row>
    <row r="16" ht="14.5" customHeight="1" s="82">
      <c r="A16" s="10" t="inlineStr">
        <is>
          <t>heavy or residual fuel oil</t>
        </is>
      </c>
      <c r="B16" s="10" t="n">
        <v>0</v>
      </c>
      <c r="C16" s="10">
        <f>$B16</f>
        <v/>
      </c>
      <c r="D16" s="10">
        <f>$B16</f>
        <v/>
      </c>
      <c r="E16" s="10">
        <f>$B16</f>
        <v/>
      </c>
      <c r="F16" s="10">
        <f>$B16</f>
        <v/>
      </c>
      <c r="G16" s="10">
        <f>$B16</f>
        <v/>
      </c>
      <c r="H16" s="10">
        <f>$B16</f>
        <v/>
      </c>
      <c r="I16" s="10">
        <f>$B16</f>
        <v/>
      </c>
      <c r="J16" s="10">
        <f>$B16</f>
        <v/>
      </c>
      <c r="K16" s="10">
        <f>$B16</f>
        <v/>
      </c>
      <c r="L16" s="10">
        <f>$B16</f>
        <v/>
      </c>
      <c r="M16" s="10">
        <f>$B16</f>
        <v/>
      </c>
      <c r="N16" s="10">
        <f>$B16</f>
        <v/>
      </c>
      <c r="O16" s="10">
        <f>$B16</f>
        <v/>
      </c>
      <c r="P16" s="10">
        <f>$B16</f>
        <v/>
      </c>
      <c r="Q16" s="10">
        <f>$B16</f>
        <v/>
      </c>
      <c r="R16" s="10">
        <f>$B16</f>
        <v/>
      </c>
      <c r="S16" s="10">
        <f>$B16</f>
        <v/>
      </c>
      <c r="T16" s="10">
        <f>$B16</f>
        <v/>
      </c>
      <c r="U16" s="10">
        <f>$B16</f>
        <v/>
      </c>
      <c r="V16" s="10">
        <f>$B16</f>
        <v/>
      </c>
      <c r="W16" s="10">
        <f>$B16</f>
        <v/>
      </c>
      <c r="X16" s="10">
        <f>$B16</f>
        <v/>
      </c>
      <c r="Y16" s="10">
        <f>$B16</f>
        <v/>
      </c>
      <c r="Z16" s="10">
        <f>$B16</f>
        <v/>
      </c>
      <c r="AA16" s="10">
        <f>$B16</f>
        <v/>
      </c>
      <c r="AB16" s="10">
        <f>$B16</f>
        <v/>
      </c>
      <c r="AC16" s="10">
        <f>$B16</f>
        <v/>
      </c>
      <c r="AD16" s="10">
        <f>$B16</f>
        <v/>
      </c>
      <c r="AE16" s="10">
        <f>$B16</f>
        <v/>
      </c>
      <c r="AF16" s="10">
        <f>$B16</f>
        <v/>
      </c>
      <c r="AG16" s="10">
        <f>$B16</f>
        <v/>
      </c>
      <c r="AH16" s="10">
        <f>$B16</f>
        <v/>
      </c>
      <c r="AI16" s="10">
        <f>$B16</f>
        <v/>
      </c>
      <c r="AJ16" s="10">
        <f>$B16</f>
        <v/>
      </c>
    </row>
    <row r="17" ht="14.5" customHeight="1" s="82">
      <c r="A17" s="10" t="inlineStr">
        <is>
          <t>municipal solid waste</t>
        </is>
      </c>
      <c r="B17" s="10" t="n">
        <v>0</v>
      </c>
      <c r="C17" s="10">
        <f>$B17</f>
        <v/>
      </c>
      <c r="D17" s="10">
        <f>$B17</f>
        <v/>
      </c>
      <c r="E17" s="10">
        <f>$B17</f>
        <v/>
      </c>
      <c r="F17" s="10">
        <f>$B17</f>
        <v/>
      </c>
      <c r="G17" s="10">
        <f>$B17</f>
        <v/>
      </c>
      <c r="H17" s="10">
        <f>$B17</f>
        <v/>
      </c>
      <c r="I17" s="10">
        <f>$B17</f>
        <v/>
      </c>
      <c r="J17" s="10">
        <f>$B17</f>
        <v/>
      </c>
      <c r="K17" s="10">
        <f>$B17</f>
        <v/>
      </c>
      <c r="L17" s="10">
        <f>$B17</f>
        <v/>
      </c>
      <c r="M17" s="10">
        <f>$B17</f>
        <v/>
      </c>
      <c r="N17" s="10">
        <f>$B17</f>
        <v/>
      </c>
      <c r="O17" s="10">
        <f>$B17</f>
        <v/>
      </c>
      <c r="P17" s="10">
        <f>$B17</f>
        <v/>
      </c>
      <c r="Q17" s="10">
        <f>$B17</f>
        <v/>
      </c>
      <c r="R17" s="10">
        <f>$B17</f>
        <v/>
      </c>
      <c r="S17" s="10">
        <f>$B17</f>
        <v/>
      </c>
      <c r="T17" s="10">
        <f>$B17</f>
        <v/>
      </c>
      <c r="U17" s="10">
        <f>$B17</f>
        <v/>
      </c>
      <c r="V17" s="10">
        <f>$B17</f>
        <v/>
      </c>
      <c r="W17" s="10">
        <f>$B17</f>
        <v/>
      </c>
      <c r="X17" s="10">
        <f>$B17</f>
        <v/>
      </c>
      <c r="Y17" s="10">
        <f>$B17</f>
        <v/>
      </c>
      <c r="Z17" s="10">
        <f>$B17</f>
        <v/>
      </c>
      <c r="AA17" s="10">
        <f>$B17</f>
        <v/>
      </c>
      <c r="AB17" s="10">
        <f>$B17</f>
        <v/>
      </c>
      <c r="AC17" s="10">
        <f>$B17</f>
        <v/>
      </c>
      <c r="AD17" s="10">
        <f>$B17</f>
        <v/>
      </c>
      <c r="AE17" s="10">
        <f>$B17</f>
        <v/>
      </c>
      <c r="AF17" s="10">
        <f>$B17</f>
        <v/>
      </c>
      <c r="AG17" s="10">
        <f>$B17</f>
        <v/>
      </c>
      <c r="AH17" s="10">
        <f>$B17</f>
        <v/>
      </c>
      <c r="AI17" s="10">
        <f>$B17</f>
        <v/>
      </c>
      <c r="AJ17" s="10">
        <f>$B17</f>
        <v/>
      </c>
    </row>
    <row r="18" ht="14.5" customHeight="1" s="82">
      <c r="A18" s="2" t="n"/>
      <c r="B18" s="2" t="n"/>
      <c r="C18" s="2" t="n"/>
      <c r="D18" s="2" t="n"/>
    </row>
    <row r="19" ht="14.5" customHeight="1" s="82">
      <c r="A19" s="2" t="n"/>
      <c r="B19" s="2" t="n"/>
      <c r="C19" s="2" t="n"/>
      <c r="D19" s="2" t="n"/>
    </row>
    <row r="20" ht="14.5" customHeight="1" s="82">
      <c r="A20" s="2" t="n"/>
      <c r="B20" s="2" t="n"/>
      <c r="C20" s="2" t="n"/>
      <c r="D20" s="2" t="n"/>
    </row>
    <row r="21" ht="15.75" customHeight="1" s="82">
      <c r="A21" s="2" t="n"/>
      <c r="B21" s="2" t="n"/>
      <c r="C21" s="2" t="n"/>
      <c r="D21" s="2" t="n"/>
    </row>
    <row r="22" ht="15.75" customHeight="1" s="82">
      <c r="A22" s="2" t="n"/>
      <c r="B22" s="2" t="n"/>
      <c r="C22" s="2" t="n"/>
      <c r="D22" s="2" t="n"/>
    </row>
    <row r="23" ht="15.75" customHeight="1" s="82">
      <c r="A23" s="2" t="n"/>
      <c r="B23" s="2" t="n"/>
      <c r="C23" s="2" t="n"/>
      <c r="D23" s="2" t="n"/>
    </row>
    <row r="24" ht="15.75" customHeight="1" s="82">
      <c r="A24" s="2" t="n"/>
      <c r="B24" s="2" t="n"/>
      <c r="C24" s="2" t="n"/>
      <c r="D24" s="2" t="n"/>
    </row>
    <row r="25" ht="15.75" customHeight="1" s="82">
      <c r="A25" s="2" t="n"/>
      <c r="B25" s="2" t="n"/>
      <c r="C25" s="2" t="n"/>
      <c r="D25" s="2" t="n"/>
    </row>
    <row r="26" ht="15.75" customHeight="1" s="82">
      <c r="A26" s="2" t="n"/>
      <c r="B26" s="2" t="n"/>
      <c r="C26" s="2" t="n"/>
      <c r="D26" s="2" t="n"/>
    </row>
    <row r="27" ht="15.75" customHeight="1" s="82">
      <c r="A27" s="2" t="n"/>
      <c r="B27" s="2" t="n"/>
      <c r="C27" s="2" t="n"/>
      <c r="D27" s="2" t="n"/>
    </row>
    <row r="28" ht="15.75" customHeight="1" s="82">
      <c r="A28" s="2" t="n"/>
      <c r="B28" s="2" t="n"/>
      <c r="C28" s="2" t="n"/>
      <c r="D28" s="2" t="n"/>
    </row>
    <row r="29" ht="15.75" customHeight="1" s="82">
      <c r="A29" s="2" t="n"/>
      <c r="B29" s="2" t="n"/>
      <c r="C29" s="2" t="n"/>
      <c r="D29" s="2" t="n"/>
    </row>
    <row r="30" ht="15.75" customHeight="1" s="82">
      <c r="A30" s="2" t="n"/>
      <c r="B30" s="2" t="n"/>
      <c r="C30" s="2" t="n"/>
      <c r="D30" s="2" t="n"/>
    </row>
    <row r="31" ht="15.75" customHeight="1" s="82">
      <c r="A31" s="2" t="n"/>
      <c r="B31" s="2" t="n"/>
      <c r="C31" s="2" t="n"/>
      <c r="D31" s="2" t="n"/>
    </row>
    <row r="32" ht="15.75" customHeight="1" s="82">
      <c r="A32" s="2" t="n"/>
      <c r="B32" s="2" t="n"/>
      <c r="C32" s="2" t="n"/>
      <c r="D32" s="2" t="n"/>
    </row>
    <row r="33" ht="15.75" customHeight="1" s="82">
      <c r="A33" s="2" t="n"/>
      <c r="B33" s="2" t="n"/>
      <c r="C33" s="2" t="n"/>
      <c r="D33" s="2" t="n"/>
    </row>
    <row r="34" ht="15.75" customHeight="1" s="82">
      <c r="A34" s="2" t="n"/>
      <c r="B34" s="2" t="n"/>
      <c r="C34" s="2" t="n"/>
      <c r="D34" s="2" t="n"/>
    </row>
    <row r="35" ht="15.75" customHeight="1" s="82">
      <c r="A35" s="2" t="n"/>
      <c r="B35" s="2" t="n"/>
      <c r="C35" s="2" t="n"/>
      <c r="D35" s="2" t="n"/>
    </row>
    <row r="36" ht="15.75" customHeight="1" s="82">
      <c r="A36" s="2" t="n"/>
      <c r="B36" s="2" t="n"/>
      <c r="C36" s="2" t="n"/>
      <c r="D36" s="2" t="n"/>
    </row>
    <row r="37" ht="15.75" customHeight="1" s="82">
      <c r="A37" s="2" t="n"/>
      <c r="B37" s="2" t="n"/>
      <c r="C37" s="2" t="n"/>
      <c r="D37" s="2" t="n"/>
    </row>
    <row r="38" ht="15.75" customHeight="1" s="82">
      <c r="A38" s="2" t="n"/>
      <c r="B38" s="2" t="n"/>
      <c r="C38" s="2" t="n"/>
      <c r="D38" s="2" t="n"/>
    </row>
    <row r="39" ht="15.75" customHeight="1" s="82">
      <c r="A39" s="2" t="n"/>
      <c r="B39" s="2" t="n"/>
      <c r="C39" s="2" t="n"/>
      <c r="D39" s="2" t="n"/>
    </row>
    <row r="40" ht="15.75" customHeight="1" s="82">
      <c r="A40" s="2" t="n"/>
      <c r="B40" s="2" t="n"/>
      <c r="C40" s="2" t="n"/>
      <c r="D40" s="2" t="n"/>
    </row>
    <row r="41" ht="15.75" customHeight="1" s="82">
      <c r="A41" s="2" t="n"/>
      <c r="B41" s="2" t="n"/>
      <c r="C41" s="2" t="n"/>
      <c r="D41" s="2" t="n"/>
    </row>
    <row r="42" ht="15.75" customHeight="1" s="82">
      <c r="A42" s="2" t="n"/>
      <c r="B42" s="2" t="n"/>
      <c r="C42" s="2" t="n"/>
      <c r="D42" s="2" t="n"/>
    </row>
    <row r="43" ht="15.75" customHeight="1" s="82">
      <c r="A43" s="2" t="n"/>
      <c r="B43" s="2" t="n"/>
      <c r="C43" s="2" t="n"/>
      <c r="D43" s="2" t="n"/>
    </row>
    <row r="44" ht="15.75" customHeight="1" s="82">
      <c r="A44" s="2" t="n"/>
      <c r="B44" s="2" t="n"/>
      <c r="C44" s="2" t="n"/>
      <c r="D44" s="2" t="n"/>
    </row>
    <row r="45" ht="15.75" customHeight="1" s="82">
      <c r="A45" s="2" t="n"/>
      <c r="B45" s="2" t="n"/>
      <c r="C45" s="2" t="n"/>
      <c r="D45" s="2" t="n"/>
    </row>
    <row r="46" ht="15.75" customHeight="1" s="82">
      <c r="A46" s="2" t="n"/>
      <c r="B46" s="2" t="n"/>
      <c r="C46" s="2" t="n"/>
      <c r="D46" s="2" t="n"/>
    </row>
    <row r="47" ht="15.75" customHeight="1" s="82">
      <c r="A47" s="2" t="n"/>
      <c r="B47" s="2" t="n"/>
      <c r="C47" s="2" t="n"/>
      <c r="D47" s="2" t="n"/>
    </row>
    <row r="48" ht="15.75" customHeight="1" s="82">
      <c r="A48" s="2" t="n"/>
      <c r="B48" s="2" t="n"/>
      <c r="C48" s="2" t="n"/>
      <c r="D48" s="2" t="n"/>
    </row>
    <row r="49" ht="15.75" customHeight="1" s="82">
      <c r="A49" s="2" t="n"/>
      <c r="B49" s="2" t="n"/>
      <c r="C49" s="2" t="n"/>
      <c r="D49" s="2" t="n"/>
    </row>
    <row r="50" ht="15.75" customHeight="1" s="82">
      <c r="A50" s="2" t="n"/>
      <c r="B50" s="2" t="n"/>
      <c r="C50" s="2" t="n"/>
      <c r="D50" s="2" t="n"/>
    </row>
    <row r="51" ht="15.75" customHeight="1" s="82">
      <c r="A51" s="2" t="n"/>
      <c r="B51" s="2" t="n"/>
      <c r="C51" s="2" t="n"/>
      <c r="D51" s="2" t="n"/>
    </row>
    <row r="52" ht="15.75" customHeight="1" s="82">
      <c r="A52" s="2" t="n"/>
      <c r="B52" s="2" t="n"/>
      <c r="C52" s="2" t="n"/>
      <c r="D52" s="2" t="n"/>
    </row>
    <row r="53" ht="15.75" customHeight="1" s="82">
      <c r="A53" s="2" t="n"/>
      <c r="B53" s="2" t="n"/>
      <c r="C53" s="2" t="n"/>
      <c r="D53" s="2" t="n"/>
    </row>
    <row r="54" ht="15.75" customHeight="1" s="82">
      <c r="A54" s="2" t="n"/>
      <c r="B54" s="2" t="n"/>
      <c r="C54" s="2" t="n"/>
      <c r="D54" s="2" t="n"/>
    </row>
    <row r="55" ht="15.75" customHeight="1" s="82">
      <c r="A55" s="2" t="n"/>
      <c r="B55" s="2" t="n"/>
      <c r="C55" s="2" t="n"/>
      <c r="D55" s="2" t="n"/>
    </row>
    <row r="56" ht="15.75" customHeight="1" s="82">
      <c r="A56" s="2" t="n"/>
      <c r="B56" s="2" t="n"/>
      <c r="C56" s="2" t="n"/>
      <c r="D56" s="2" t="n"/>
    </row>
    <row r="57" ht="15.75" customHeight="1" s="82">
      <c r="A57" s="2" t="n"/>
      <c r="B57" s="2" t="n"/>
      <c r="C57" s="2" t="n"/>
      <c r="D57" s="2" t="n"/>
    </row>
    <row r="58" ht="15.75" customHeight="1" s="82">
      <c r="A58" s="2" t="n"/>
      <c r="B58" s="2" t="n"/>
      <c r="C58" s="2" t="n"/>
      <c r="D58" s="2" t="n"/>
    </row>
    <row r="59" ht="15.75" customHeight="1" s="82">
      <c r="A59" s="2" t="n"/>
      <c r="B59" s="2" t="n"/>
      <c r="C59" s="2" t="n"/>
      <c r="D59" s="2" t="n"/>
    </row>
    <row r="60" ht="15.75" customHeight="1" s="82">
      <c r="A60" s="2" t="n"/>
      <c r="B60" s="2" t="n"/>
      <c r="C60" s="2" t="n"/>
      <c r="D60" s="2" t="n"/>
    </row>
    <row r="61" ht="15.75" customHeight="1" s="82">
      <c r="A61" s="2" t="n"/>
      <c r="B61" s="2" t="n"/>
      <c r="C61" s="2" t="n"/>
      <c r="D61" s="2" t="n"/>
    </row>
    <row r="62" ht="15.75" customHeight="1" s="82">
      <c r="A62" s="2" t="n"/>
      <c r="B62" s="2" t="n"/>
      <c r="C62" s="2" t="n"/>
      <c r="D62" s="2" t="n"/>
    </row>
    <row r="63" ht="15.75" customHeight="1" s="82">
      <c r="A63" s="2" t="n"/>
      <c r="B63" s="2" t="n"/>
      <c r="C63" s="2" t="n"/>
      <c r="D63" s="2" t="n"/>
    </row>
    <row r="64" ht="15.75" customHeight="1" s="82">
      <c r="A64" s="2" t="n"/>
      <c r="B64" s="2" t="n"/>
      <c r="C64" s="2" t="n"/>
      <c r="D64" s="2" t="n"/>
    </row>
    <row r="65" ht="15.75" customHeight="1" s="82">
      <c r="A65" s="2" t="n"/>
      <c r="B65" s="2" t="n"/>
      <c r="C65" s="2" t="n"/>
      <c r="D65" s="2" t="n"/>
    </row>
    <row r="66" ht="15.75" customHeight="1" s="82">
      <c r="A66" s="2" t="n"/>
      <c r="B66" s="2" t="n"/>
      <c r="C66" s="2" t="n"/>
      <c r="D66" s="2" t="n"/>
    </row>
    <row r="67" ht="15.75" customHeight="1" s="82">
      <c r="A67" s="2" t="n"/>
      <c r="B67" s="2" t="n"/>
      <c r="C67" s="2" t="n"/>
      <c r="D67" s="2" t="n"/>
    </row>
    <row r="68" ht="15.75" customHeight="1" s="82">
      <c r="A68" s="2" t="n"/>
      <c r="B68" s="2" t="n"/>
      <c r="C68" s="2" t="n"/>
      <c r="D68" s="2" t="n"/>
    </row>
    <row r="69" ht="15.75" customHeight="1" s="82">
      <c r="A69" s="2" t="n"/>
      <c r="B69" s="2" t="n"/>
      <c r="C69" s="2" t="n"/>
      <c r="D69" s="2" t="n"/>
    </row>
    <row r="70" ht="15.75" customHeight="1" s="82">
      <c r="A70" s="2" t="n"/>
      <c r="B70" s="2" t="n"/>
      <c r="C70" s="2" t="n"/>
      <c r="D70" s="2" t="n"/>
    </row>
    <row r="71" ht="15.75" customHeight="1" s="82">
      <c r="A71" s="2" t="n"/>
      <c r="B71" s="2" t="n"/>
      <c r="C71" s="2" t="n"/>
      <c r="D71" s="2" t="n"/>
    </row>
    <row r="72" ht="15.75" customHeight="1" s="82">
      <c r="A72" s="2" t="n"/>
      <c r="B72" s="2" t="n"/>
      <c r="C72" s="2" t="n"/>
      <c r="D72" s="2" t="n"/>
    </row>
    <row r="73" ht="15.75" customHeight="1" s="82">
      <c r="A73" s="2" t="n"/>
      <c r="B73" s="2" t="n"/>
      <c r="C73" s="2" t="n"/>
      <c r="D73" s="2" t="n"/>
    </row>
    <row r="74" ht="15.75" customHeight="1" s="82">
      <c r="A74" s="2" t="n"/>
      <c r="B74" s="2" t="n"/>
      <c r="C74" s="2" t="n"/>
      <c r="D74" s="2" t="n"/>
    </row>
    <row r="75" ht="15.75" customHeight="1" s="82">
      <c r="A75" s="2" t="n"/>
      <c r="B75" s="2" t="n"/>
      <c r="C75" s="2" t="n"/>
      <c r="D75" s="2" t="n"/>
    </row>
    <row r="76" ht="15.75" customHeight="1" s="82">
      <c r="A76" s="2" t="n"/>
      <c r="B76" s="2" t="n"/>
      <c r="C76" s="2" t="n"/>
      <c r="D76" s="2" t="n"/>
    </row>
    <row r="77" ht="15.75" customHeight="1" s="82">
      <c r="A77" s="2" t="n"/>
      <c r="B77" s="2" t="n"/>
      <c r="C77" s="2" t="n"/>
      <c r="D77" s="2" t="n"/>
    </row>
    <row r="78" ht="15.75" customHeight="1" s="82">
      <c r="A78" s="2" t="n"/>
      <c r="B78" s="2" t="n"/>
      <c r="C78" s="2" t="n"/>
      <c r="D78" s="2" t="n"/>
    </row>
    <row r="79" ht="15.75" customHeight="1" s="82">
      <c r="A79" s="2" t="n"/>
      <c r="B79" s="2" t="n"/>
      <c r="C79" s="2" t="n"/>
      <c r="D79" s="2" t="n"/>
    </row>
    <row r="80" ht="15.75" customHeight="1" s="82">
      <c r="A80" s="2" t="n"/>
      <c r="B80" s="2" t="n"/>
      <c r="C80" s="2" t="n"/>
      <c r="D80" s="2" t="n"/>
    </row>
    <row r="81" ht="15.75" customHeight="1" s="82">
      <c r="A81" s="2" t="n"/>
      <c r="B81" s="2" t="n"/>
      <c r="C81" s="2" t="n"/>
      <c r="D81" s="2" t="n"/>
    </row>
    <row r="82" ht="15.75" customHeight="1" s="82">
      <c r="A82" s="2" t="n"/>
      <c r="B82" s="2" t="n"/>
      <c r="C82" s="2" t="n"/>
      <c r="D82" s="2" t="n"/>
    </row>
    <row r="83" ht="15.75" customHeight="1" s="82">
      <c r="A83" s="2" t="n"/>
      <c r="B83" s="2" t="n"/>
      <c r="C83" s="2" t="n"/>
      <c r="D83" s="2" t="n"/>
    </row>
    <row r="84" ht="15.75" customHeight="1" s="82">
      <c r="A84" s="2" t="n"/>
      <c r="B84" s="2" t="n"/>
      <c r="C84" s="2" t="n"/>
      <c r="D84" s="2" t="n"/>
    </row>
    <row r="85" ht="15.75" customHeight="1" s="82">
      <c r="A85" s="2" t="n"/>
      <c r="B85" s="2" t="n"/>
      <c r="C85" s="2" t="n"/>
      <c r="D85" s="2" t="n"/>
    </row>
    <row r="86" ht="15.75" customHeight="1" s="82">
      <c r="A86" s="2" t="n"/>
      <c r="B86" s="2" t="n"/>
      <c r="C86" s="2" t="n"/>
      <c r="D86" s="2" t="n"/>
    </row>
    <row r="87" ht="15.75" customHeight="1" s="82">
      <c r="A87" s="2" t="n"/>
      <c r="B87" s="2" t="n"/>
      <c r="C87" s="2" t="n"/>
      <c r="D87" s="2" t="n"/>
    </row>
    <row r="88" ht="15.75" customHeight="1" s="82">
      <c r="A88" s="2" t="n"/>
      <c r="B88" s="2" t="n"/>
      <c r="C88" s="2" t="n"/>
      <c r="D88" s="2" t="n"/>
    </row>
    <row r="89" ht="15.75" customHeight="1" s="82">
      <c r="A89" s="2" t="n"/>
      <c r="B89" s="2" t="n"/>
      <c r="C89" s="2" t="n"/>
      <c r="D89" s="2" t="n"/>
    </row>
    <row r="90" ht="15.75" customHeight="1" s="82">
      <c r="A90" s="2" t="n"/>
      <c r="B90" s="2" t="n"/>
      <c r="C90" s="2" t="n"/>
      <c r="D90" s="2" t="n"/>
    </row>
    <row r="91" ht="15.75" customHeight="1" s="82">
      <c r="A91" s="2" t="n"/>
      <c r="B91" s="2" t="n"/>
      <c r="C91" s="2" t="n"/>
      <c r="D91" s="2" t="n"/>
    </row>
    <row r="92" ht="15.75" customHeight="1" s="82">
      <c r="A92" s="2" t="n"/>
      <c r="B92" s="2" t="n"/>
      <c r="C92" s="2" t="n"/>
      <c r="D92" s="2" t="n"/>
    </row>
    <row r="93" ht="15.75" customHeight="1" s="82">
      <c r="A93" s="2" t="n"/>
      <c r="B93" s="2" t="n"/>
      <c r="C93" s="2" t="n"/>
      <c r="D93" s="2" t="n"/>
    </row>
    <row r="94" ht="15.75" customHeight="1" s="82">
      <c r="A94" s="2" t="n"/>
      <c r="B94" s="2" t="n"/>
      <c r="C94" s="2" t="n"/>
      <c r="D94" s="2" t="n"/>
    </row>
    <row r="95" ht="15.75" customHeight="1" s="82">
      <c r="A95" s="2" t="n"/>
      <c r="B95" s="2" t="n"/>
      <c r="C95" s="2" t="n"/>
      <c r="D95" s="2" t="n"/>
    </row>
    <row r="96" ht="15.75" customHeight="1" s="82">
      <c r="A96" s="2" t="n"/>
      <c r="B96" s="2" t="n"/>
      <c r="C96" s="2" t="n"/>
      <c r="D96" s="2" t="n"/>
    </row>
    <row r="97" ht="15.75" customHeight="1" s="82">
      <c r="A97" s="2" t="n"/>
      <c r="B97" s="2" t="n"/>
      <c r="C97" s="2" t="n"/>
      <c r="D97" s="2" t="n"/>
    </row>
    <row r="98" ht="15.75" customHeight="1" s="82">
      <c r="A98" s="2" t="n"/>
      <c r="B98" s="2" t="n"/>
      <c r="C98" s="2" t="n"/>
      <c r="D98" s="2" t="n"/>
    </row>
    <row r="99" ht="15.75" customHeight="1" s="82">
      <c r="A99" s="2" t="n"/>
      <c r="B99" s="2" t="n"/>
      <c r="C99" s="2" t="n"/>
      <c r="D99" s="2" t="n"/>
    </row>
    <row r="100" ht="15.75" customHeight="1" s="82">
      <c r="A100" s="2" t="n"/>
      <c r="B100" s="2" t="n"/>
      <c r="C100" s="2" t="n"/>
      <c r="D100" s="2" t="n"/>
    </row>
    <row r="101" ht="15.75" customHeight="1" s="82">
      <c r="A101" s="2" t="n"/>
      <c r="B101" s="2" t="n"/>
      <c r="C101" s="2" t="n"/>
      <c r="D101" s="2" t="n"/>
    </row>
    <row r="102" ht="15.75" customHeight="1" s="82">
      <c r="A102" s="2" t="n"/>
      <c r="B102" s="2" t="n"/>
      <c r="C102" s="2" t="n"/>
      <c r="D102" s="2" t="n"/>
    </row>
    <row r="103" ht="15.75" customHeight="1" s="82">
      <c r="A103" s="2" t="n"/>
      <c r="B103" s="2" t="n"/>
      <c r="C103" s="2" t="n"/>
      <c r="D103" s="2" t="n"/>
    </row>
    <row r="104" ht="15.75" customHeight="1" s="82">
      <c r="A104" s="2" t="n"/>
      <c r="B104" s="2" t="n"/>
      <c r="C104" s="2" t="n"/>
      <c r="D104" s="2" t="n"/>
    </row>
    <row r="105" ht="15.75" customHeight="1" s="82">
      <c r="A105" s="2" t="n"/>
      <c r="B105" s="2" t="n"/>
      <c r="C105" s="2" t="n"/>
      <c r="D105" s="2" t="n"/>
    </row>
    <row r="106" ht="15.75" customHeight="1" s="82">
      <c r="A106" s="2" t="n"/>
      <c r="B106" s="2" t="n"/>
      <c r="C106" s="2" t="n"/>
      <c r="D106" s="2" t="n"/>
    </row>
    <row r="107" ht="15.75" customHeight="1" s="82">
      <c r="A107" s="2" t="n"/>
      <c r="B107" s="2" t="n"/>
      <c r="C107" s="2" t="n"/>
      <c r="D107" s="2" t="n"/>
    </row>
    <row r="108" ht="15.75" customHeight="1" s="82">
      <c r="A108" s="2" t="n"/>
      <c r="B108" s="2" t="n"/>
      <c r="C108" s="2" t="n"/>
      <c r="D108" s="2" t="n"/>
    </row>
    <row r="109" ht="15.75" customHeight="1" s="82">
      <c r="A109" s="2" t="n"/>
      <c r="B109" s="2" t="n"/>
      <c r="C109" s="2" t="n"/>
      <c r="D109" s="2" t="n"/>
    </row>
    <row r="110" ht="15.75" customHeight="1" s="82">
      <c r="A110" s="2" t="n"/>
      <c r="B110" s="2" t="n"/>
      <c r="C110" s="2" t="n"/>
      <c r="D110" s="2" t="n"/>
    </row>
    <row r="111" ht="15.75" customHeight="1" s="82">
      <c r="A111" s="2" t="n"/>
      <c r="B111" s="2" t="n"/>
      <c r="C111" s="2" t="n"/>
      <c r="D111" s="2" t="n"/>
    </row>
    <row r="112" ht="15.75" customHeight="1" s="82">
      <c r="A112" s="2" t="n"/>
      <c r="B112" s="2" t="n"/>
      <c r="C112" s="2" t="n"/>
      <c r="D112" s="2" t="n"/>
    </row>
    <row r="113" ht="15.75" customHeight="1" s="82">
      <c r="A113" s="2" t="n"/>
      <c r="B113" s="2" t="n"/>
      <c r="C113" s="2" t="n"/>
      <c r="D113" s="2" t="n"/>
    </row>
    <row r="114" ht="15.75" customHeight="1" s="82">
      <c r="A114" s="2" t="n"/>
      <c r="B114" s="2" t="n"/>
      <c r="C114" s="2" t="n"/>
      <c r="D114" s="2" t="n"/>
    </row>
    <row r="115" ht="15.75" customHeight="1" s="82">
      <c r="A115" s="2" t="n"/>
      <c r="B115" s="2" t="n"/>
      <c r="C115" s="2" t="n"/>
      <c r="D115" s="2" t="n"/>
    </row>
    <row r="116" ht="15.75" customHeight="1" s="82">
      <c r="A116" s="2" t="n"/>
      <c r="B116" s="2" t="n"/>
      <c r="C116" s="2" t="n"/>
      <c r="D116" s="2" t="n"/>
    </row>
    <row r="117" ht="15.75" customHeight="1" s="82">
      <c r="A117" s="2" t="n"/>
      <c r="B117" s="2" t="n"/>
      <c r="C117" s="2" t="n"/>
      <c r="D117" s="2" t="n"/>
    </row>
    <row r="118" ht="15.75" customHeight="1" s="82">
      <c r="A118" s="2" t="n"/>
      <c r="B118" s="2" t="n"/>
      <c r="C118" s="2" t="n"/>
      <c r="D118" s="2" t="n"/>
    </row>
    <row r="119" ht="15.75" customHeight="1" s="82">
      <c r="A119" s="2" t="n"/>
      <c r="B119" s="2" t="n"/>
      <c r="C119" s="2" t="n"/>
      <c r="D119" s="2" t="n"/>
    </row>
    <row r="120" ht="15.75" customHeight="1" s="82">
      <c r="A120" s="2" t="n"/>
      <c r="B120" s="2" t="n"/>
      <c r="C120" s="2" t="n"/>
      <c r="D120" s="2" t="n"/>
    </row>
    <row r="121" ht="15.75" customHeight="1" s="82">
      <c r="A121" s="2" t="n"/>
      <c r="B121" s="2" t="n"/>
      <c r="C121" s="2" t="n"/>
      <c r="D121" s="2" t="n"/>
    </row>
    <row r="122" ht="15.75" customHeight="1" s="82">
      <c r="A122" s="2" t="n"/>
      <c r="B122" s="2" t="n"/>
      <c r="C122" s="2" t="n"/>
      <c r="D122" s="2" t="n"/>
    </row>
    <row r="123" ht="15.75" customHeight="1" s="82">
      <c r="A123" s="2" t="n"/>
      <c r="B123" s="2" t="n"/>
      <c r="C123" s="2" t="n"/>
      <c r="D123" s="2" t="n"/>
    </row>
    <row r="124" ht="15.75" customHeight="1" s="82">
      <c r="A124" s="2" t="n"/>
      <c r="B124" s="2" t="n"/>
      <c r="C124" s="2" t="n"/>
      <c r="D124" s="2" t="n"/>
    </row>
    <row r="125" ht="15.75" customHeight="1" s="82">
      <c r="A125" s="2" t="n"/>
      <c r="B125" s="2" t="n"/>
      <c r="C125" s="2" t="n"/>
      <c r="D125" s="2" t="n"/>
    </row>
    <row r="126" ht="15.75" customHeight="1" s="82">
      <c r="A126" s="2" t="n"/>
      <c r="B126" s="2" t="n"/>
      <c r="C126" s="2" t="n"/>
      <c r="D126" s="2" t="n"/>
    </row>
    <row r="127" ht="15.75" customHeight="1" s="82">
      <c r="A127" s="2" t="n"/>
      <c r="B127" s="2" t="n"/>
      <c r="C127" s="2" t="n"/>
      <c r="D127" s="2" t="n"/>
    </row>
    <row r="128" ht="15.75" customHeight="1" s="82">
      <c r="A128" s="2" t="n"/>
      <c r="B128" s="2" t="n"/>
      <c r="C128" s="2" t="n"/>
      <c r="D128" s="2" t="n"/>
    </row>
    <row r="129" ht="15.75" customHeight="1" s="82">
      <c r="A129" s="2" t="n"/>
      <c r="B129" s="2" t="n"/>
      <c r="C129" s="2" t="n"/>
      <c r="D129" s="2" t="n"/>
    </row>
    <row r="130" ht="15.75" customHeight="1" s="82">
      <c r="A130" s="2" t="n"/>
      <c r="B130" s="2" t="n"/>
      <c r="C130" s="2" t="n"/>
      <c r="D130" s="2" t="n"/>
    </row>
    <row r="131" ht="15.75" customHeight="1" s="82">
      <c r="A131" s="2" t="n"/>
      <c r="B131" s="2" t="n"/>
      <c r="C131" s="2" t="n"/>
      <c r="D131" s="2" t="n"/>
    </row>
    <row r="132" ht="15.75" customHeight="1" s="82">
      <c r="A132" s="2" t="n"/>
      <c r="B132" s="2" t="n"/>
      <c r="C132" s="2" t="n"/>
      <c r="D132" s="2" t="n"/>
    </row>
    <row r="133" ht="15.75" customHeight="1" s="82">
      <c r="A133" s="2" t="n"/>
      <c r="B133" s="2" t="n"/>
      <c r="C133" s="2" t="n"/>
      <c r="D133" s="2" t="n"/>
    </row>
    <row r="134" ht="15.75" customHeight="1" s="82">
      <c r="A134" s="2" t="n"/>
      <c r="B134" s="2" t="n"/>
      <c r="C134" s="2" t="n"/>
      <c r="D134" s="2" t="n"/>
    </row>
    <row r="135" ht="15.75" customHeight="1" s="82">
      <c r="A135" s="2" t="n"/>
      <c r="B135" s="2" t="n"/>
      <c r="C135" s="2" t="n"/>
      <c r="D135" s="2" t="n"/>
    </row>
    <row r="136" ht="15.75" customHeight="1" s="82">
      <c r="A136" s="2" t="n"/>
      <c r="B136" s="2" t="n"/>
      <c r="C136" s="2" t="n"/>
      <c r="D136" s="2" t="n"/>
    </row>
    <row r="137" ht="15.75" customHeight="1" s="82">
      <c r="A137" s="2" t="n"/>
      <c r="B137" s="2" t="n"/>
      <c r="C137" s="2" t="n"/>
      <c r="D137" s="2" t="n"/>
    </row>
    <row r="138" ht="15.75" customHeight="1" s="82">
      <c r="A138" s="2" t="n"/>
      <c r="B138" s="2" t="n"/>
      <c r="C138" s="2" t="n"/>
      <c r="D138" s="2" t="n"/>
    </row>
    <row r="139" ht="15.75" customHeight="1" s="82">
      <c r="A139" s="2" t="n"/>
      <c r="B139" s="2" t="n"/>
      <c r="C139" s="2" t="n"/>
      <c r="D139" s="2" t="n"/>
    </row>
    <row r="140" ht="15.75" customHeight="1" s="82">
      <c r="A140" s="2" t="n"/>
      <c r="B140" s="2" t="n"/>
      <c r="C140" s="2" t="n"/>
      <c r="D140" s="2" t="n"/>
    </row>
    <row r="141" ht="15.75" customHeight="1" s="82">
      <c r="A141" s="2" t="n"/>
      <c r="B141" s="2" t="n"/>
      <c r="C141" s="2" t="n"/>
      <c r="D141" s="2" t="n"/>
    </row>
    <row r="142" ht="15.75" customHeight="1" s="82">
      <c r="A142" s="2" t="n"/>
      <c r="B142" s="2" t="n"/>
      <c r="C142" s="2" t="n"/>
      <c r="D142" s="2" t="n"/>
    </row>
    <row r="143" ht="15.75" customHeight="1" s="82">
      <c r="A143" s="2" t="n"/>
      <c r="B143" s="2" t="n"/>
      <c r="C143" s="2" t="n"/>
      <c r="D143" s="2" t="n"/>
    </row>
    <row r="144" ht="15.75" customHeight="1" s="82">
      <c r="A144" s="2" t="n"/>
      <c r="B144" s="2" t="n"/>
      <c r="C144" s="2" t="n"/>
      <c r="D144" s="2" t="n"/>
    </row>
    <row r="145" ht="15.75" customHeight="1" s="82">
      <c r="A145" s="2" t="n"/>
      <c r="B145" s="2" t="n"/>
      <c r="C145" s="2" t="n"/>
      <c r="D145" s="2" t="n"/>
    </row>
    <row r="146" ht="15.75" customHeight="1" s="82">
      <c r="A146" s="2" t="n"/>
      <c r="B146" s="2" t="n"/>
      <c r="C146" s="2" t="n"/>
      <c r="D146" s="2" t="n"/>
    </row>
    <row r="147" ht="15.75" customHeight="1" s="82">
      <c r="A147" s="2" t="n"/>
      <c r="B147" s="2" t="n"/>
      <c r="C147" s="2" t="n"/>
      <c r="D147" s="2" t="n"/>
    </row>
    <row r="148" ht="15.75" customHeight="1" s="82">
      <c r="A148" s="2" t="n"/>
      <c r="B148" s="2" t="n"/>
      <c r="C148" s="2" t="n"/>
      <c r="D148" s="2" t="n"/>
    </row>
    <row r="149" ht="15.75" customHeight="1" s="82">
      <c r="A149" s="2" t="n"/>
      <c r="B149" s="2" t="n"/>
      <c r="C149" s="2" t="n"/>
      <c r="D149" s="2" t="n"/>
    </row>
    <row r="150" ht="15.75" customHeight="1" s="82">
      <c r="A150" s="2" t="n"/>
      <c r="B150" s="2" t="n"/>
      <c r="C150" s="2" t="n"/>
      <c r="D150" s="2" t="n"/>
    </row>
    <row r="151" ht="15.75" customHeight="1" s="82">
      <c r="A151" s="2" t="n"/>
      <c r="B151" s="2" t="n"/>
      <c r="C151" s="2" t="n"/>
      <c r="D151" s="2" t="n"/>
    </row>
    <row r="152" ht="15.75" customHeight="1" s="82">
      <c r="A152" s="2" t="n"/>
      <c r="B152" s="2" t="n"/>
      <c r="C152" s="2" t="n"/>
      <c r="D152" s="2" t="n"/>
    </row>
    <row r="153" ht="15.75" customHeight="1" s="82">
      <c r="A153" s="2" t="n"/>
      <c r="B153" s="2" t="n"/>
      <c r="C153" s="2" t="n"/>
      <c r="D153" s="2" t="n"/>
    </row>
    <row r="154" ht="15.75" customHeight="1" s="82">
      <c r="A154" s="2" t="n"/>
      <c r="B154" s="2" t="n"/>
      <c r="C154" s="2" t="n"/>
      <c r="D154" s="2" t="n"/>
    </row>
    <row r="155" ht="15.75" customHeight="1" s="82">
      <c r="A155" s="2" t="n"/>
      <c r="B155" s="2" t="n"/>
      <c r="C155" s="2" t="n"/>
      <c r="D155" s="2" t="n"/>
    </row>
    <row r="156" ht="15.75" customHeight="1" s="82">
      <c r="A156" s="2" t="n"/>
      <c r="B156" s="2" t="n"/>
      <c r="C156" s="2" t="n"/>
      <c r="D156" s="2" t="n"/>
    </row>
    <row r="157" ht="15.75" customHeight="1" s="82">
      <c r="A157" s="2" t="n"/>
      <c r="B157" s="2" t="n"/>
      <c r="C157" s="2" t="n"/>
      <c r="D157" s="2" t="n"/>
    </row>
    <row r="158" ht="15.75" customHeight="1" s="82">
      <c r="A158" s="2" t="n"/>
      <c r="B158" s="2" t="n"/>
      <c r="C158" s="2" t="n"/>
      <c r="D158" s="2" t="n"/>
    </row>
    <row r="159" ht="15.75" customHeight="1" s="82">
      <c r="A159" s="2" t="n"/>
      <c r="B159" s="2" t="n"/>
      <c r="C159" s="2" t="n"/>
      <c r="D159" s="2" t="n"/>
    </row>
    <row r="160" ht="15.75" customHeight="1" s="82">
      <c r="A160" s="2" t="n"/>
      <c r="B160" s="2" t="n"/>
      <c r="C160" s="2" t="n"/>
      <c r="D160" s="2" t="n"/>
    </row>
    <row r="161" ht="15.75" customHeight="1" s="82">
      <c r="A161" s="2" t="n"/>
      <c r="B161" s="2" t="n"/>
      <c r="C161" s="2" t="n"/>
      <c r="D161" s="2" t="n"/>
    </row>
    <row r="162" ht="15.75" customHeight="1" s="82">
      <c r="A162" s="2" t="n"/>
      <c r="B162" s="2" t="n"/>
      <c r="C162" s="2" t="n"/>
      <c r="D162" s="2" t="n"/>
    </row>
    <row r="163" ht="15.75" customHeight="1" s="82">
      <c r="A163" s="2" t="n"/>
      <c r="B163" s="2" t="n"/>
      <c r="C163" s="2" t="n"/>
      <c r="D163" s="2" t="n"/>
    </row>
    <row r="164" ht="15.75" customHeight="1" s="82">
      <c r="A164" s="2" t="n"/>
      <c r="B164" s="2" t="n"/>
      <c r="C164" s="2" t="n"/>
      <c r="D164" s="2" t="n"/>
    </row>
    <row r="165" ht="15.75" customHeight="1" s="82">
      <c r="A165" s="2" t="n"/>
      <c r="B165" s="2" t="n"/>
      <c r="C165" s="2" t="n"/>
      <c r="D165" s="2" t="n"/>
    </row>
    <row r="166" ht="15.75" customHeight="1" s="82">
      <c r="A166" s="2" t="n"/>
      <c r="B166" s="2" t="n"/>
      <c r="C166" s="2" t="n"/>
      <c r="D166" s="2" t="n"/>
    </row>
    <row r="167" ht="15.75" customHeight="1" s="82">
      <c r="A167" s="2" t="n"/>
      <c r="B167" s="2" t="n"/>
      <c r="C167" s="2" t="n"/>
      <c r="D167" s="2" t="n"/>
    </row>
    <row r="168" ht="15.75" customHeight="1" s="82">
      <c r="A168" s="2" t="n"/>
      <c r="B168" s="2" t="n"/>
      <c r="C168" s="2" t="n"/>
      <c r="D168" s="2" t="n"/>
    </row>
    <row r="169" ht="15.75" customHeight="1" s="82">
      <c r="A169" s="2" t="n"/>
      <c r="B169" s="2" t="n"/>
      <c r="C169" s="2" t="n"/>
      <c r="D169" s="2" t="n"/>
    </row>
    <row r="170" ht="15.75" customHeight="1" s="82">
      <c r="A170" s="2" t="n"/>
      <c r="B170" s="2" t="n"/>
      <c r="C170" s="2" t="n"/>
      <c r="D170" s="2" t="n"/>
    </row>
    <row r="171" ht="15.75" customHeight="1" s="82">
      <c r="A171" s="2" t="n"/>
      <c r="B171" s="2" t="n"/>
      <c r="C171" s="2" t="n"/>
      <c r="D171" s="2" t="n"/>
    </row>
    <row r="172" ht="15.75" customHeight="1" s="82">
      <c r="A172" s="2" t="n"/>
      <c r="B172" s="2" t="n"/>
      <c r="C172" s="2" t="n"/>
      <c r="D172" s="2" t="n"/>
    </row>
    <row r="173" ht="15.75" customHeight="1" s="82">
      <c r="A173" s="2" t="n"/>
      <c r="B173" s="2" t="n"/>
      <c r="C173" s="2" t="n"/>
      <c r="D173" s="2" t="n"/>
    </row>
    <row r="174" ht="15.75" customHeight="1" s="82">
      <c r="A174" s="2" t="n"/>
      <c r="B174" s="2" t="n"/>
      <c r="C174" s="2" t="n"/>
      <c r="D174" s="2" t="n"/>
    </row>
    <row r="175" ht="15.75" customHeight="1" s="82">
      <c r="A175" s="2" t="n"/>
      <c r="B175" s="2" t="n"/>
      <c r="C175" s="2" t="n"/>
      <c r="D175" s="2" t="n"/>
    </row>
    <row r="176" ht="15.75" customHeight="1" s="82">
      <c r="A176" s="2" t="n"/>
      <c r="B176" s="2" t="n"/>
      <c r="C176" s="2" t="n"/>
      <c r="D176" s="2" t="n"/>
    </row>
    <row r="177" ht="15.75" customHeight="1" s="82">
      <c r="A177" s="2" t="n"/>
      <c r="B177" s="2" t="n"/>
      <c r="C177" s="2" t="n"/>
      <c r="D177" s="2" t="n"/>
    </row>
    <row r="178" ht="15.75" customHeight="1" s="82">
      <c r="A178" s="2" t="n"/>
      <c r="B178" s="2" t="n"/>
      <c r="C178" s="2" t="n"/>
      <c r="D178" s="2" t="n"/>
    </row>
    <row r="179" ht="15.75" customHeight="1" s="82">
      <c r="A179" s="2" t="n"/>
      <c r="B179" s="2" t="n"/>
      <c r="C179" s="2" t="n"/>
      <c r="D179" s="2" t="n"/>
    </row>
    <row r="180" ht="15.75" customHeight="1" s="82">
      <c r="A180" s="2" t="n"/>
      <c r="B180" s="2" t="n"/>
      <c r="C180" s="2" t="n"/>
      <c r="D180" s="2" t="n"/>
    </row>
    <row r="181" ht="15.75" customHeight="1" s="82">
      <c r="A181" s="2" t="n"/>
      <c r="B181" s="2" t="n"/>
      <c r="C181" s="2" t="n"/>
      <c r="D181" s="2" t="n"/>
    </row>
    <row r="182" ht="15.75" customHeight="1" s="82">
      <c r="A182" s="2" t="n"/>
      <c r="B182" s="2" t="n"/>
      <c r="C182" s="2" t="n"/>
      <c r="D182" s="2" t="n"/>
    </row>
    <row r="183" ht="15.75" customHeight="1" s="82">
      <c r="A183" s="2" t="n"/>
      <c r="B183" s="2" t="n"/>
      <c r="C183" s="2" t="n"/>
      <c r="D183" s="2" t="n"/>
    </row>
    <row r="184" ht="15.75" customHeight="1" s="82">
      <c r="A184" s="2" t="n"/>
      <c r="B184" s="2" t="n"/>
      <c r="C184" s="2" t="n"/>
      <c r="D184" s="2" t="n"/>
    </row>
    <row r="185" ht="15.75" customHeight="1" s="82">
      <c r="A185" s="2" t="n"/>
      <c r="B185" s="2" t="n"/>
      <c r="C185" s="2" t="n"/>
      <c r="D185" s="2" t="n"/>
    </row>
    <row r="186" ht="15.75" customHeight="1" s="82">
      <c r="A186" s="2" t="n"/>
      <c r="B186" s="2" t="n"/>
      <c r="C186" s="2" t="n"/>
      <c r="D186" s="2" t="n"/>
    </row>
    <row r="187" ht="15.75" customHeight="1" s="82">
      <c r="A187" s="2" t="n"/>
      <c r="B187" s="2" t="n"/>
      <c r="C187" s="2" t="n"/>
      <c r="D187" s="2" t="n"/>
    </row>
    <row r="188" ht="15.75" customHeight="1" s="82">
      <c r="A188" s="2" t="n"/>
      <c r="B188" s="2" t="n"/>
      <c r="C188" s="2" t="n"/>
      <c r="D188" s="2" t="n"/>
    </row>
    <row r="189" ht="15.75" customHeight="1" s="82">
      <c r="A189" s="2" t="n"/>
      <c r="B189" s="2" t="n"/>
      <c r="C189" s="2" t="n"/>
      <c r="D189" s="2" t="n"/>
    </row>
    <row r="190" ht="15.75" customHeight="1" s="82">
      <c r="A190" s="2" t="n"/>
      <c r="B190" s="2" t="n"/>
      <c r="C190" s="2" t="n"/>
      <c r="D190" s="2" t="n"/>
    </row>
    <row r="191" ht="15.75" customHeight="1" s="82">
      <c r="A191" s="2" t="n"/>
      <c r="B191" s="2" t="n"/>
      <c r="C191" s="2" t="n"/>
      <c r="D191" s="2" t="n"/>
    </row>
    <row r="192" ht="15.75" customHeight="1" s="82">
      <c r="A192" s="2" t="n"/>
      <c r="B192" s="2" t="n"/>
      <c r="C192" s="2" t="n"/>
      <c r="D192" s="2" t="n"/>
    </row>
    <row r="193" ht="15.75" customHeight="1" s="82">
      <c r="A193" s="2" t="n"/>
      <c r="B193" s="2" t="n"/>
      <c r="C193" s="2" t="n"/>
      <c r="D193" s="2" t="n"/>
    </row>
    <row r="194" ht="15.75" customHeight="1" s="82">
      <c r="A194" s="2" t="n"/>
      <c r="B194" s="2" t="n"/>
      <c r="C194" s="2" t="n"/>
      <c r="D194" s="2" t="n"/>
    </row>
    <row r="195" ht="15.75" customHeight="1" s="82">
      <c r="A195" s="2" t="n"/>
      <c r="B195" s="2" t="n"/>
      <c r="C195" s="2" t="n"/>
      <c r="D195" s="2" t="n"/>
    </row>
    <row r="196" ht="15.75" customHeight="1" s="82">
      <c r="A196" s="2" t="n"/>
      <c r="B196" s="2" t="n"/>
      <c r="C196" s="2" t="n"/>
      <c r="D196" s="2" t="n"/>
    </row>
    <row r="197" ht="15.75" customHeight="1" s="82">
      <c r="A197" s="2" t="n"/>
      <c r="B197" s="2" t="n"/>
      <c r="C197" s="2" t="n"/>
      <c r="D197" s="2" t="n"/>
    </row>
    <row r="198" ht="15.75" customHeight="1" s="82">
      <c r="A198" s="2" t="n"/>
      <c r="B198" s="2" t="n"/>
      <c r="C198" s="2" t="n"/>
      <c r="D198" s="2" t="n"/>
    </row>
    <row r="199" ht="15.75" customHeight="1" s="82">
      <c r="A199" s="2" t="n"/>
      <c r="B199" s="2" t="n"/>
      <c r="C199" s="2" t="n"/>
      <c r="D199" s="2" t="n"/>
    </row>
    <row r="200" ht="15.75" customHeight="1" s="82">
      <c r="A200" s="2" t="n"/>
      <c r="B200" s="2" t="n"/>
      <c r="C200" s="2" t="n"/>
      <c r="D200" s="2" t="n"/>
    </row>
    <row r="201" ht="15.75" customHeight="1" s="82">
      <c r="A201" s="2" t="n"/>
      <c r="B201" s="2" t="n"/>
      <c r="C201" s="2" t="n"/>
      <c r="D201" s="2" t="n"/>
    </row>
    <row r="202" ht="15.75" customHeight="1" s="82">
      <c r="A202" s="2" t="n"/>
      <c r="B202" s="2" t="n"/>
      <c r="C202" s="2" t="n"/>
      <c r="D202" s="2" t="n"/>
    </row>
    <row r="203" ht="15.75" customHeight="1" s="82">
      <c r="A203" s="2" t="n"/>
      <c r="B203" s="2" t="n"/>
      <c r="C203" s="2" t="n"/>
      <c r="D203" s="2" t="n"/>
    </row>
    <row r="204" ht="15.75" customHeight="1" s="82">
      <c r="A204" s="2" t="n"/>
      <c r="B204" s="2" t="n"/>
      <c r="C204" s="2" t="n"/>
      <c r="D204" s="2" t="n"/>
    </row>
    <row r="205" ht="15.75" customHeight="1" s="82">
      <c r="A205" s="2" t="n"/>
      <c r="B205" s="2" t="n"/>
      <c r="C205" s="2" t="n"/>
      <c r="D205" s="2" t="n"/>
    </row>
    <row r="206" ht="15.75" customHeight="1" s="82">
      <c r="A206" s="2" t="n"/>
      <c r="B206" s="2" t="n"/>
      <c r="C206" s="2" t="n"/>
      <c r="D206" s="2" t="n"/>
    </row>
    <row r="207" ht="15.75" customHeight="1" s="82">
      <c r="A207" s="2" t="n"/>
      <c r="B207" s="2" t="n"/>
      <c r="C207" s="2" t="n"/>
      <c r="D207" s="2" t="n"/>
    </row>
    <row r="208" ht="15.75" customHeight="1" s="82">
      <c r="A208" s="2" t="n"/>
      <c r="B208" s="2" t="n"/>
      <c r="C208" s="2" t="n"/>
      <c r="D208" s="2" t="n"/>
    </row>
    <row r="209" ht="15.75" customHeight="1" s="82">
      <c r="A209" s="2" t="n"/>
      <c r="B209" s="2" t="n"/>
      <c r="C209" s="2" t="n"/>
      <c r="D209" s="2" t="n"/>
    </row>
    <row r="210" ht="15.75" customHeight="1" s="82">
      <c r="A210" s="2" t="n"/>
      <c r="B210" s="2" t="n"/>
      <c r="C210" s="2" t="n"/>
      <c r="D210" s="2" t="n"/>
    </row>
    <row r="211" ht="15.75" customHeight="1" s="82">
      <c r="A211" s="2" t="n"/>
      <c r="B211" s="2" t="n"/>
      <c r="C211" s="2" t="n"/>
      <c r="D211" s="2" t="n"/>
    </row>
    <row r="212" ht="15.75" customHeight="1" s="82">
      <c r="A212" s="2" t="n"/>
      <c r="B212" s="2" t="n"/>
      <c r="C212" s="2" t="n"/>
      <c r="D212" s="2" t="n"/>
    </row>
    <row r="213" ht="15.75" customHeight="1" s="82">
      <c r="A213" s="2" t="n"/>
      <c r="B213" s="2" t="n"/>
      <c r="C213" s="2" t="n"/>
      <c r="D213" s="2" t="n"/>
    </row>
    <row r="214" ht="15.75" customHeight="1" s="82">
      <c r="A214" s="2" t="n"/>
      <c r="B214" s="2" t="n"/>
      <c r="C214" s="2" t="n"/>
      <c r="D214" s="2" t="n"/>
    </row>
    <row r="215" ht="15.75" customHeight="1" s="82">
      <c r="A215" s="2" t="n"/>
      <c r="B215" s="2" t="n"/>
      <c r="C215" s="2" t="n"/>
      <c r="D215" s="2" t="n"/>
    </row>
    <row r="216" ht="15.75" customHeight="1" s="82">
      <c r="A216" s="2" t="n"/>
      <c r="B216" s="2" t="n"/>
      <c r="C216" s="2" t="n"/>
      <c r="D216" s="2" t="n"/>
    </row>
    <row r="217" ht="15.75" customHeight="1" s="82">
      <c r="A217" s="2" t="n"/>
      <c r="B217" s="2" t="n"/>
      <c r="C217" s="2" t="n"/>
      <c r="D217" s="2" t="n"/>
    </row>
    <row r="218" ht="15.75" customHeight="1" s="82">
      <c r="A218" s="2" t="n"/>
      <c r="B218" s="2" t="n"/>
      <c r="C218" s="2" t="n"/>
      <c r="D218" s="2" t="n"/>
    </row>
    <row r="219" ht="15.75" customHeight="1" s="82">
      <c r="A219" s="2" t="n"/>
      <c r="B219" s="2" t="n"/>
      <c r="C219" s="2" t="n"/>
      <c r="D219" s="2" t="n"/>
    </row>
    <row r="220" ht="15.75" customHeight="1" s="82">
      <c r="A220" s="2" t="n"/>
      <c r="B220" s="2" t="n"/>
      <c r="C220" s="2" t="n"/>
      <c r="D220" s="2" t="n"/>
    </row>
    <row r="221" ht="15.75" customHeight="1" s="82">
      <c r="A221" s="2" t="n"/>
      <c r="B221" s="2" t="n"/>
      <c r="C221" s="2" t="n"/>
      <c r="D221" s="2" t="n"/>
    </row>
    <row r="222" ht="15.75" customHeight="1" s="82">
      <c r="A222" s="2" t="n"/>
      <c r="B222" s="2" t="n"/>
      <c r="C222" s="2" t="n"/>
      <c r="D222" s="2" t="n"/>
    </row>
    <row r="223" ht="15.75" customHeight="1" s="82">
      <c r="A223" s="2" t="n"/>
      <c r="B223" s="2" t="n"/>
      <c r="C223" s="2" t="n"/>
      <c r="D223" s="2" t="n"/>
    </row>
    <row r="224" ht="15.75" customHeight="1" s="82">
      <c r="A224" s="2" t="n"/>
      <c r="B224" s="2" t="n"/>
      <c r="C224" s="2" t="n"/>
      <c r="D224" s="2" t="n"/>
    </row>
    <row r="225" ht="15.75" customHeight="1" s="82">
      <c r="A225" s="2" t="n"/>
      <c r="B225" s="2" t="n"/>
      <c r="C225" s="2" t="n"/>
      <c r="D225" s="2" t="n"/>
    </row>
    <row r="226" ht="15.75" customHeight="1" s="82">
      <c r="A226" s="2" t="n"/>
      <c r="B226" s="2" t="n"/>
      <c r="C226" s="2" t="n"/>
      <c r="D226" s="2" t="n"/>
    </row>
    <row r="227" ht="15.75" customHeight="1" s="82">
      <c r="A227" s="2" t="n"/>
      <c r="B227" s="2" t="n"/>
      <c r="C227" s="2" t="n"/>
      <c r="D227" s="2" t="n"/>
    </row>
    <row r="228" ht="15.75" customHeight="1" s="82">
      <c r="A228" s="2" t="n"/>
      <c r="B228" s="2" t="n"/>
      <c r="C228" s="2" t="n"/>
      <c r="D228" s="2" t="n"/>
    </row>
    <row r="229" ht="15.75" customHeight="1" s="82">
      <c r="A229" s="2" t="n"/>
      <c r="B229" s="2" t="n"/>
      <c r="C229" s="2" t="n"/>
      <c r="D229" s="2" t="n"/>
    </row>
    <row r="230" ht="15.75" customHeight="1" s="82">
      <c r="A230" s="2" t="n"/>
      <c r="B230" s="2" t="n"/>
      <c r="C230" s="2" t="n"/>
      <c r="D230" s="2" t="n"/>
    </row>
    <row r="231" ht="15.75" customHeight="1" s="82">
      <c r="A231" s="2" t="n"/>
      <c r="B231" s="2" t="n"/>
      <c r="C231" s="2" t="n"/>
      <c r="D231" s="2" t="n"/>
    </row>
    <row r="232" ht="15.75" customHeight="1" s="82">
      <c r="A232" s="2" t="n"/>
      <c r="B232" s="2" t="n"/>
      <c r="C232" s="2" t="n"/>
      <c r="D232" s="2" t="n"/>
    </row>
    <row r="233" ht="15.75" customHeight="1" s="82">
      <c r="A233" s="2" t="n"/>
      <c r="B233" s="2" t="n"/>
      <c r="C233" s="2" t="n"/>
      <c r="D233" s="2" t="n"/>
    </row>
    <row r="234" ht="15.75" customHeight="1" s="82">
      <c r="A234" s="2" t="n"/>
      <c r="B234" s="2" t="n"/>
      <c r="C234" s="2" t="n"/>
      <c r="D234" s="2" t="n"/>
    </row>
    <row r="235" ht="15.75" customHeight="1" s="82">
      <c r="A235" s="2" t="n"/>
      <c r="B235" s="2" t="n"/>
      <c r="C235" s="2" t="n"/>
      <c r="D235" s="2" t="n"/>
    </row>
    <row r="236" ht="15.75" customHeight="1" s="82">
      <c r="A236" s="2" t="n"/>
      <c r="B236" s="2" t="n"/>
      <c r="C236" s="2" t="n"/>
      <c r="D236" s="2" t="n"/>
    </row>
    <row r="237" ht="15.75" customHeight="1" s="82">
      <c r="A237" s="2" t="n"/>
      <c r="B237" s="2" t="n"/>
      <c r="C237" s="2" t="n"/>
      <c r="D237" s="2" t="n"/>
    </row>
    <row r="238" ht="15.75" customHeight="1" s="82">
      <c r="A238" s="2" t="n"/>
      <c r="B238" s="2" t="n"/>
      <c r="C238" s="2" t="n"/>
      <c r="D238" s="2" t="n"/>
    </row>
    <row r="239" ht="15.75" customHeight="1" s="82">
      <c r="A239" s="2" t="n"/>
      <c r="B239" s="2" t="n"/>
      <c r="C239" s="2" t="n"/>
      <c r="D239" s="2" t="n"/>
    </row>
    <row r="240" ht="15.75" customHeight="1" s="82">
      <c r="A240" s="2" t="n"/>
      <c r="B240" s="2" t="n"/>
      <c r="C240" s="2" t="n"/>
      <c r="D240" s="2" t="n"/>
    </row>
    <row r="241" ht="15.75" customHeight="1" s="82">
      <c r="A241" s="2" t="n"/>
      <c r="B241" s="2" t="n"/>
      <c r="C241" s="2" t="n"/>
      <c r="D241" s="2" t="n"/>
    </row>
    <row r="242" ht="15.75" customHeight="1" s="82">
      <c r="A242" s="2" t="n"/>
      <c r="B242" s="2" t="n"/>
      <c r="C242" s="2" t="n"/>
      <c r="D242" s="2" t="n"/>
    </row>
    <row r="243" ht="15.75" customHeight="1" s="82">
      <c r="A243" s="2" t="n"/>
      <c r="B243" s="2" t="n"/>
      <c r="C243" s="2" t="n"/>
      <c r="D243" s="2" t="n"/>
    </row>
    <row r="244" ht="15.75" customHeight="1" s="82">
      <c r="A244" s="2" t="n"/>
      <c r="B244" s="2" t="n"/>
      <c r="C244" s="2" t="n"/>
      <c r="D244" s="2" t="n"/>
    </row>
    <row r="245" ht="15.75" customHeight="1" s="82">
      <c r="A245" s="2" t="n"/>
      <c r="B245" s="2" t="n"/>
      <c r="C245" s="2" t="n"/>
      <c r="D245" s="2" t="n"/>
    </row>
    <row r="246" ht="15.75" customHeight="1" s="82">
      <c r="A246" s="2" t="n"/>
      <c r="B246" s="2" t="n"/>
      <c r="C246" s="2" t="n"/>
      <c r="D246" s="2" t="n"/>
    </row>
    <row r="247" ht="15.75" customHeight="1" s="82">
      <c r="A247" s="2" t="n"/>
      <c r="B247" s="2" t="n"/>
      <c r="C247" s="2" t="n"/>
      <c r="D247" s="2" t="n"/>
    </row>
    <row r="248" ht="15.75" customHeight="1" s="82">
      <c r="A248" s="2" t="n"/>
      <c r="B248" s="2" t="n"/>
      <c r="C248" s="2" t="n"/>
      <c r="D248" s="2" t="n"/>
    </row>
    <row r="249" ht="15.75" customHeight="1" s="82">
      <c r="A249" s="2" t="n"/>
      <c r="B249" s="2" t="n"/>
      <c r="C249" s="2" t="n"/>
      <c r="D249" s="2" t="n"/>
    </row>
    <row r="250" ht="15.75" customHeight="1" s="82">
      <c r="A250" s="2" t="n"/>
      <c r="B250" s="2" t="n"/>
      <c r="C250" s="2" t="n"/>
      <c r="D250" s="2" t="n"/>
    </row>
    <row r="251" ht="15.75" customHeight="1" s="82">
      <c r="A251" s="2" t="n"/>
      <c r="B251" s="2" t="n"/>
      <c r="C251" s="2" t="n"/>
      <c r="D251" s="2" t="n"/>
    </row>
    <row r="252" ht="15.75" customHeight="1" s="82">
      <c r="A252" s="2" t="n"/>
      <c r="B252" s="2" t="n"/>
      <c r="C252" s="2" t="n"/>
      <c r="D252" s="2" t="n"/>
    </row>
    <row r="253" ht="15.75" customHeight="1" s="82">
      <c r="A253" s="2" t="n"/>
      <c r="B253" s="2" t="n"/>
      <c r="C253" s="2" t="n"/>
      <c r="D253" s="2" t="n"/>
    </row>
    <row r="254" ht="15.75" customHeight="1" s="82">
      <c r="A254" s="2" t="n"/>
      <c r="B254" s="2" t="n"/>
      <c r="C254" s="2" t="n"/>
      <c r="D254" s="2" t="n"/>
    </row>
    <row r="255" ht="15.75" customHeight="1" s="82">
      <c r="A255" s="2" t="n"/>
      <c r="B255" s="2" t="n"/>
      <c r="C255" s="2" t="n"/>
      <c r="D255" s="2" t="n"/>
    </row>
    <row r="256" ht="15.75" customHeight="1" s="82">
      <c r="A256" s="2" t="n"/>
      <c r="B256" s="2" t="n"/>
      <c r="C256" s="2" t="n"/>
      <c r="D256" s="2" t="n"/>
    </row>
    <row r="257" ht="15.75" customHeight="1" s="82">
      <c r="A257" s="2" t="n"/>
      <c r="B257" s="2" t="n"/>
      <c r="C257" s="2" t="n"/>
      <c r="D257" s="2" t="n"/>
    </row>
    <row r="258" ht="15.75" customHeight="1" s="82">
      <c r="A258" s="2" t="n"/>
      <c r="B258" s="2" t="n"/>
      <c r="C258" s="2" t="n"/>
      <c r="D258" s="2" t="n"/>
    </row>
    <row r="259" ht="15.75" customHeight="1" s="82">
      <c r="A259" s="2" t="n"/>
      <c r="B259" s="2" t="n"/>
      <c r="C259" s="2" t="n"/>
      <c r="D259" s="2" t="n"/>
    </row>
    <row r="260" ht="15.75" customHeight="1" s="82">
      <c r="A260" s="2" t="n"/>
      <c r="B260" s="2" t="n"/>
      <c r="C260" s="2" t="n"/>
      <c r="D260" s="2" t="n"/>
    </row>
    <row r="261" ht="15.75" customHeight="1" s="82">
      <c r="A261" s="2" t="n"/>
      <c r="B261" s="2" t="n"/>
      <c r="C261" s="2" t="n"/>
      <c r="D261" s="2" t="n"/>
    </row>
    <row r="262" ht="15.75" customHeight="1" s="82">
      <c r="A262" s="2" t="n"/>
      <c r="B262" s="2" t="n"/>
      <c r="C262" s="2" t="n"/>
      <c r="D262" s="2" t="n"/>
    </row>
    <row r="263" ht="15.75" customHeight="1" s="82">
      <c r="A263" s="2" t="n"/>
      <c r="B263" s="2" t="n"/>
      <c r="C263" s="2" t="n"/>
      <c r="D263" s="2" t="n"/>
    </row>
    <row r="264" ht="15.75" customHeight="1" s="82">
      <c r="A264" s="2" t="n"/>
      <c r="B264" s="2" t="n"/>
      <c r="C264" s="2" t="n"/>
      <c r="D264" s="2" t="n"/>
    </row>
    <row r="265" ht="15.75" customHeight="1" s="82">
      <c r="A265" s="2" t="n"/>
      <c r="B265" s="2" t="n"/>
      <c r="C265" s="2" t="n"/>
      <c r="D265" s="2" t="n"/>
    </row>
    <row r="266" ht="15.75" customHeight="1" s="82">
      <c r="A266" s="2" t="n"/>
      <c r="B266" s="2" t="n"/>
      <c r="C266" s="2" t="n"/>
      <c r="D266" s="2" t="n"/>
    </row>
    <row r="267" ht="15.75" customHeight="1" s="82">
      <c r="A267" s="2" t="n"/>
      <c r="B267" s="2" t="n"/>
      <c r="C267" s="2" t="n"/>
      <c r="D267" s="2" t="n"/>
    </row>
    <row r="268" ht="15.75" customHeight="1" s="82">
      <c r="A268" s="2" t="n"/>
      <c r="B268" s="2" t="n"/>
      <c r="C268" s="2" t="n"/>
      <c r="D268" s="2" t="n"/>
    </row>
    <row r="269" ht="15.75" customHeight="1" s="82">
      <c r="A269" s="2" t="n"/>
      <c r="B269" s="2" t="n"/>
      <c r="C269" s="2" t="n"/>
      <c r="D269" s="2" t="n"/>
    </row>
    <row r="270" ht="15.75" customHeight="1" s="82">
      <c r="A270" s="2" t="n"/>
      <c r="B270" s="2" t="n"/>
      <c r="C270" s="2" t="n"/>
      <c r="D270" s="2" t="n"/>
    </row>
    <row r="271" ht="15.75" customHeight="1" s="82">
      <c r="A271" s="2" t="n"/>
      <c r="B271" s="2" t="n"/>
      <c r="C271" s="2" t="n"/>
      <c r="D271" s="2" t="n"/>
    </row>
    <row r="272" ht="15.75" customHeight="1" s="82">
      <c r="A272" s="2" t="n"/>
      <c r="B272" s="2" t="n"/>
      <c r="C272" s="2" t="n"/>
      <c r="D272" s="2" t="n"/>
    </row>
    <row r="273" ht="15.75" customHeight="1" s="82">
      <c r="A273" s="2" t="n"/>
      <c r="B273" s="2" t="n"/>
      <c r="C273" s="2" t="n"/>
      <c r="D273" s="2" t="n"/>
    </row>
    <row r="274" ht="15.75" customHeight="1" s="82">
      <c r="A274" s="2" t="n"/>
      <c r="B274" s="2" t="n"/>
      <c r="C274" s="2" t="n"/>
      <c r="D274" s="2" t="n"/>
    </row>
    <row r="275" ht="15.75" customHeight="1" s="82">
      <c r="A275" s="2" t="n"/>
      <c r="B275" s="2" t="n"/>
      <c r="C275" s="2" t="n"/>
      <c r="D275" s="2" t="n"/>
    </row>
    <row r="276" ht="15.75" customHeight="1" s="82">
      <c r="A276" s="2" t="n"/>
      <c r="B276" s="2" t="n"/>
      <c r="C276" s="2" t="n"/>
      <c r="D276" s="2" t="n"/>
    </row>
    <row r="277" ht="15.75" customHeight="1" s="82">
      <c r="A277" s="2" t="n"/>
      <c r="B277" s="2" t="n"/>
      <c r="C277" s="2" t="n"/>
      <c r="D277" s="2" t="n"/>
    </row>
    <row r="278" ht="15.75" customHeight="1" s="82">
      <c r="A278" s="2" t="n"/>
      <c r="B278" s="2" t="n"/>
      <c r="C278" s="2" t="n"/>
      <c r="D278" s="2" t="n"/>
    </row>
    <row r="279" ht="15.75" customHeight="1" s="82">
      <c r="A279" s="2" t="n"/>
      <c r="B279" s="2" t="n"/>
      <c r="C279" s="2" t="n"/>
      <c r="D279" s="2" t="n"/>
    </row>
    <row r="280" ht="15.75" customHeight="1" s="82">
      <c r="A280" s="2" t="n"/>
      <c r="B280" s="2" t="n"/>
      <c r="C280" s="2" t="n"/>
      <c r="D280" s="2" t="n"/>
    </row>
    <row r="281" ht="15.75" customHeight="1" s="82">
      <c r="A281" s="2" t="n"/>
      <c r="B281" s="2" t="n"/>
      <c r="C281" s="2" t="n"/>
      <c r="D281" s="2" t="n"/>
    </row>
    <row r="282" ht="15.75" customHeight="1" s="82">
      <c r="A282" s="2" t="n"/>
      <c r="B282" s="2" t="n"/>
      <c r="C282" s="2" t="n"/>
      <c r="D282" s="2" t="n"/>
    </row>
    <row r="283" ht="15.75" customHeight="1" s="82">
      <c r="A283" s="2" t="n"/>
      <c r="B283" s="2" t="n"/>
      <c r="C283" s="2" t="n"/>
      <c r="D283" s="2" t="n"/>
    </row>
    <row r="284" ht="15.75" customHeight="1" s="82">
      <c r="A284" s="2" t="n"/>
      <c r="B284" s="2" t="n"/>
      <c r="C284" s="2" t="n"/>
      <c r="D284" s="2" t="n"/>
    </row>
    <row r="285" ht="15.75" customHeight="1" s="82">
      <c r="A285" s="2" t="n"/>
      <c r="B285" s="2" t="n"/>
      <c r="C285" s="2" t="n"/>
      <c r="D285" s="2" t="n"/>
    </row>
    <row r="286" ht="15.75" customHeight="1" s="82">
      <c r="A286" s="2" t="n"/>
      <c r="B286" s="2" t="n"/>
      <c r="C286" s="2" t="n"/>
      <c r="D286" s="2" t="n"/>
    </row>
    <row r="287" ht="15.75" customHeight="1" s="82">
      <c r="A287" s="2" t="n"/>
      <c r="B287" s="2" t="n"/>
      <c r="C287" s="2" t="n"/>
      <c r="D287" s="2" t="n"/>
    </row>
    <row r="288" ht="15.75" customHeight="1" s="82">
      <c r="A288" s="2" t="n"/>
      <c r="B288" s="2" t="n"/>
      <c r="C288" s="2" t="n"/>
      <c r="D288" s="2" t="n"/>
    </row>
    <row r="289" ht="15.75" customHeight="1" s="82">
      <c r="A289" s="2" t="n"/>
      <c r="B289" s="2" t="n"/>
      <c r="C289" s="2" t="n"/>
      <c r="D289" s="2" t="n"/>
    </row>
    <row r="290" ht="15.75" customHeight="1" s="82">
      <c r="A290" s="2" t="n"/>
      <c r="B290" s="2" t="n"/>
      <c r="C290" s="2" t="n"/>
      <c r="D290" s="2" t="n"/>
    </row>
    <row r="291" ht="15.75" customHeight="1" s="82">
      <c r="A291" s="2" t="n"/>
      <c r="B291" s="2" t="n"/>
      <c r="C291" s="2" t="n"/>
      <c r="D291" s="2" t="n"/>
    </row>
    <row r="292" ht="15.75" customHeight="1" s="82">
      <c r="A292" s="2" t="n"/>
      <c r="B292" s="2" t="n"/>
      <c r="C292" s="2" t="n"/>
      <c r="D292" s="2" t="n"/>
    </row>
    <row r="293" ht="15.75" customHeight="1" s="82">
      <c r="A293" s="2" t="n"/>
      <c r="B293" s="2" t="n"/>
      <c r="C293" s="2" t="n"/>
      <c r="D293" s="2" t="n"/>
    </row>
    <row r="294" ht="15.75" customHeight="1" s="82">
      <c r="A294" s="2" t="n"/>
      <c r="B294" s="2" t="n"/>
      <c r="C294" s="2" t="n"/>
      <c r="D294" s="2" t="n"/>
    </row>
    <row r="295" ht="15.75" customHeight="1" s="82">
      <c r="A295" s="2" t="n"/>
      <c r="B295" s="2" t="n"/>
      <c r="C295" s="2" t="n"/>
      <c r="D295" s="2" t="n"/>
    </row>
    <row r="296" ht="15.75" customHeight="1" s="82">
      <c r="A296" s="2" t="n"/>
      <c r="B296" s="2" t="n"/>
      <c r="C296" s="2" t="n"/>
      <c r="D296" s="2" t="n"/>
    </row>
    <row r="297" ht="15.75" customHeight="1" s="82">
      <c r="A297" s="2" t="n"/>
      <c r="B297" s="2" t="n"/>
      <c r="C297" s="2" t="n"/>
      <c r="D297" s="2" t="n"/>
    </row>
    <row r="298" ht="15.75" customHeight="1" s="82">
      <c r="A298" s="2" t="n"/>
      <c r="B298" s="2" t="n"/>
      <c r="C298" s="2" t="n"/>
      <c r="D298" s="2" t="n"/>
    </row>
    <row r="299" ht="15.75" customHeight="1" s="82">
      <c r="A299" s="2" t="n"/>
      <c r="B299" s="2" t="n"/>
      <c r="C299" s="2" t="n"/>
      <c r="D299" s="2" t="n"/>
    </row>
    <row r="300" ht="15.75" customHeight="1" s="82">
      <c r="A300" s="2" t="n"/>
      <c r="B300" s="2" t="n"/>
      <c r="C300" s="2" t="n"/>
      <c r="D300" s="2" t="n"/>
    </row>
    <row r="301" ht="15.75" customHeight="1" s="82">
      <c r="A301" s="2" t="n"/>
      <c r="B301" s="2" t="n"/>
      <c r="C301" s="2" t="n"/>
      <c r="D301" s="2" t="n"/>
    </row>
    <row r="302" ht="15.75" customHeight="1" s="82">
      <c r="A302" s="2" t="n"/>
      <c r="B302" s="2" t="n"/>
      <c r="C302" s="2" t="n"/>
      <c r="D302" s="2" t="n"/>
    </row>
    <row r="303" ht="15.75" customHeight="1" s="82">
      <c r="A303" s="2" t="n"/>
      <c r="B303" s="2" t="n"/>
      <c r="C303" s="2" t="n"/>
      <c r="D303" s="2" t="n"/>
    </row>
    <row r="304" ht="15.75" customHeight="1" s="82">
      <c r="A304" s="2" t="n"/>
      <c r="B304" s="2" t="n"/>
      <c r="C304" s="2" t="n"/>
      <c r="D304" s="2" t="n"/>
    </row>
    <row r="305" ht="15.75" customHeight="1" s="82">
      <c r="A305" s="2" t="n"/>
      <c r="B305" s="2" t="n"/>
      <c r="C305" s="2" t="n"/>
      <c r="D305" s="2" t="n"/>
    </row>
    <row r="306" ht="15.75" customHeight="1" s="82">
      <c r="A306" s="2" t="n"/>
      <c r="B306" s="2" t="n"/>
      <c r="C306" s="2" t="n"/>
      <c r="D306" s="2" t="n"/>
    </row>
    <row r="307" ht="15.75" customHeight="1" s="82">
      <c r="A307" s="2" t="n"/>
      <c r="B307" s="2" t="n"/>
      <c r="C307" s="2" t="n"/>
      <c r="D307" s="2" t="n"/>
    </row>
    <row r="308" ht="15.75" customHeight="1" s="82">
      <c r="A308" s="2" t="n"/>
      <c r="B308" s="2" t="n"/>
      <c r="C308" s="2" t="n"/>
      <c r="D308" s="2" t="n"/>
    </row>
    <row r="309" ht="15.75" customHeight="1" s="82">
      <c r="A309" s="2" t="n"/>
      <c r="B309" s="2" t="n"/>
      <c r="C309" s="2" t="n"/>
      <c r="D309" s="2" t="n"/>
    </row>
    <row r="310" ht="15.75" customHeight="1" s="82">
      <c r="A310" s="2" t="n"/>
      <c r="B310" s="2" t="n"/>
      <c r="C310" s="2" t="n"/>
      <c r="D310" s="2" t="n"/>
    </row>
    <row r="311" ht="15.75" customHeight="1" s="82">
      <c r="A311" s="2" t="n"/>
      <c r="B311" s="2" t="n"/>
      <c r="C311" s="2" t="n"/>
      <c r="D311" s="2" t="n"/>
    </row>
    <row r="312" ht="15.75" customHeight="1" s="82">
      <c r="A312" s="2" t="n"/>
      <c r="B312" s="2" t="n"/>
      <c r="C312" s="2" t="n"/>
      <c r="D312" s="2" t="n"/>
    </row>
    <row r="313" ht="15.75" customHeight="1" s="82">
      <c r="A313" s="2" t="n"/>
      <c r="B313" s="2" t="n"/>
      <c r="C313" s="2" t="n"/>
      <c r="D313" s="2" t="n"/>
    </row>
    <row r="314" ht="15.75" customHeight="1" s="82">
      <c r="A314" s="2" t="n"/>
      <c r="B314" s="2" t="n"/>
      <c r="C314" s="2" t="n"/>
      <c r="D314" s="2" t="n"/>
    </row>
    <row r="315" ht="15.75" customHeight="1" s="82">
      <c r="A315" s="2" t="n"/>
      <c r="B315" s="2" t="n"/>
      <c r="C315" s="2" t="n"/>
      <c r="D315" s="2" t="n"/>
    </row>
    <row r="316" ht="15.75" customHeight="1" s="82">
      <c r="A316" s="2" t="n"/>
      <c r="B316" s="2" t="n"/>
      <c r="C316" s="2" t="n"/>
      <c r="D316" s="2" t="n"/>
    </row>
    <row r="317" ht="15.75" customHeight="1" s="82">
      <c r="A317" s="2" t="n"/>
      <c r="B317" s="2" t="n"/>
      <c r="C317" s="2" t="n"/>
      <c r="D317" s="2" t="n"/>
    </row>
    <row r="318" ht="15.75" customHeight="1" s="82">
      <c r="A318" s="2" t="n"/>
      <c r="B318" s="2" t="n"/>
      <c r="C318" s="2" t="n"/>
      <c r="D318" s="2" t="n"/>
    </row>
    <row r="319" ht="15.75" customHeight="1" s="82">
      <c r="A319" s="2" t="n"/>
      <c r="B319" s="2" t="n"/>
      <c r="C319" s="2" t="n"/>
      <c r="D319" s="2" t="n"/>
    </row>
    <row r="320" ht="15.75" customHeight="1" s="82">
      <c r="A320" s="2" t="n"/>
      <c r="B320" s="2" t="n"/>
      <c r="C320" s="2" t="n"/>
      <c r="D320" s="2" t="n"/>
    </row>
    <row r="321" ht="15.75" customHeight="1" s="82">
      <c r="A321" s="2" t="n"/>
      <c r="B321" s="2" t="n"/>
      <c r="C321" s="2" t="n"/>
      <c r="D321" s="2" t="n"/>
    </row>
    <row r="322" ht="15.75" customHeight="1" s="82">
      <c r="A322" s="2" t="n"/>
      <c r="B322" s="2" t="n"/>
      <c r="C322" s="2" t="n"/>
      <c r="D322" s="2" t="n"/>
    </row>
    <row r="323" ht="15.75" customHeight="1" s="82">
      <c r="A323" s="2" t="n"/>
      <c r="B323" s="2" t="n"/>
      <c r="C323" s="2" t="n"/>
      <c r="D323" s="2" t="n"/>
    </row>
    <row r="324" ht="15.75" customHeight="1" s="82">
      <c r="A324" s="2" t="n"/>
      <c r="B324" s="2" t="n"/>
      <c r="C324" s="2" t="n"/>
      <c r="D324" s="2" t="n"/>
    </row>
    <row r="325" ht="15.75" customHeight="1" s="82">
      <c r="A325" s="2" t="n"/>
      <c r="B325" s="2" t="n"/>
      <c r="C325" s="2" t="n"/>
      <c r="D325" s="2" t="n"/>
    </row>
    <row r="326" ht="15.75" customHeight="1" s="82">
      <c r="A326" s="2" t="n"/>
      <c r="B326" s="2" t="n"/>
      <c r="C326" s="2" t="n"/>
      <c r="D326" s="2" t="n"/>
    </row>
    <row r="327" ht="15.75" customHeight="1" s="82">
      <c r="A327" s="2" t="n"/>
      <c r="B327" s="2" t="n"/>
      <c r="C327" s="2" t="n"/>
      <c r="D327" s="2" t="n"/>
    </row>
    <row r="328" ht="15.75" customHeight="1" s="82">
      <c r="A328" s="2" t="n"/>
      <c r="B328" s="2" t="n"/>
      <c r="C328" s="2" t="n"/>
      <c r="D328" s="2" t="n"/>
    </row>
    <row r="329" ht="15.75" customHeight="1" s="82">
      <c r="A329" s="2" t="n"/>
      <c r="B329" s="2" t="n"/>
      <c r="C329" s="2" t="n"/>
      <c r="D329" s="2" t="n"/>
    </row>
    <row r="330" ht="15.75" customHeight="1" s="82">
      <c r="A330" s="2" t="n"/>
      <c r="B330" s="2" t="n"/>
      <c r="C330" s="2" t="n"/>
      <c r="D330" s="2" t="n"/>
    </row>
    <row r="331" ht="15.75" customHeight="1" s="82">
      <c r="A331" s="2" t="n"/>
      <c r="B331" s="2" t="n"/>
      <c r="C331" s="2" t="n"/>
      <c r="D331" s="2" t="n"/>
    </row>
    <row r="332" ht="15.75" customHeight="1" s="82">
      <c r="A332" s="2" t="n"/>
      <c r="B332" s="2" t="n"/>
      <c r="C332" s="2" t="n"/>
      <c r="D332" s="2" t="n"/>
    </row>
    <row r="333" ht="15.75" customHeight="1" s="82">
      <c r="A333" s="2" t="n"/>
      <c r="B333" s="2" t="n"/>
      <c r="C333" s="2" t="n"/>
      <c r="D333" s="2" t="n"/>
    </row>
    <row r="334" ht="15.75" customHeight="1" s="82">
      <c r="A334" s="2" t="n"/>
      <c r="B334" s="2" t="n"/>
      <c r="C334" s="2" t="n"/>
      <c r="D334" s="2" t="n"/>
    </row>
    <row r="335" ht="15.75" customHeight="1" s="82">
      <c r="A335" s="2" t="n"/>
      <c r="B335" s="2" t="n"/>
      <c r="C335" s="2" t="n"/>
      <c r="D335" s="2" t="n"/>
    </row>
    <row r="336" ht="15.75" customHeight="1" s="82">
      <c r="A336" s="2" t="n"/>
      <c r="B336" s="2" t="n"/>
      <c r="C336" s="2" t="n"/>
      <c r="D336" s="2" t="n"/>
    </row>
    <row r="337" ht="15.75" customHeight="1" s="82">
      <c r="A337" s="2" t="n"/>
      <c r="B337" s="2" t="n"/>
      <c r="C337" s="2" t="n"/>
      <c r="D337" s="2" t="n"/>
    </row>
    <row r="338" ht="15.75" customHeight="1" s="82">
      <c r="A338" s="2" t="n"/>
      <c r="B338" s="2" t="n"/>
      <c r="C338" s="2" t="n"/>
      <c r="D338" s="2" t="n"/>
    </row>
    <row r="339" ht="15.75" customHeight="1" s="82">
      <c r="A339" s="2" t="n"/>
      <c r="B339" s="2" t="n"/>
      <c r="C339" s="2" t="n"/>
      <c r="D339" s="2" t="n"/>
    </row>
    <row r="340" ht="15.75" customHeight="1" s="82">
      <c r="A340" s="2" t="n"/>
      <c r="B340" s="2" t="n"/>
      <c r="C340" s="2" t="n"/>
      <c r="D340" s="2" t="n"/>
    </row>
    <row r="341" ht="15.75" customHeight="1" s="82">
      <c r="A341" s="2" t="n"/>
      <c r="B341" s="2" t="n"/>
      <c r="C341" s="2" t="n"/>
      <c r="D341" s="2" t="n"/>
    </row>
    <row r="342" ht="15.75" customHeight="1" s="82">
      <c r="A342" s="2" t="n"/>
      <c r="B342" s="2" t="n"/>
      <c r="C342" s="2" t="n"/>
      <c r="D342" s="2" t="n"/>
    </row>
    <row r="343" ht="15.75" customHeight="1" s="82">
      <c r="A343" s="2" t="n"/>
      <c r="B343" s="2" t="n"/>
      <c r="C343" s="2" t="n"/>
      <c r="D343" s="2" t="n"/>
    </row>
    <row r="344" ht="15.75" customHeight="1" s="82">
      <c r="A344" s="2" t="n"/>
      <c r="B344" s="2" t="n"/>
      <c r="C344" s="2" t="n"/>
      <c r="D344" s="2" t="n"/>
    </row>
    <row r="345" ht="15.75" customHeight="1" s="82">
      <c r="A345" s="2" t="n"/>
      <c r="B345" s="2" t="n"/>
      <c r="C345" s="2" t="n"/>
      <c r="D345" s="2" t="n"/>
    </row>
    <row r="346" ht="15.75" customHeight="1" s="82">
      <c r="A346" s="2" t="n"/>
      <c r="B346" s="2" t="n"/>
      <c r="C346" s="2" t="n"/>
      <c r="D346" s="2" t="n"/>
    </row>
    <row r="347" ht="15.75" customHeight="1" s="82">
      <c r="A347" s="2" t="n"/>
      <c r="B347" s="2" t="n"/>
      <c r="C347" s="2" t="n"/>
      <c r="D347" s="2" t="n"/>
    </row>
    <row r="348" ht="15.75" customHeight="1" s="82">
      <c r="A348" s="2" t="n"/>
      <c r="B348" s="2" t="n"/>
      <c r="C348" s="2" t="n"/>
      <c r="D348" s="2" t="n"/>
    </row>
    <row r="349" ht="15.75" customHeight="1" s="82">
      <c r="A349" s="2" t="n"/>
      <c r="B349" s="2" t="n"/>
      <c r="C349" s="2" t="n"/>
      <c r="D349" s="2" t="n"/>
    </row>
    <row r="350" ht="15.75" customHeight="1" s="82">
      <c r="A350" s="2" t="n"/>
      <c r="B350" s="2" t="n"/>
      <c r="C350" s="2" t="n"/>
      <c r="D350" s="2" t="n"/>
    </row>
    <row r="351" ht="15.75" customHeight="1" s="82">
      <c r="A351" s="2" t="n"/>
      <c r="B351" s="2" t="n"/>
      <c r="C351" s="2" t="n"/>
      <c r="D351" s="2" t="n"/>
    </row>
    <row r="352" ht="15.75" customHeight="1" s="82">
      <c r="A352" s="2" t="n"/>
      <c r="B352" s="2" t="n"/>
      <c r="C352" s="2" t="n"/>
      <c r="D352" s="2" t="n"/>
    </row>
    <row r="353" ht="15.75" customHeight="1" s="82">
      <c r="A353" s="2" t="n"/>
      <c r="B353" s="2" t="n"/>
      <c r="C353" s="2" t="n"/>
      <c r="D353" s="2" t="n"/>
    </row>
    <row r="354" ht="15.75" customHeight="1" s="82">
      <c r="A354" s="2" t="n"/>
      <c r="B354" s="2" t="n"/>
      <c r="C354" s="2" t="n"/>
      <c r="D354" s="2" t="n"/>
    </row>
    <row r="355" ht="15.75" customHeight="1" s="82">
      <c r="A355" s="2" t="n"/>
      <c r="B355" s="2" t="n"/>
      <c r="C355" s="2" t="n"/>
      <c r="D355" s="2" t="n"/>
    </row>
    <row r="356" ht="15.75" customHeight="1" s="82">
      <c r="A356" s="2" t="n"/>
      <c r="B356" s="2" t="n"/>
      <c r="C356" s="2" t="n"/>
      <c r="D356" s="2" t="n"/>
    </row>
    <row r="357" ht="15.75" customHeight="1" s="82">
      <c r="A357" s="2" t="n"/>
      <c r="B357" s="2" t="n"/>
      <c r="C357" s="2" t="n"/>
      <c r="D357" s="2" t="n"/>
    </row>
    <row r="358" ht="15.75" customHeight="1" s="82">
      <c r="A358" s="2" t="n"/>
      <c r="B358" s="2" t="n"/>
      <c r="C358" s="2" t="n"/>
      <c r="D358" s="2" t="n"/>
    </row>
    <row r="359" ht="15.75" customHeight="1" s="82">
      <c r="A359" s="2" t="n"/>
      <c r="B359" s="2" t="n"/>
      <c r="C359" s="2" t="n"/>
      <c r="D359" s="2" t="n"/>
    </row>
    <row r="360" ht="15.75" customHeight="1" s="82">
      <c r="A360" s="2" t="n"/>
      <c r="B360" s="2" t="n"/>
      <c r="C360" s="2" t="n"/>
      <c r="D360" s="2" t="n"/>
    </row>
    <row r="361" ht="15.75" customHeight="1" s="82">
      <c r="A361" s="2" t="n"/>
      <c r="B361" s="2" t="n"/>
      <c r="C361" s="2" t="n"/>
      <c r="D361" s="2" t="n"/>
    </row>
    <row r="362" ht="15.75" customHeight="1" s="82">
      <c r="A362" s="2" t="n"/>
      <c r="B362" s="2" t="n"/>
      <c r="C362" s="2" t="n"/>
      <c r="D362" s="2" t="n"/>
    </row>
    <row r="363" ht="15.75" customHeight="1" s="82">
      <c r="A363" s="2" t="n"/>
      <c r="B363" s="2" t="n"/>
      <c r="C363" s="2" t="n"/>
      <c r="D363" s="2" t="n"/>
    </row>
    <row r="364" ht="15.75" customHeight="1" s="82">
      <c r="A364" s="2" t="n"/>
      <c r="B364" s="2" t="n"/>
      <c r="C364" s="2" t="n"/>
      <c r="D364" s="2" t="n"/>
    </row>
    <row r="365" ht="15.75" customHeight="1" s="82">
      <c r="A365" s="2" t="n"/>
      <c r="B365" s="2" t="n"/>
      <c r="C365" s="2" t="n"/>
      <c r="D365" s="2" t="n"/>
    </row>
    <row r="366" ht="15.75" customHeight="1" s="82">
      <c r="A366" s="2" t="n"/>
      <c r="B366" s="2" t="n"/>
      <c r="C366" s="2" t="n"/>
      <c r="D366" s="2" t="n"/>
    </row>
    <row r="367" ht="15.75" customHeight="1" s="82">
      <c r="A367" s="2" t="n"/>
      <c r="B367" s="2" t="n"/>
      <c r="C367" s="2" t="n"/>
      <c r="D367" s="2" t="n"/>
    </row>
    <row r="368" ht="15.75" customHeight="1" s="82">
      <c r="A368" s="2" t="n"/>
      <c r="B368" s="2" t="n"/>
      <c r="C368" s="2" t="n"/>
      <c r="D368" s="2" t="n"/>
    </row>
    <row r="369" ht="15.75" customHeight="1" s="82">
      <c r="A369" s="2" t="n"/>
      <c r="B369" s="2" t="n"/>
      <c r="C369" s="2" t="n"/>
      <c r="D369" s="2" t="n"/>
    </row>
    <row r="370" ht="15.75" customHeight="1" s="82">
      <c r="A370" s="2" t="n"/>
      <c r="B370" s="2" t="n"/>
      <c r="C370" s="2" t="n"/>
      <c r="D370" s="2" t="n"/>
    </row>
    <row r="371" ht="15.75" customHeight="1" s="82">
      <c r="A371" s="2" t="n"/>
      <c r="B371" s="2" t="n"/>
      <c r="C371" s="2" t="n"/>
      <c r="D371" s="2" t="n"/>
    </row>
    <row r="372" ht="15.75" customHeight="1" s="82">
      <c r="A372" s="2" t="n"/>
      <c r="B372" s="2" t="n"/>
      <c r="C372" s="2" t="n"/>
      <c r="D372" s="2" t="n"/>
    </row>
    <row r="373" ht="15.75" customHeight="1" s="82">
      <c r="A373" s="2" t="n"/>
      <c r="B373" s="2" t="n"/>
      <c r="C373" s="2" t="n"/>
      <c r="D373" s="2" t="n"/>
    </row>
    <row r="374" ht="15.75" customHeight="1" s="82">
      <c r="A374" s="2" t="n"/>
      <c r="B374" s="2" t="n"/>
      <c r="C374" s="2" t="n"/>
      <c r="D374" s="2" t="n"/>
    </row>
    <row r="375" ht="15.75" customHeight="1" s="82">
      <c r="A375" s="2" t="n"/>
      <c r="B375" s="2" t="n"/>
      <c r="C375" s="2" t="n"/>
      <c r="D375" s="2" t="n"/>
    </row>
    <row r="376" ht="15.75" customHeight="1" s="82">
      <c r="A376" s="2" t="n"/>
      <c r="B376" s="2" t="n"/>
      <c r="C376" s="2" t="n"/>
      <c r="D376" s="2" t="n"/>
    </row>
    <row r="377" ht="15.75" customHeight="1" s="82">
      <c r="A377" s="2" t="n"/>
      <c r="B377" s="2" t="n"/>
      <c r="C377" s="2" t="n"/>
      <c r="D377" s="2" t="n"/>
    </row>
    <row r="378" ht="15.75" customHeight="1" s="82">
      <c r="A378" s="2" t="n"/>
      <c r="B378" s="2" t="n"/>
      <c r="C378" s="2" t="n"/>
      <c r="D378" s="2" t="n"/>
    </row>
    <row r="379" ht="15.75" customHeight="1" s="82">
      <c r="A379" s="2" t="n"/>
      <c r="B379" s="2" t="n"/>
      <c r="C379" s="2" t="n"/>
      <c r="D379" s="2" t="n"/>
    </row>
    <row r="380" ht="15.75" customHeight="1" s="82">
      <c r="A380" s="2" t="n"/>
      <c r="B380" s="2" t="n"/>
      <c r="C380" s="2" t="n"/>
      <c r="D380" s="2" t="n"/>
    </row>
    <row r="381" ht="15.75" customHeight="1" s="82">
      <c r="A381" s="2" t="n"/>
      <c r="B381" s="2" t="n"/>
      <c r="C381" s="2" t="n"/>
      <c r="D381" s="2" t="n"/>
    </row>
    <row r="382" ht="15.75" customHeight="1" s="82">
      <c r="A382" s="2" t="n"/>
      <c r="B382" s="2" t="n"/>
      <c r="C382" s="2" t="n"/>
      <c r="D382" s="2" t="n"/>
    </row>
    <row r="383" ht="15.75" customHeight="1" s="82">
      <c r="A383" s="2" t="n"/>
      <c r="B383" s="2" t="n"/>
      <c r="C383" s="2" t="n"/>
      <c r="D383" s="2" t="n"/>
    </row>
    <row r="384" ht="15.75" customHeight="1" s="82">
      <c r="A384" s="2" t="n"/>
      <c r="B384" s="2" t="n"/>
      <c r="C384" s="2" t="n"/>
      <c r="D384" s="2" t="n"/>
    </row>
    <row r="385" ht="15.75" customHeight="1" s="82">
      <c r="A385" s="2" t="n"/>
      <c r="B385" s="2" t="n"/>
      <c r="C385" s="2" t="n"/>
      <c r="D385" s="2" t="n"/>
    </row>
    <row r="386" ht="15.75" customHeight="1" s="82">
      <c r="A386" s="2" t="n"/>
      <c r="B386" s="2" t="n"/>
      <c r="C386" s="2" t="n"/>
      <c r="D386" s="2" t="n"/>
    </row>
    <row r="387" ht="15.75" customHeight="1" s="82">
      <c r="A387" s="2" t="n"/>
      <c r="B387" s="2" t="n"/>
      <c r="C387" s="2" t="n"/>
      <c r="D387" s="2" t="n"/>
    </row>
    <row r="388" ht="15.75" customHeight="1" s="82">
      <c r="A388" s="2" t="n"/>
      <c r="B388" s="2" t="n"/>
      <c r="C388" s="2" t="n"/>
      <c r="D388" s="2" t="n"/>
    </row>
    <row r="389" ht="15.75" customHeight="1" s="82">
      <c r="A389" s="2" t="n"/>
      <c r="B389" s="2" t="n"/>
      <c r="C389" s="2" t="n"/>
      <c r="D389" s="2" t="n"/>
    </row>
    <row r="390" ht="15.75" customHeight="1" s="82">
      <c r="A390" s="2" t="n"/>
      <c r="B390" s="2" t="n"/>
      <c r="C390" s="2" t="n"/>
      <c r="D390" s="2" t="n"/>
    </row>
    <row r="391" ht="15.75" customHeight="1" s="82">
      <c r="A391" s="2" t="n"/>
      <c r="B391" s="2" t="n"/>
      <c r="C391" s="2" t="n"/>
      <c r="D391" s="2" t="n"/>
    </row>
    <row r="392" ht="15.75" customHeight="1" s="82">
      <c r="A392" s="2" t="n"/>
      <c r="B392" s="2" t="n"/>
      <c r="C392" s="2" t="n"/>
      <c r="D392" s="2" t="n"/>
    </row>
    <row r="393" ht="15.75" customHeight="1" s="82">
      <c r="A393" s="2" t="n"/>
      <c r="B393" s="2" t="n"/>
      <c r="C393" s="2" t="n"/>
      <c r="D393" s="2" t="n"/>
    </row>
    <row r="394" ht="15.75" customHeight="1" s="82">
      <c r="A394" s="2" t="n"/>
      <c r="B394" s="2" t="n"/>
      <c r="C394" s="2" t="n"/>
      <c r="D394" s="2" t="n"/>
    </row>
    <row r="395" ht="15.75" customHeight="1" s="82">
      <c r="A395" s="2" t="n"/>
      <c r="B395" s="2" t="n"/>
      <c r="C395" s="2" t="n"/>
      <c r="D395" s="2" t="n"/>
    </row>
    <row r="396" ht="15.75" customHeight="1" s="82">
      <c r="A396" s="2" t="n"/>
      <c r="B396" s="2" t="n"/>
      <c r="C396" s="2" t="n"/>
      <c r="D396" s="2" t="n"/>
    </row>
    <row r="397" ht="15.75" customHeight="1" s="82">
      <c r="A397" s="2" t="n"/>
      <c r="B397" s="2" t="n"/>
      <c r="C397" s="2" t="n"/>
      <c r="D397" s="2" t="n"/>
    </row>
    <row r="398" ht="15.75" customHeight="1" s="82">
      <c r="A398" s="2" t="n"/>
      <c r="B398" s="2" t="n"/>
      <c r="C398" s="2" t="n"/>
      <c r="D398" s="2" t="n"/>
    </row>
    <row r="399" ht="15.75" customHeight="1" s="82">
      <c r="A399" s="2" t="n"/>
      <c r="B399" s="2" t="n"/>
      <c r="C399" s="2" t="n"/>
      <c r="D399" s="2" t="n"/>
    </row>
    <row r="400" ht="15.75" customHeight="1" s="82">
      <c r="A400" s="2" t="n"/>
      <c r="B400" s="2" t="n"/>
      <c r="C400" s="2" t="n"/>
      <c r="D400" s="2" t="n"/>
    </row>
    <row r="401" ht="15.75" customHeight="1" s="82">
      <c r="A401" s="2" t="n"/>
      <c r="B401" s="2" t="n"/>
      <c r="C401" s="2" t="n"/>
      <c r="D401" s="2" t="n"/>
    </row>
    <row r="402" ht="15.75" customHeight="1" s="82">
      <c r="A402" s="2" t="n"/>
      <c r="B402" s="2" t="n"/>
      <c r="C402" s="2" t="n"/>
      <c r="D402" s="2" t="n"/>
    </row>
    <row r="403" ht="15.75" customHeight="1" s="82">
      <c r="A403" s="2" t="n"/>
      <c r="B403" s="2" t="n"/>
      <c r="C403" s="2" t="n"/>
      <c r="D403" s="2" t="n"/>
    </row>
    <row r="404" ht="15.75" customHeight="1" s="82">
      <c r="A404" s="2" t="n"/>
      <c r="B404" s="2" t="n"/>
      <c r="C404" s="2" t="n"/>
      <c r="D404" s="2" t="n"/>
    </row>
    <row r="405" ht="15.75" customHeight="1" s="82">
      <c r="A405" s="2" t="n"/>
      <c r="B405" s="2" t="n"/>
      <c r="C405" s="2" t="n"/>
      <c r="D405" s="2" t="n"/>
    </row>
    <row r="406" ht="15.75" customHeight="1" s="82">
      <c r="A406" s="2" t="n"/>
      <c r="B406" s="2" t="n"/>
      <c r="C406" s="2" t="n"/>
      <c r="D406" s="2" t="n"/>
    </row>
    <row r="407" ht="15.75" customHeight="1" s="82">
      <c r="A407" s="2" t="n"/>
      <c r="B407" s="2" t="n"/>
      <c r="C407" s="2" t="n"/>
      <c r="D407" s="2" t="n"/>
    </row>
    <row r="408" ht="15.75" customHeight="1" s="82">
      <c r="A408" s="2" t="n"/>
      <c r="B408" s="2" t="n"/>
      <c r="C408" s="2" t="n"/>
      <c r="D408" s="2" t="n"/>
    </row>
    <row r="409" ht="15.75" customHeight="1" s="82">
      <c r="A409" s="2" t="n"/>
      <c r="B409" s="2" t="n"/>
      <c r="C409" s="2" t="n"/>
      <c r="D409" s="2" t="n"/>
    </row>
    <row r="410" ht="15.75" customHeight="1" s="82">
      <c r="A410" s="2" t="n"/>
      <c r="B410" s="2" t="n"/>
      <c r="C410" s="2" t="n"/>
      <c r="D410" s="2" t="n"/>
    </row>
    <row r="411" ht="15.75" customHeight="1" s="82">
      <c r="A411" s="2" t="n"/>
      <c r="B411" s="2" t="n"/>
      <c r="C411" s="2" t="n"/>
      <c r="D411" s="2" t="n"/>
    </row>
    <row r="412" ht="15.75" customHeight="1" s="82">
      <c r="A412" s="2" t="n"/>
      <c r="B412" s="2" t="n"/>
      <c r="C412" s="2" t="n"/>
      <c r="D412" s="2" t="n"/>
    </row>
    <row r="413" ht="15.75" customHeight="1" s="82">
      <c r="A413" s="2" t="n"/>
      <c r="B413" s="2" t="n"/>
      <c r="C413" s="2" t="n"/>
      <c r="D413" s="2" t="n"/>
    </row>
    <row r="414" ht="15.75" customHeight="1" s="82">
      <c r="A414" s="2" t="n"/>
      <c r="B414" s="2" t="n"/>
      <c r="C414" s="2" t="n"/>
      <c r="D414" s="2" t="n"/>
    </row>
    <row r="415" ht="15.75" customHeight="1" s="82">
      <c r="A415" s="2" t="n"/>
      <c r="B415" s="2" t="n"/>
      <c r="C415" s="2" t="n"/>
      <c r="D415" s="2" t="n"/>
    </row>
    <row r="416" ht="15.75" customHeight="1" s="82">
      <c r="A416" s="2" t="n"/>
      <c r="B416" s="2" t="n"/>
      <c r="C416" s="2" t="n"/>
      <c r="D416" s="2" t="n"/>
    </row>
    <row r="417" ht="15.75" customHeight="1" s="82">
      <c r="A417" s="2" t="n"/>
      <c r="B417" s="2" t="n"/>
      <c r="C417" s="2" t="n"/>
      <c r="D417" s="2" t="n"/>
    </row>
    <row r="418" ht="15.75" customHeight="1" s="82">
      <c r="A418" s="2" t="n"/>
      <c r="B418" s="2" t="n"/>
      <c r="C418" s="2" t="n"/>
      <c r="D418" s="2" t="n"/>
    </row>
    <row r="419" ht="15.75" customHeight="1" s="82">
      <c r="A419" s="2" t="n"/>
      <c r="B419" s="2" t="n"/>
      <c r="C419" s="2" t="n"/>
      <c r="D419" s="2" t="n"/>
    </row>
    <row r="420" ht="15.75" customHeight="1" s="82">
      <c r="A420" s="2" t="n"/>
      <c r="B420" s="2" t="n"/>
      <c r="C420" s="2" t="n"/>
      <c r="D420" s="2" t="n"/>
    </row>
    <row r="421" ht="15.75" customHeight="1" s="82">
      <c r="A421" s="2" t="n"/>
      <c r="B421" s="2" t="n"/>
      <c r="C421" s="2" t="n"/>
      <c r="D421" s="2" t="n"/>
    </row>
    <row r="422" ht="15.75" customHeight="1" s="82">
      <c r="A422" s="2" t="n"/>
      <c r="B422" s="2" t="n"/>
      <c r="C422" s="2" t="n"/>
      <c r="D422" s="2" t="n"/>
    </row>
    <row r="423" ht="15.75" customHeight="1" s="82">
      <c r="A423" s="2" t="n"/>
      <c r="B423" s="2" t="n"/>
      <c r="C423" s="2" t="n"/>
      <c r="D423" s="2" t="n"/>
    </row>
    <row r="424" ht="15.75" customHeight="1" s="82">
      <c r="A424" s="2" t="n"/>
      <c r="B424" s="2" t="n"/>
      <c r="C424" s="2" t="n"/>
      <c r="D424" s="2" t="n"/>
    </row>
    <row r="425" ht="15.75" customHeight="1" s="82">
      <c r="A425" s="2" t="n"/>
      <c r="B425" s="2" t="n"/>
      <c r="C425" s="2" t="n"/>
      <c r="D425" s="2" t="n"/>
    </row>
    <row r="426" ht="15.75" customHeight="1" s="82">
      <c r="A426" s="2" t="n"/>
      <c r="B426" s="2" t="n"/>
      <c r="C426" s="2" t="n"/>
      <c r="D426" s="2" t="n"/>
    </row>
    <row r="427" ht="15.75" customHeight="1" s="82">
      <c r="A427" s="2" t="n"/>
      <c r="B427" s="2" t="n"/>
      <c r="C427" s="2" t="n"/>
      <c r="D427" s="2" t="n"/>
    </row>
    <row r="428" ht="15.75" customHeight="1" s="82">
      <c r="A428" s="2" t="n"/>
      <c r="B428" s="2" t="n"/>
      <c r="C428" s="2" t="n"/>
      <c r="D428" s="2" t="n"/>
    </row>
    <row r="429" ht="15.75" customHeight="1" s="82">
      <c r="A429" s="2" t="n"/>
      <c r="B429" s="2" t="n"/>
      <c r="C429" s="2" t="n"/>
      <c r="D429" s="2" t="n"/>
    </row>
    <row r="430" ht="15.75" customHeight="1" s="82">
      <c r="A430" s="2" t="n"/>
      <c r="B430" s="2" t="n"/>
      <c r="C430" s="2" t="n"/>
      <c r="D430" s="2" t="n"/>
    </row>
    <row r="431" ht="15.75" customHeight="1" s="82">
      <c r="A431" s="2" t="n"/>
      <c r="B431" s="2" t="n"/>
      <c r="C431" s="2" t="n"/>
      <c r="D431" s="2" t="n"/>
    </row>
    <row r="432" ht="15.75" customHeight="1" s="82">
      <c r="A432" s="2" t="n"/>
      <c r="B432" s="2" t="n"/>
      <c r="C432" s="2" t="n"/>
      <c r="D432" s="2" t="n"/>
    </row>
    <row r="433" ht="15.75" customHeight="1" s="82">
      <c r="A433" s="2" t="n"/>
      <c r="B433" s="2" t="n"/>
      <c r="C433" s="2" t="n"/>
      <c r="D433" s="2" t="n"/>
    </row>
    <row r="434" ht="15.75" customHeight="1" s="82">
      <c r="A434" s="2" t="n"/>
      <c r="B434" s="2" t="n"/>
      <c r="C434" s="2" t="n"/>
      <c r="D434" s="2" t="n"/>
    </row>
    <row r="435" ht="15.75" customHeight="1" s="82">
      <c r="A435" s="2" t="n"/>
      <c r="B435" s="2" t="n"/>
      <c r="C435" s="2" t="n"/>
      <c r="D435" s="2" t="n"/>
    </row>
    <row r="436" ht="15.75" customHeight="1" s="82">
      <c r="A436" s="2" t="n"/>
      <c r="B436" s="2" t="n"/>
      <c r="C436" s="2" t="n"/>
      <c r="D436" s="2" t="n"/>
    </row>
    <row r="437" ht="15.75" customHeight="1" s="82">
      <c r="A437" s="2" t="n"/>
      <c r="B437" s="2" t="n"/>
      <c r="C437" s="2" t="n"/>
      <c r="D437" s="2" t="n"/>
    </row>
    <row r="438" ht="15.75" customHeight="1" s="82">
      <c r="A438" s="2" t="n"/>
      <c r="B438" s="2" t="n"/>
      <c r="C438" s="2" t="n"/>
      <c r="D438" s="2" t="n"/>
    </row>
    <row r="439" ht="15.75" customHeight="1" s="82">
      <c r="A439" s="2" t="n"/>
      <c r="B439" s="2" t="n"/>
      <c r="C439" s="2" t="n"/>
      <c r="D439" s="2" t="n"/>
    </row>
    <row r="440" ht="15.75" customHeight="1" s="82">
      <c r="A440" s="2" t="n"/>
      <c r="B440" s="2" t="n"/>
      <c r="C440" s="2" t="n"/>
      <c r="D440" s="2" t="n"/>
    </row>
    <row r="441" ht="15.75" customHeight="1" s="82">
      <c r="A441" s="2" t="n"/>
      <c r="B441" s="2" t="n"/>
      <c r="C441" s="2" t="n"/>
      <c r="D441" s="2" t="n"/>
    </row>
    <row r="442" ht="15.75" customHeight="1" s="82">
      <c r="A442" s="2" t="n"/>
      <c r="B442" s="2" t="n"/>
      <c r="C442" s="2" t="n"/>
      <c r="D442" s="2" t="n"/>
    </row>
    <row r="443" ht="15.75" customHeight="1" s="82">
      <c r="A443" s="2" t="n"/>
      <c r="B443" s="2" t="n"/>
      <c r="C443" s="2" t="n"/>
      <c r="D443" s="2" t="n"/>
    </row>
    <row r="444" ht="15.75" customHeight="1" s="82">
      <c r="A444" s="2" t="n"/>
      <c r="B444" s="2" t="n"/>
      <c r="C444" s="2" t="n"/>
      <c r="D444" s="2" t="n"/>
    </row>
    <row r="445" ht="15.75" customHeight="1" s="82">
      <c r="A445" s="2" t="n"/>
      <c r="B445" s="2" t="n"/>
      <c r="C445" s="2" t="n"/>
      <c r="D445" s="2" t="n"/>
    </row>
    <row r="446" ht="15.75" customHeight="1" s="82">
      <c r="A446" s="2" t="n"/>
      <c r="B446" s="2" t="n"/>
      <c r="C446" s="2" t="n"/>
      <c r="D446" s="2" t="n"/>
    </row>
    <row r="447" ht="15.75" customHeight="1" s="82">
      <c r="A447" s="2" t="n"/>
      <c r="B447" s="2" t="n"/>
      <c r="C447" s="2" t="n"/>
      <c r="D447" s="2" t="n"/>
    </row>
    <row r="448" ht="15.75" customHeight="1" s="82">
      <c r="A448" s="2" t="n"/>
      <c r="B448" s="2" t="n"/>
      <c r="C448" s="2" t="n"/>
      <c r="D448" s="2" t="n"/>
    </row>
    <row r="449" ht="15.75" customHeight="1" s="82">
      <c r="A449" s="2" t="n"/>
      <c r="B449" s="2" t="n"/>
      <c r="C449" s="2" t="n"/>
      <c r="D449" s="2" t="n"/>
    </row>
    <row r="450" ht="15.75" customHeight="1" s="82">
      <c r="A450" s="2" t="n"/>
      <c r="B450" s="2" t="n"/>
      <c r="C450" s="2" t="n"/>
      <c r="D450" s="2" t="n"/>
    </row>
    <row r="451" ht="15.75" customHeight="1" s="82">
      <c r="A451" s="2" t="n"/>
      <c r="B451" s="2" t="n"/>
      <c r="C451" s="2" t="n"/>
      <c r="D451" s="2" t="n"/>
    </row>
    <row r="452" ht="15.75" customHeight="1" s="82">
      <c r="A452" s="2" t="n"/>
      <c r="B452" s="2" t="n"/>
      <c r="C452" s="2" t="n"/>
      <c r="D452" s="2" t="n"/>
    </row>
    <row r="453" ht="15.75" customHeight="1" s="82">
      <c r="A453" s="2" t="n"/>
      <c r="B453" s="2" t="n"/>
      <c r="C453" s="2" t="n"/>
      <c r="D453" s="2" t="n"/>
    </row>
    <row r="454" ht="15.75" customHeight="1" s="82">
      <c r="A454" s="2" t="n"/>
      <c r="B454" s="2" t="n"/>
      <c r="C454" s="2" t="n"/>
      <c r="D454" s="2" t="n"/>
    </row>
    <row r="455" ht="15.75" customHeight="1" s="82">
      <c r="A455" s="2" t="n"/>
      <c r="B455" s="2" t="n"/>
      <c r="C455" s="2" t="n"/>
      <c r="D455" s="2" t="n"/>
    </row>
    <row r="456" ht="15.75" customHeight="1" s="82">
      <c r="A456" s="2" t="n"/>
      <c r="B456" s="2" t="n"/>
      <c r="C456" s="2" t="n"/>
      <c r="D456" s="2" t="n"/>
    </row>
    <row r="457" ht="15.75" customHeight="1" s="82">
      <c r="A457" s="2" t="n"/>
      <c r="B457" s="2" t="n"/>
      <c r="C457" s="2" t="n"/>
      <c r="D457" s="2" t="n"/>
    </row>
    <row r="458" ht="15.75" customHeight="1" s="82">
      <c r="A458" s="2" t="n"/>
      <c r="B458" s="2" t="n"/>
      <c r="C458" s="2" t="n"/>
      <c r="D458" s="2" t="n"/>
    </row>
    <row r="459" ht="15.75" customHeight="1" s="82">
      <c r="A459" s="2" t="n"/>
      <c r="B459" s="2" t="n"/>
      <c r="C459" s="2" t="n"/>
      <c r="D459" s="2" t="n"/>
    </row>
    <row r="460" ht="15.75" customHeight="1" s="82">
      <c r="A460" s="2" t="n"/>
      <c r="B460" s="2" t="n"/>
      <c r="C460" s="2" t="n"/>
      <c r="D460" s="2" t="n"/>
    </row>
    <row r="461" ht="15.75" customHeight="1" s="82">
      <c r="A461" s="2" t="n"/>
      <c r="B461" s="2" t="n"/>
      <c r="C461" s="2" t="n"/>
      <c r="D461" s="2" t="n"/>
    </row>
    <row r="462" ht="15.75" customHeight="1" s="82">
      <c r="A462" s="2" t="n"/>
      <c r="B462" s="2" t="n"/>
      <c r="C462" s="2" t="n"/>
      <c r="D462" s="2" t="n"/>
    </row>
    <row r="463" ht="15.75" customHeight="1" s="82">
      <c r="A463" s="2" t="n"/>
      <c r="B463" s="2" t="n"/>
      <c r="C463" s="2" t="n"/>
      <c r="D463" s="2" t="n"/>
    </row>
    <row r="464" ht="15.75" customHeight="1" s="82">
      <c r="A464" s="2" t="n"/>
      <c r="B464" s="2" t="n"/>
      <c r="C464" s="2" t="n"/>
      <c r="D464" s="2" t="n"/>
    </row>
    <row r="465" ht="15.75" customHeight="1" s="82">
      <c r="A465" s="2" t="n"/>
      <c r="B465" s="2" t="n"/>
      <c r="C465" s="2" t="n"/>
      <c r="D465" s="2" t="n"/>
    </row>
    <row r="466" ht="15.75" customHeight="1" s="82">
      <c r="A466" s="2" t="n"/>
      <c r="B466" s="2" t="n"/>
      <c r="C466" s="2" t="n"/>
      <c r="D466" s="2" t="n"/>
    </row>
    <row r="467" ht="15.75" customHeight="1" s="82">
      <c r="A467" s="2" t="n"/>
      <c r="B467" s="2" t="n"/>
      <c r="C467" s="2" t="n"/>
      <c r="D467" s="2" t="n"/>
    </row>
    <row r="468" ht="15.75" customHeight="1" s="82">
      <c r="A468" s="2" t="n"/>
      <c r="B468" s="2" t="n"/>
      <c r="C468" s="2" t="n"/>
      <c r="D468" s="2" t="n"/>
    </row>
    <row r="469" ht="15.75" customHeight="1" s="82">
      <c r="A469" s="2" t="n"/>
      <c r="B469" s="2" t="n"/>
      <c r="C469" s="2" t="n"/>
      <c r="D469" s="2" t="n"/>
    </row>
    <row r="470" ht="15.75" customHeight="1" s="82">
      <c r="A470" s="2" t="n"/>
      <c r="B470" s="2" t="n"/>
      <c r="C470" s="2" t="n"/>
      <c r="D470" s="2" t="n"/>
    </row>
    <row r="471" ht="15.75" customHeight="1" s="82">
      <c r="A471" s="2" t="n"/>
      <c r="B471" s="2" t="n"/>
      <c r="C471" s="2" t="n"/>
      <c r="D471" s="2" t="n"/>
    </row>
    <row r="472" ht="15.75" customHeight="1" s="82">
      <c r="A472" s="2" t="n"/>
      <c r="B472" s="2" t="n"/>
      <c r="C472" s="2" t="n"/>
      <c r="D472" s="2" t="n"/>
    </row>
    <row r="473" ht="15.75" customHeight="1" s="82">
      <c r="A473" s="2" t="n"/>
      <c r="B473" s="2" t="n"/>
      <c r="C473" s="2" t="n"/>
      <c r="D473" s="2" t="n"/>
    </row>
    <row r="474" ht="15.75" customHeight="1" s="82">
      <c r="A474" s="2" t="n"/>
      <c r="B474" s="2" t="n"/>
      <c r="C474" s="2" t="n"/>
      <c r="D474" s="2" t="n"/>
    </row>
    <row r="475" ht="15.75" customHeight="1" s="82">
      <c r="A475" s="2" t="n"/>
      <c r="B475" s="2" t="n"/>
      <c r="C475" s="2" t="n"/>
      <c r="D475" s="2" t="n"/>
    </row>
    <row r="476" ht="15.75" customHeight="1" s="82">
      <c r="A476" s="2" t="n"/>
      <c r="B476" s="2" t="n"/>
      <c r="C476" s="2" t="n"/>
      <c r="D476" s="2" t="n"/>
    </row>
    <row r="477" ht="15.75" customHeight="1" s="82">
      <c r="A477" s="2" t="n"/>
      <c r="B477" s="2" t="n"/>
      <c r="C477" s="2" t="n"/>
      <c r="D477" s="2" t="n"/>
    </row>
    <row r="478" ht="15.75" customHeight="1" s="82">
      <c r="A478" s="2" t="n"/>
      <c r="B478" s="2" t="n"/>
      <c r="C478" s="2" t="n"/>
      <c r="D478" s="2" t="n"/>
    </row>
    <row r="479" ht="15.75" customHeight="1" s="82">
      <c r="A479" s="2" t="n"/>
      <c r="B479" s="2" t="n"/>
      <c r="C479" s="2" t="n"/>
      <c r="D479" s="2" t="n"/>
    </row>
    <row r="480" ht="15.75" customHeight="1" s="82">
      <c r="A480" s="2" t="n"/>
      <c r="B480" s="2" t="n"/>
      <c r="C480" s="2" t="n"/>
      <c r="D480" s="2" t="n"/>
    </row>
    <row r="481" ht="15.75" customHeight="1" s="82">
      <c r="A481" s="2" t="n"/>
      <c r="B481" s="2" t="n"/>
      <c r="C481" s="2" t="n"/>
      <c r="D481" s="2" t="n"/>
    </row>
    <row r="482" ht="15.75" customHeight="1" s="82">
      <c r="A482" s="2" t="n"/>
      <c r="B482" s="2" t="n"/>
      <c r="C482" s="2" t="n"/>
      <c r="D482" s="2" t="n"/>
    </row>
    <row r="483" ht="15.75" customHeight="1" s="82">
      <c r="A483" s="2" t="n"/>
      <c r="B483" s="2" t="n"/>
      <c r="C483" s="2" t="n"/>
      <c r="D483" s="2" t="n"/>
    </row>
    <row r="484" ht="15.75" customHeight="1" s="82">
      <c r="A484" s="2" t="n"/>
      <c r="B484" s="2" t="n"/>
      <c r="C484" s="2" t="n"/>
      <c r="D484" s="2" t="n"/>
    </row>
    <row r="485" ht="15.75" customHeight="1" s="82">
      <c r="A485" s="2" t="n"/>
      <c r="B485" s="2" t="n"/>
      <c r="C485" s="2" t="n"/>
      <c r="D485" s="2" t="n"/>
    </row>
    <row r="486" ht="15.75" customHeight="1" s="82">
      <c r="A486" s="2" t="n"/>
      <c r="B486" s="2" t="n"/>
      <c r="C486" s="2" t="n"/>
      <c r="D486" s="2" t="n"/>
    </row>
    <row r="487" ht="15.75" customHeight="1" s="82">
      <c r="A487" s="2" t="n"/>
      <c r="B487" s="2" t="n"/>
      <c r="C487" s="2" t="n"/>
      <c r="D487" s="2" t="n"/>
    </row>
    <row r="488" ht="15.75" customHeight="1" s="82">
      <c r="A488" s="2" t="n"/>
      <c r="B488" s="2" t="n"/>
      <c r="C488" s="2" t="n"/>
      <c r="D488" s="2" t="n"/>
    </row>
    <row r="489" ht="15.75" customHeight="1" s="82">
      <c r="A489" s="2" t="n"/>
      <c r="B489" s="2" t="n"/>
      <c r="C489" s="2" t="n"/>
      <c r="D489" s="2" t="n"/>
    </row>
    <row r="490" ht="15.75" customHeight="1" s="82">
      <c r="A490" s="2" t="n"/>
      <c r="B490" s="2" t="n"/>
      <c r="C490" s="2" t="n"/>
      <c r="D490" s="2" t="n"/>
    </row>
    <row r="491" ht="15.75" customHeight="1" s="82">
      <c r="A491" s="2" t="n"/>
      <c r="B491" s="2" t="n"/>
      <c r="C491" s="2" t="n"/>
      <c r="D491" s="2" t="n"/>
    </row>
    <row r="492" ht="15.75" customHeight="1" s="82">
      <c r="A492" s="2" t="n"/>
      <c r="B492" s="2" t="n"/>
      <c r="C492" s="2" t="n"/>
      <c r="D492" s="2" t="n"/>
    </row>
    <row r="493" ht="15.75" customHeight="1" s="82">
      <c r="A493" s="2" t="n"/>
      <c r="B493" s="2" t="n"/>
      <c r="C493" s="2" t="n"/>
      <c r="D493" s="2" t="n"/>
    </row>
    <row r="494" ht="15.75" customHeight="1" s="82">
      <c r="A494" s="2" t="n"/>
      <c r="B494" s="2" t="n"/>
      <c r="C494" s="2" t="n"/>
      <c r="D494" s="2" t="n"/>
    </row>
    <row r="495" ht="15.75" customHeight="1" s="82">
      <c r="A495" s="2" t="n"/>
      <c r="B495" s="2" t="n"/>
      <c r="C495" s="2" t="n"/>
      <c r="D495" s="2" t="n"/>
    </row>
    <row r="496" ht="15.75" customHeight="1" s="82">
      <c r="A496" s="2" t="n"/>
      <c r="B496" s="2" t="n"/>
      <c r="C496" s="2" t="n"/>
      <c r="D496" s="2" t="n"/>
    </row>
    <row r="497" ht="15.75" customHeight="1" s="82">
      <c r="A497" s="2" t="n"/>
      <c r="B497" s="2" t="n"/>
      <c r="C497" s="2" t="n"/>
      <c r="D497" s="2" t="n"/>
    </row>
    <row r="498" ht="15.75" customHeight="1" s="82">
      <c r="A498" s="2" t="n"/>
      <c r="B498" s="2" t="n"/>
      <c r="C498" s="2" t="n"/>
      <c r="D498" s="2" t="n"/>
    </row>
    <row r="499" ht="15.75" customHeight="1" s="82">
      <c r="A499" s="2" t="n"/>
      <c r="B499" s="2" t="n"/>
      <c r="C499" s="2" t="n"/>
      <c r="D499" s="2" t="n"/>
    </row>
    <row r="500" ht="15.75" customHeight="1" s="82">
      <c r="A500" s="2" t="n"/>
      <c r="B500" s="2" t="n"/>
      <c r="C500" s="2" t="n"/>
      <c r="D500" s="2" t="n"/>
    </row>
    <row r="501" ht="15.75" customHeight="1" s="82">
      <c r="A501" s="2" t="n"/>
      <c r="B501" s="2" t="n"/>
      <c r="C501" s="2" t="n"/>
      <c r="D501" s="2" t="n"/>
    </row>
    <row r="502" ht="15.75" customHeight="1" s="82">
      <c r="A502" s="2" t="n"/>
      <c r="B502" s="2" t="n"/>
      <c r="C502" s="2" t="n"/>
      <c r="D502" s="2" t="n"/>
    </row>
    <row r="503" ht="15.75" customHeight="1" s="82">
      <c r="A503" s="2" t="n"/>
      <c r="B503" s="2" t="n"/>
      <c r="C503" s="2" t="n"/>
      <c r="D503" s="2" t="n"/>
    </row>
    <row r="504" ht="15.75" customHeight="1" s="82">
      <c r="A504" s="2" t="n"/>
      <c r="B504" s="2" t="n"/>
      <c r="C504" s="2" t="n"/>
      <c r="D504" s="2" t="n"/>
    </row>
    <row r="505" ht="15.75" customHeight="1" s="82">
      <c r="A505" s="2" t="n"/>
      <c r="B505" s="2" t="n"/>
      <c r="C505" s="2" t="n"/>
      <c r="D505" s="2" t="n"/>
    </row>
    <row r="506" ht="15.75" customHeight="1" s="82">
      <c r="A506" s="2" t="n"/>
      <c r="B506" s="2" t="n"/>
      <c r="C506" s="2" t="n"/>
      <c r="D506" s="2" t="n"/>
    </row>
    <row r="507" ht="15.75" customHeight="1" s="82">
      <c r="A507" s="2" t="n"/>
      <c r="B507" s="2" t="n"/>
      <c r="C507" s="2" t="n"/>
      <c r="D507" s="2" t="n"/>
    </row>
    <row r="508" ht="15.75" customHeight="1" s="82">
      <c r="A508" s="2" t="n"/>
      <c r="B508" s="2" t="n"/>
      <c r="C508" s="2" t="n"/>
      <c r="D508" s="2" t="n"/>
    </row>
    <row r="509" ht="15.75" customHeight="1" s="82">
      <c r="A509" s="2" t="n"/>
      <c r="B509" s="2" t="n"/>
      <c r="C509" s="2" t="n"/>
      <c r="D509" s="2" t="n"/>
    </row>
    <row r="510" ht="15.75" customHeight="1" s="82">
      <c r="A510" s="2" t="n"/>
      <c r="B510" s="2" t="n"/>
      <c r="C510" s="2" t="n"/>
      <c r="D510" s="2" t="n"/>
    </row>
    <row r="511" ht="15.75" customHeight="1" s="82">
      <c r="A511" s="2" t="n"/>
      <c r="B511" s="2" t="n"/>
      <c r="C511" s="2" t="n"/>
      <c r="D511" s="2" t="n"/>
    </row>
    <row r="512" ht="15.75" customHeight="1" s="82">
      <c r="A512" s="2" t="n"/>
      <c r="B512" s="2" t="n"/>
      <c r="C512" s="2" t="n"/>
      <c r="D512" s="2" t="n"/>
    </row>
    <row r="513" ht="15.75" customHeight="1" s="82">
      <c r="A513" s="2" t="n"/>
      <c r="B513" s="2" t="n"/>
      <c r="C513" s="2" t="n"/>
      <c r="D513" s="2" t="n"/>
    </row>
    <row r="514" ht="15.75" customHeight="1" s="82">
      <c r="A514" s="2" t="n"/>
      <c r="B514" s="2" t="n"/>
      <c r="C514" s="2" t="n"/>
      <c r="D514" s="2" t="n"/>
    </row>
    <row r="515" ht="15.75" customHeight="1" s="82">
      <c r="A515" s="2" t="n"/>
      <c r="B515" s="2" t="n"/>
      <c r="C515" s="2" t="n"/>
      <c r="D515" s="2" t="n"/>
    </row>
    <row r="516" ht="15.75" customHeight="1" s="82">
      <c r="A516" s="2" t="n"/>
      <c r="B516" s="2" t="n"/>
      <c r="C516" s="2" t="n"/>
      <c r="D516" s="2" t="n"/>
    </row>
    <row r="517" ht="15.75" customHeight="1" s="82">
      <c r="A517" s="2" t="n"/>
      <c r="B517" s="2" t="n"/>
      <c r="C517" s="2" t="n"/>
      <c r="D517" s="2" t="n"/>
    </row>
    <row r="518" ht="15.75" customHeight="1" s="82">
      <c r="A518" s="2" t="n"/>
      <c r="B518" s="2" t="n"/>
      <c r="C518" s="2" t="n"/>
      <c r="D518" s="2" t="n"/>
    </row>
    <row r="519" ht="15.75" customHeight="1" s="82">
      <c r="A519" s="2" t="n"/>
      <c r="B519" s="2" t="n"/>
      <c r="C519" s="2" t="n"/>
      <c r="D519" s="2" t="n"/>
    </row>
    <row r="520" ht="15.75" customHeight="1" s="82">
      <c r="A520" s="2" t="n"/>
      <c r="B520" s="2" t="n"/>
      <c r="C520" s="2" t="n"/>
      <c r="D520" s="2" t="n"/>
    </row>
    <row r="521" ht="15.75" customHeight="1" s="82">
      <c r="A521" s="2" t="n"/>
      <c r="B521" s="2" t="n"/>
      <c r="C521" s="2" t="n"/>
      <c r="D521" s="2" t="n"/>
    </row>
    <row r="522" ht="15.75" customHeight="1" s="82">
      <c r="A522" s="2" t="n"/>
      <c r="B522" s="2" t="n"/>
      <c r="C522" s="2" t="n"/>
      <c r="D522" s="2" t="n"/>
    </row>
    <row r="523" ht="15.75" customHeight="1" s="82">
      <c r="A523" s="2" t="n"/>
      <c r="B523" s="2" t="n"/>
      <c r="C523" s="2" t="n"/>
      <c r="D523" s="2" t="n"/>
    </row>
    <row r="524" ht="15.75" customHeight="1" s="82">
      <c r="A524" s="2" t="n"/>
      <c r="B524" s="2" t="n"/>
      <c r="C524" s="2" t="n"/>
      <c r="D524" s="2" t="n"/>
    </row>
    <row r="525" ht="15.75" customHeight="1" s="82">
      <c r="A525" s="2" t="n"/>
      <c r="B525" s="2" t="n"/>
      <c r="C525" s="2" t="n"/>
      <c r="D525" s="2" t="n"/>
    </row>
    <row r="526" ht="15.75" customHeight="1" s="82">
      <c r="A526" s="2" t="n"/>
      <c r="B526" s="2" t="n"/>
      <c r="C526" s="2" t="n"/>
      <c r="D526" s="2" t="n"/>
    </row>
    <row r="527" ht="15.75" customHeight="1" s="82">
      <c r="A527" s="2" t="n"/>
      <c r="B527" s="2" t="n"/>
      <c r="C527" s="2" t="n"/>
      <c r="D527" s="2" t="n"/>
    </row>
    <row r="528" ht="15.75" customHeight="1" s="82">
      <c r="A528" s="2" t="n"/>
      <c r="B528" s="2" t="n"/>
      <c r="C528" s="2" t="n"/>
      <c r="D528" s="2" t="n"/>
    </row>
    <row r="529" ht="15.75" customHeight="1" s="82">
      <c r="A529" s="2" t="n"/>
      <c r="B529" s="2" t="n"/>
      <c r="C529" s="2" t="n"/>
      <c r="D529" s="2" t="n"/>
    </row>
    <row r="530" ht="15.75" customHeight="1" s="82">
      <c r="A530" s="2" t="n"/>
      <c r="B530" s="2" t="n"/>
      <c r="C530" s="2" t="n"/>
      <c r="D530" s="2" t="n"/>
    </row>
    <row r="531" ht="15.75" customHeight="1" s="82">
      <c r="A531" s="2" t="n"/>
      <c r="B531" s="2" t="n"/>
      <c r="C531" s="2" t="n"/>
      <c r="D531" s="2" t="n"/>
    </row>
    <row r="532" ht="15.75" customHeight="1" s="82">
      <c r="A532" s="2" t="n"/>
      <c r="B532" s="2" t="n"/>
      <c r="C532" s="2" t="n"/>
      <c r="D532" s="2" t="n"/>
    </row>
    <row r="533" ht="15.75" customHeight="1" s="82">
      <c r="A533" s="2" t="n"/>
      <c r="B533" s="2" t="n"/>
      <c r="C533" s="2" t="n"/>
      <c r="D533" s="2" t="n"/>
    </row>
    <row r="534" ht="15.75" customHeight="1" s="82">
      <c r="A534" s="2" t="n"/>
      <c r="B534" s="2" t="n"/>
      <c r="C534" s="2" t="n"/>
      <c r="D534" s="2" t="n"/>
    </row>
    <row r="535" ht="15.75" customHeight="1" s="82">
      <c r="A535" s="2" t="n"/>
      <c r="B535" s="2" t="n"/>
      <c r="C535" s="2" t="n"/>
      <c r="D535" s="2" t="n"/>
    </row>
    <row r="536" ht="15.75" customHeight="1" s="82">
      <c r="A536" s="2" t="n"/>
      <c r="B536" s="2" t="n"/>
      <c r="C536" s="2" t="n"/>
      <c r="D536" s="2" t="n"/>
    </row>
    <row r="537" ht="15.75" customHeight="1" s="82">
      <c r="A537" s="2" t="n"/>
      <c r="B537" s="2" t="n"/>
      <c r="C537" s="2" t="n"/>
      <c r="D537" s="2" t="n"/>
    </row>
    <row r="538" ht="15.75" customHeight="1" s="82">
      <c r="A538" s="2" t="n"/>
      <c r="B538" s="2" t="n"/>
      <c r="C538" s="2" t="n"/>
      <c r="D538" s="2" t="n"/>
    </row>
    <row r="539" ht="15.75" customHeight="1" s="82">
      <c r="A539" s="2" t="n"/>
      <c r="B539" s="2" t="n"/>
      <c r="C539" s="2" t="n"/>
      <c r="D539" s="2" t="n"/>
    </row>
    <row r="540" ht="15.75" customHeight="1" s="82">
      <c r="A540" s="2" t="n"/>
      <c r="B540" s="2" t="n"/>
      <c r="C540" s="2" t="n"/>
      <c r="D540" s="2" t="n"/>
    </row>
    <row r="541" ht="15.75" customHeight="1" s="82">
      <c r="A541" s="2" t="n"/>
      <c r="B541" s="2" t="n"/>
      <c r="C541" s="2" t="n"/>
      <c r="D541" s="2" t="n"/>
    </row>
    <row r="542" ht="15.75" customHeight="1" s="82">
      <c r="A542" s="2" t="n"/>
      <c r="B542" s="2" t="n"/>
      <c r="C542" s="2" t="n"/>
      <c r="D542" s="2" t="n"/>
    </row>
    <row r="543" ht="15.75" customHeight="1" s="82">
      <c r="A543" s="2" t="n"/>
      <c r="B543" s="2" t="n"/>
      <c r="C543" s="2" t="n"/>
      <c r="D543" s="2" t="n"/>
    </row>
    <row r="544" ht="15.75" customHeight="1" s="82">
      <c r="A544" s="2" t="n"/>
      <c r="B544" s="2" t="n"/>
      <c r="C544" s="2" t="n"/>
      <c r="D544" s="2" t="n"/>
    </row>
    <row r="545" ht="15.75" customHeight="1" s="82">
      <c r="A545" s="2" t="n"/>
      <c r="B545" s="2" t="n"/>
      <c r="C545" s="2" t="n"/>
      <c r="D545" s="2" t="n"/>
    </row>
    <row r="546" ht="15.75" customHeight="1" s="82">
      <c r="A546" s="2" t="n"/>
      <c r="B546" s="2" t="n"/>
      <c r="C546" s="2" t="n"/>
      <c r="D546" s="2" t="n"/>
    </row>
    <row r="547" ht="15.75" customHeight="1" s="82">
      <c r="A547" s="2" t="n"/>
      <c r="B547" s="2" t="n"/>
      <c r="C547" s="2" t="n"/>
      <c r="D547" s="2" t="n"/>
    </row>
    <row r="548" ht="15.75" customHeight="1" s="82">
      <c r="A548" s="2" t="n"/>
      <c r="B548" s="2" t="n"/>
      <c r="C548" s="2" t="n"/>
      <c r="D548" s="2" t="n"/>
    </row>
    <row r="549" ht="15.75" customHeight="1" s="82">
      <c r="A549" s="2" t="n"/>
      <c r="B549" s="2" t="n"/>
      <c r="C549" s="2" t="n"/>
      <c r="D549" s="2" t="n"/>
    </row>
    <row r="550" ht="15.75" customHeight="1" s="82">
      <c r="A550" s="2" t="n"/>
      <c r="B550" s="2" t="n"/>
      <c r="C550" s="2" t="n"/>
      <c r="D550" s="2" t="n"/>
    </row>
    <row r="551" ht="15.75" customHeight="1" s="82">
      <c r="A551" s="2" t="n"/>
      <c r="B551" s="2" t="n"/>
      <c r="C551" s="2" t="n"/>
      <c r="D551" s="2" t="n"/>
    </row>
    <row r="552" ht="15.75" customHeight="1" s="82">
      <c r="A552" s="2" t="n"/>
      <c r="B552" s="2" t="n"/>
      <c r="C552" s="2" t="n"/>
      <c r="D552" s="2" t="n"/>
    </row>
    <row r="553" ht="15.75" customHeight="1" s="82">
      <c r="A553" s="2" t="n"/>
      <c r="B553" s="2" t="n"/>
      <c r="C553" s="2" t="n"/>
      <c r="D553" s="2" t="n"/>
    </row>
    <row r="554" ht="15.75" customHeight="1" s="82">
      <c r="A554" s="2" t="n"/>
      <c r="B554" s="2" t="n"/>
      <c r="C554" s="2" t="n"/>
      <c r="D554" s="2" t="n"/>
    </row>
    <row r="555" ht="15.75" customHeight="1" s="82">
      <c r="A555" s="2" t="n"/>
      <c r="B555" s="2" t="n"/>
      <c r="C555" s="2" t="n"/>
      <c r="D555" s="2" t="n"/>
    </row>
    <row r="556" ht="15.75" customHeight="1" s="82">
      <c r="A556" s="2" t="n"/>
      <c r="B556" s="2" t="n"/>
      <c r="C556" s="2" t="n"/>
      <c r="D556" s="2" t="n"/>
    </row>
    <row r="557" ht="15.75" customHeight="1" s="82">
      <c r="A557" s="2" t="n"/>
      <c r="B557" s="2" t="n"/>
      <c r="C557" s="2" t="n"/>
      <c r="D557" s="2" t="n"/>
    </row>
    <row r="558" ht="15.75" customHeight="1" s="82">
      <c r="A558" s="2" t="n"/>
      <c r="B558" s="2" t="n"/>
      <c r="C558" s="2" t="n"/>
      <c r="D558" s="2" t="n"/>
    </row>
    <row r="559" ht="15.75" customHeight="1" s="82">
      <c r="A559" s="2" t="n"/>
      <c r="B559" s="2" t="n"/>
      <c r="C559" s="2" t="n"/>
      <c r="D559" s="2" t="n"/>
    </row>
    <row r="560" ht="15.75" customHeight="1" s="82">
      <c r="A560" s="2" t="n"/>
      <c r="B560" s="2" t="n"/>
      <c r="C560" s="2" t="n"/>
      <c r="D560" s="2" t="n"/>
    </row>
    <row r="561" ht="15.75" customHeight="1" s="82">
      <c r="A561" s="2" t="n"/>
      <c r="B561" s="2" t="n"/>
      <c r="C561" s="2" t="n"/>
      <c r="D561" s="2" t="n"/>
    </row>
    <row r="562" ht="15.75" customHeight="1" s="82">
      <c r="A562" s="2" t="n"/>
      <c r="B562" s="2" t="n"/>
      <c r="C562" s="2" t="n"/>
      <c r="D562" s="2" t="n"/>
    </row>
    <row r="563" ht="15.75" customHeight="1" s="82">
      <c r="A563" s="2" t="n"/>
      <c r="B563" s="2" t="n"/>
      <c r="C563" s="2" t="n"/>
      <c r="D563" s="2" t="n"/>
    </row>
    <row r="564" ht="15.75" customHeight="1" s="82">
      <c r="A564" s="2" t="n"/>
      <c r="B564" s="2" t="n"/>
      <c r="C564" s="2" t="n"/>
      <c r="D564" s="2" t="n"/>
    </row>
    <row r="565" ht="15.75" customHeight="1" s="82">
      <c r="A565" s="2" t="n"/>
      <c r="B565" s="2" t="n"/>
      <c r="C565" s="2" t="n"/>
      <c r="D565" s="2" t="n"/>
    </row>
    <row r="566" ht="15.75" customHeight="1" s="82">
      <c r="A566" s="2" t="n"/>
      <c r="B566" s="2" t="n"/>
      <c r="C566" s="2" t="n"/>
      <c r="D566" s="2" t="n"/>
    </row>
    <row r="567" ht="15.75" customHeight="1" s="82">
      <c r="A567" s="2" t="n"/>
      <c r="B567" s="2" t="n"/>
      <c r="C567" s="2" t="n"/>
      <c r="D567" s="2" t="n"/>
    </row>
    <row r="568" ht="15.75" customHeight="1" s="82">
      <c r="A568" s="2" t="n"/>
      <c r="B568" s="2" t="n"/>
      <c r="C568" s="2" t="n"/>
      <c r="D568" s="2" t="n"/>
    </row>
    <row r="569" ht="15.75" customHeight="1" s="82">
      <c r="A569" s="2" t="n"/>
      <c r="B569" s="2" t="n"/>
      <c r="C569" s="2" t="n"/>
      <c r="D569" s="2" t="n"/>
    </row>
    <row r="570" ht="15.75" customHeight="1" s="82">
      <c r="A570" s="2" t="n"/>
      <c r="B570" s="2" t="n"/>
      <c r="C570" s="2" t="n"/>
      <c r="D570" s="2" t="n"/>
    </row>
    <row r="571" ht="15.75" customHeight="1" s="82">
      <c r="A571" s="2" t="n"/>
      <c r="B571" s="2" t="n"/>
      <c r="C571" s="2" t="n"/>
      <c r="D571" s="2" t="n"/>
    </row>
    <row r="572" ht="15.75" customHeight="1" s="82">
      <c r="A572" s="2" t="n"/>
      <c r="B572" s="2" t="n"/>
      <c r="C572" s="2" t="n"/>
      <c r="D572" s="2" t="n"/>
    </row>
    <row r="573" ht="15.75" customHeight="1" s="82">
      <c r="A573" s="2" t="n"/>
      <c r="B573" s="2" t="n"/>
      <c r="C573" s="2" t="n"/>
      <c r="D573" s="2" t="n"/>
    </row>
    <row r="574" ht="15.75" customHeight="1" s="82">
      <c r="A574" s="2" t="n"/>
      <c r="B574" s="2" t="n"/>
      <c r="C574" s="2" t="n"/>
      <c r="D574" s="2" t="n"/>
    </row>
    <row r="575" ht="15.75" customHeight="1" s="82">
      <c r="A575" s="2" t="n"/>
      <c r="B575" s="2" t="n"/>
      <c r="C575" s="2" t="n"/>
      <c r="D575" s="2" t="n"/>
    </row>
    <row r="576" ht="15.75" customHeight="1" s="82">
      <c r="A576" s="2" t="n"/>
      <c r="B576" s="2" t="n"/>
      <c r="C576" s="2" t="n"/>
      <c r="D576" s="2" t="n"/>
    </row>
    <row r="577" ht="15.75" customHeight="1" s="82">
      <c r="A577" s="2" t="n"/>
      <c r="B577" s="2" t="n"/>
      <c r="C577" s="2" t="n"/>
      <c r="D577" s="2" t="n"/>
    </row>
    <row r="578" ht="15.75" customHeight="1" s="82">
      <c r="A578" s="2" t="n"/>
      <c r="B578" s="2" t="n"/>
      <c r="C578" s="2" t="n"/>
      <c r="D578" s="2" t="n"/>
    </row>
    <row r="579" ht="15.75" customHeight="1" s="82">
      <c r="A579" s="2" t="n"/>
      <c r="B579" s="2" t="n"/>
      <c r="C579" s="2" t="n"/>
      <c r="D579" s="2" t="n"/>
    </row>
    <row r="580" ht="15.75" customHeight="1" s="82">
      <c r="A580" s="2" t="n"/>
      <c r="B580" s="2" t="n"/>
      <c r="C580" s="2" t="n"/>
      <c r="D580" s="2" t="n"/>
    </row>
    <row r="581" ht="15.75" customHeight="1" s="82">
      <c r="A581" s="2" t="n"/>
      <c r="B581" s="2" t="n"/>
      <c r="C581" s="2" t="n"/>
      <c r="D581" s="2" t="n"/>
    </row>
    <row r="582" ht="15.75" customHeight="1" s="82">
      <c r="A582" s="2" t="n"/>
      <c r="B582" s="2" t="n"/>
      <c r="C582" s="2" t="n"/>
      <c r="D582" s="2" t="n"/>
    </row>
    <row r="583" ht="15.75" customHeight="1" s="82">
      <c r="A583" s="2" t="n"/>
      <c r="B583" s="2" t="n"/>
      <c r="C583" s="2" t="n"/>
      <c r="D583" s="2" t="n"/>
    </row>
    <row r="584" ht="15.75" customHeight="1" s="82">
      <c r="A584" s="2" t="n"/>
      <c r="B584" s="2" t="n"/>
      <c r="C584" s="2" t="n"/>
      <c r="D584" s="2" t="n"/>
    </row>
    <row r="585" ht="15.75" customHeight="1" s="82">
      <c r="A585" s="2" t="n"/>
      <c r="B585" s="2" t="n"/>
      <c r="C585" s="2" t="n"/>
      <c r="D585" s="2" t="n"/>
    </row>
    <row r="586" ht="15.75" customHeight="1" s="82">
      <c r="A586" s="2" t="n"/>
      <c r="B586" s="2" t="n"/>
      <c r="C586" s="2" t="n"/>
      <c r="D586" s="2" t="n"/>
    </row>
    <row r="587" ht="15.75" customHeight="1" s="82">
      <c r="A587" s="2" t="n"/>
      <c r="B587" s="2" t="n"/>
      <c r="C587" s="2" t="n"/>
      <c r="D587" s="2" t="n"/>
    </row>
    <row r="588" ht="15.75" customHeight="1" s="82">
      <c r="A588" s="2" t="n"/>
      <c r="B588" s="2" t="n"/>
      <c r="C588" s="2" t="n"/>
      <c r="D588" s="2" t="n"/>
    </row>
    <row r="589" ht="15.75" customHeight="1" s="82">
      <c r="A589" s="2" t="n"/>
      <c r="B589" s="2" t="n"/>
      <c r="C589" s="2" t="n"/>
      <c r="D589" s="2" t="n"/>
    </row>
    <row r="590" ht="15.75" customHeight="1" s="82">
      <c r="A590" s="2" t="n"/>
      <c r="B590" s="2" t="n"/>
      <c r="C590" s="2" t="n"/>
      <c r="D590" s="2" t="n"/>
    </row>
    <row r="591" ht="15.75" customHeight="1" s="82">
      <c r="A591" s="2" t="n"/>
      <c r="B591" s="2" t="n"/>
      <c r="C591" s="2" t="n"/>
      <c r="D591" s="2" t="n"/>
    </row>
    <row r="592" ht="15.75" customHeight="1" s="82">
      <c r="A592" s="2" t="n"/>
      <c r="B592" s="2" t="n"/>
      <c r="C592" s="2" t="n"/>
      <c r="D592" s="2" t="n"/>
    </row>
    <row r="593" ht="15.75" customHeight="1" s="82">
      <c r="A593" s="2" t="n"/>
      <c r="B593" s="2" t="n"/>
      <c r="C593" s="2" t="n"/>
      <c r="D593" s="2" t="n"/>
    </row>
    <row r="594" ht="15.75" customHeight="1" s="82">
      <c r="A594" s="2" t="n"/>
      <c r="B594" s="2" t="n"/>
      <c r="C594" s="2" t="n"/>
      <c r="D594" s="2" t="n"/>
    </row>
    <row r="595" ht="15.75" customHeight="1" s="82">
      <c r="A595" s="2" t="n"/>
      <c r="B595" s="2" t="n"/>
      <c r="C595" s="2" t="n"/>
      <c r="D595" s="2" t="n"/>
    </row>
    <row r="596" ht="15.75" customHeight="1" s="82">
      <c r="A596" s="2" t="n"/>
      <c r="B596" s="2" t="n"/>
      <c r="C596" s="2" t="n"/>
      <c r="D596" s="2" t="n"/>
    </row>
    <row r="597" ht="15.75" customHeight="1" s="82">
      <c r="A597" s="2" t="n"/>
      <c r="B597" s="2" t="n"/>
      <c r="C597" s="2" t="n"/>
      <c r="D597" s="2" t="n"/>
    </row>
    <row r="598" ht="15.75" customHeight="1" s="82">
      <c r="A598" s="2" t="n"/>
      <c r="B598" s="2" t="n"/>
      <c r="C598" s="2" t="n"/>
      <c r="D598" s="2" t="n"/>
    </row>
    <row r="599" ht="15.75" customHeight="1" s="82">
      <c r="A599" s="2" t="n"/>
      <c r="B599" s="2" t="n"/>
      <c r="C599" s="2" t="n"/>
      <c r="D599" s="2" t="n"/>
    </row>
    <row r="600" ht="15.75" customHeight="1" s="82">
      <c r="A600" s="2" t="n"/>
      <c r="B600" s="2" t="n"/>
      <c r="C600" s="2" t="n"/>
      <c r="D600" s="2" t="n"/>
    </row>
    <row r="601" ht="15.75" customHeight="1" s="82">
      <c r="A601" s="2" t="n"/>
      <c r="B601" s="2" t="n"/>
      <c r="C601" s="2" t="n"/>
      <c r="D601" s="2" t="n"/>
    </row>
    <row r="602" ht="15.75" customHeight="1" s="82">
      <c r="A602" s="2" t="n"/>
      <c r="B602" s="2" t="n"/>
      <c r="C602" s="2" t="n"/>
      <c r="D602" s="2" t="n"/>
    </row>
    <row r="603" ht="15.75" customHeight="1" s="82">
      <c r="A603" s="2" t="n"/>
      <c r="B603" s="2" t="n"/>
      <c r="C603" s="2" t="n"/>
      <c r="D603" s="2" t="n"/>
    </row>
    <row r="604" ht="15.75" customHeight="1" s="82">
      <c r="A604" s="2" t="n"/>
      <c r="B604" s="2" t="n"/>
      <c r="C604" s="2" t="n"/>
      <c r="D604" s="2" t="n"/>
    </row>
    <row r="605" ht="15.75" customHeight="1" s="82">
      <c r="A605" s="2" t="n"/>
      <c r="B605" s="2" t="n"/>
      <c r="C605" s="2" t="n"/>
      <c r="D605" s="2" t="n"/>
    </row>
    <row r="606" ht="15.75" customHeight="1" s="82">
      <c r="A606" s="2" t="n"/>
      <c r="B606" s="2" t="n"/>
      <c r="C606" s="2" t="n"/>
      <c r="D606" s="2" t="n"/>
    </row>
    <row r="607" ht="15.75" customHeight="1" s="82">
      <c r="A607" s="2" t="n"/>
      <c r="B607" s="2" t="n"/>
      <c r="C607" s="2" t="n"/>
      <c r="D607" s="2" t="n"/>
    </row>
    <row r="608" ht="15.75" customHeight="1" s="82">
      <c r="A608" s="2" t="n"/>
      <c r="B608" s="2" t="n"/>
      <c r="C608" s="2" t="n"/>
      <c r="D608" s="2" t="n"/>
    </row>
    <row r="609" ht="15.75" customHeight="1" s="82">
      <c r="A609" s="2" t="n"/>
      <c r="B609" s="2" t="n"/>
      <c r="C609" s="2" t="n"/>
      <c r="D609" s="2" t="n"/>
    </row>
    <row r="610" ht="15.75" customHeight="1" s="82">
      <c r="A610" s="2" t="n"/>
      <c r="B610" s="2" t="n"/>
      <c r="C610" s="2" t="n"/>
      <c r="D610" s="2" t="n"/>
    </row>
    <row r="611" ht="15.75" customHeight="1" s="82">
      <c r="A611" s="2" t="n"/>
      <c r="B611" s="2" t="n"/>
      <c r="C611" s="2" t="n"/>
      <c r="D611" s="2" t="n"/>
    </row>
    <row r="612" ht="15.75" customHeight="1" s="82">
      <c r="A612" s="2" t="n"/>
      <c r="B612" s="2" t="n"/>
      <c r="C612" s="2" t="n"/>
      <c r="D612" s="2" t="n"/>
    </row>
    <row r="613" ht="15.75" customHeight="1" s="82">
      <c r="A613" s="2" t="n"/>
      <c r="B613" s="2" t="n"/>
      <c r="C613" s="2" t="n"/>
      <c r="D613" s="2" t="n"/>
    </row>
    <row r="614" ht="15.75" customHeight="1" s="82">
      <c r="A614" s="2" t="n"/>
      <c r="B614" s="2" t="n"/>
      <c r="C614" s="2" t="n"/>
      <c r="D614" s="2" t="n"/>
    </row>
    <row r="615" ht="15.75" customHeight="1" s="82">
      <c r="A615" s="2" t="n"/>
      <c r="B615" s="2" t="n"/>
      <c r="C615" s="2" t="n"/>
      <c r="D615" s="2" t="n"/>
    </row>
    <row r="616" ht="15.75" customHeight="1" s="82">
      <c r="A616" s="2" t="n"/>
      <c r="B616" s="2" t="n"/>
      <c r="C616" s="2" t="n"/>
      <c r="D616" s="2" t="n"/>
    </row>
    <row r="617" ht="15.75" customHeight="1" s="82">
      <c r="A617" s="2" t="n"/>
      <c r="B617" s="2" t="n"/>
      <c r="C617" s="2" t="n"/>
      <c r="D617" s="2" t="n"/>
    </row>
    <row r="618" ht="15.75" customHeight="1" s="82">
      <c r="A618" s="2" t="n"/>
      <c r="B618" s="2" t="n"/>
      <c r="C618" s="2" t="n"/>
      <c r="D618" s="2" t="n"/>
    </row>
    <row r="619" ht="15.75" customHeight="1" s="82">
      <c r="A619" s="2" t="n"/>
      <c r="B619" s="2" t="n"/>
      <c r="C619" s="2" t="n"/>
      <c r="D619" s="2" t="n"/>
    </row>
    <row r="620" ht="15.75" customHeight="1" s="82">
      <c r="A620" s="2" t="n"/>
      <c r="B620" s="2" t="n"/>
      <c r="C620" s="2" t="n"/>
      <c r="D620" s="2" t="n"/>
    </row>
    <row r="621" ht="15.75" customHeight="1" s="82">
      <c r="A621" s="2" t="n"/>
      <c r="B621" s="2" t="n"/>
      <c r="C621" s="2" t="n"/>
      <c r="D621" s="2" t="n"/>
    </row>
    <row r="622" ht="15.75" customHeight="1" s="82">
      <c r="A622" s="2" t="n"/>
      <c r="B622" s="2" t="n"/>
      <c r="C622" s="2" t="n"/>
      <c r="D622" s="2" t="n"/>
    </row>
    <row r="623" ht="15.75" customHeight="1" s="82">
      <c r="A623" s="2" t="n"/>
      <c r="B623" s="2" t="n"/>
      <c r="C623" s="2" t="n"/>
      <c r="D623" s="2" t="n"/>
    </row>
    <row r="624" ht="15.75" customHeight="1" s="82">
      <c r="A624" s="2" t="n"/>
      <c r="B624" s="2" t="n"/>
      <c r="C624" s="2" t="n"/>
      <c r="D624" s="2" t="n"/>
    </row>
    <row r="625" ht="15.75" customHeight="1" s="82">
      <c r="A625" s="2" t="n"/>
      <c r="B625" s="2" t="n"/>
      <c r="C625" s="2" t="n"/>
      <c r="D625" s="2" t="n"/>
    </row>
    <row r="626" ht="15.75" customHeight="1" s="82">
      <c r="A626" s="2" t="n"/>
      <c r="B626" s="2" t="n"/>
      <c r="C626" s="2" t="n"/>
      <c r="D626" s="2" t="n"/>
    </row>
    <row r="627" ht="15.75" customHeight="1" s="82">
      <c r="A627" s="2" t="n"/>
      <c r="B627" s="2" t="n"/>
      <c r="C627" s="2" t="n"/>
      <c r="D627" s="2" t="n"/>
    </row>
    <row r="628" ht="15.75" customHeight="1" s="82">
      <c r="A628" s="2" t="n"/>
      <c r="B628" s="2" t="n"/>
      <c r="C628" s="2" t="n"/>
      <c r="D628" s="2" t="n"/>
    </row>
    <row r="629" ht="15.75" customHeight="1" s="82">
      <c r="A629" s="2" t="n"/>
      <c r="B629" s="2" t="n"/>
      <c r="C629" s="2" t="n"/>
      <c r="D629" s="2" t="n"/>
    </row>
    <row r="630" ht="15.75" customHeight="1" s="82">
      <c r="A630" s="2" t="n"/>
      <c r="B630" s="2" t="n"/>
      <c r="C630" s="2" t="n"/>
      <c r="D630" s="2" t="n"/>
    </row>
    <row r="631" ht="15.75" customHeight="1" s="82">
      <c r="A631" s="2" t="n"/>
      <c r="B631" s="2" t="n"/>
      <c r="C631" s="2" t="n"/>
      <c r="D631" s="2" t="n"/>
    </row>
    <row r="632" ht="15.75" customHeight="1" s="82">
      <c r="A632" s="2" t="n"/>
      <c r="B632" s="2" t="n"/>
      <c r="C632" s="2" t="n"/>
      <c r="D632" s="2" t="n"/>
    </row>
    <row r="633" ht="15.75" customHeight="1" s="82">
      <c r="A633" s="2" t="n"/>
      <c r="B633" s="2" t="n"/>
      <c r="C633" s="2" t="n"/>
      <c r="D633" s="2" t="n"/>
    </row>
    <row r="634" ht="15.75" customHeight="1" s="82">
      <c r="A634" s="2" t="n"/>
      <c r="B634" s="2" t="n"/>
      <c r="C634" s="2" t="n"/>
      <c r="D634" s="2" t="n"/>
    </row>
    <row r="635" ht="15.75" customHeight="1" s="82">
      <c r="A635" s="2" t="n"/>
      <c r="B635" s="2" t="n"/>
      <c r="C635" s="2" t="n"/>
      <c r="D635" s="2" t="n"/>
    </row>
    <row r="636" ht="15.75" customHeight="1" s="82">
      <c r="A636" s="2" t="n"/>
      <c r="B636" s="2" t="n"/>
      <c r="C636" s="2" t="n"/>
      <c r="D636" s="2" t="n"/>
    </row>
    <row r="637" ht="15.75" customHeight="1" s="82">
      <c r="A637" s="2" t="n"/>
      <c r="B637" s="2" t="n"/>
      <c r="C637" s="2" t="n"/>
      <c r="D637" s="2" t="n"/>
    </row>
    <row r="638" ht="15.75" customHeight="1" s="82">
      <c r="A638" s="2" t="n"/>
      <c r="B638" s="2" t="n"/>
      <c r="C638" s="2" t="n"/>
      <c r="D638" s="2" t="n"/>
    </row>
    <row r="639" ht="15.75" customHeight="1" s="82">
      <c r="A639" s="2" t="n"/>
      <c r="B639" s="2" t="n"/>
      <c r="C639" s="2" t="n"/>
      <c r="D639" s="2" t="n"/>
    </row>
    <row r="640" ht="15.75" customHeight="1" s="82">
      <c r="A640" s="2" t="n"/>
      <c r="B640" s="2" t="n"/>
      <c r="C640" s="2" t="n"/>
      <c r="D640" s="2" t="n"/>
    </row>
    <row r="641" ht="15.75" customHeight="1" s="82">
      <c r="A641" s="2" t="n"/>
      <c r="B641" s="2" t="n"/>
      <c r="C641" s="2" t="n"/>
      <c r="D641" s="2" t="n"/>
    </row>
    <row r="642" ht="15.75" customHeight="1" s="82">
      <c r="A642" s="2" t="n"/>
      <c r="B642" s="2" t="n"/>
      <c r="C642" s="2" t="n"/>
      <c r="D642" s="2" t="n"/>
    </row>
    <row r="643" ht="15.75" customHeight="1" s="82">
      <c r="A643" s="2" t="n"/>
      <c r="B643" s="2" t="n"/>
      <c r="C643" s="2" t="n"/>
      <c r="D643" s="2" t="n"/>
    </row>
    <row r="644" ht="15.75" customHeight="1" s="82">
      <c r="A644" s="2" t="n"/>
      <c r="B644" s="2" t="n"/>
      <c r="C644" s="2" t="n"/>
      <c r="D644" s="2" t="n"/>
    </row>
    <row r="645" ht="15.75" customHeight="1" s="82">
      <c r="A645" s="2" t="n"/>
      <c r="B645" s="2" t="n"/>
      <c r="C645" s="2" t="n"/>
      <c r="D645" s="2" t="n"/>
    </row>
    <row r="646" ht="15.75" customHeight="1" s="82">
      <c r="A646" s="2" t="n"/>
      <c r="B646" s="2" t="n"/>
      <c r="C646" s="2" t="n"/>
      <c r="D646" s="2" t="n"/>
    </row>
    <row r="647" ht="15.75" customHeight="1" s="82">
      <c r="A647" s="2" t="n"/>
      <c r="B647" s="2" t="n"/>
      <c r="C647" s="2" t="n"/>
      <c r="D647" s="2" t="n"/>
    </row>
    <row r="648" ht="15.75" customHeight="1" s="82">
      <c r="A648" s="2" t="n"/>
      <c r="B648" s="2" t="n"/>
      <c r="C648" s="2" t="n"/>
      <c r="D648" s="2" t="n"/>
    </row>
    <row r="649" ht="15.75" customHeight="1" s="82">
      <c r="A649" s="2" t="n"/>
      <c r="B649" s="2" t="n"/>
      <c r="C649" s="2" t="n"/>
      <c r="D649" s="2" t="n"/>
    </row>
    <row r="650" ht="15.75" customHeight="1" s="82">
      <c r="A650" s="2" t="n"/>
      <c r="B650" s="2" t="n"/>
      <c r="C650" s="2" t="n"/>
      <c r="D650" s="2" t="n"/>
    </row>
    <row r="651" ht="15.75" customHeight="1" s="82">
      <c r="A651" s="2" t="n"/>
      <c r="B651" s="2" t="n"/>
      <c r="C651" s="2" t="n"/>
      <c r="D651" s="2" t="n"/>
    </row>
    <row r="652" ht="15.75" customHeight="1" s="82">
      <c r="A652" s="2" t="n"/>
      <c r="B652" s="2" t="n"/>
      <c r="C652" s="2" t="n"/>
      <c r="D652" s="2" t="n"/>
    </row>
    <row r="653" ht="15.75" customHeight="1" s="82">
      <c r="A653" s="2" t="n"/>
      <c r="B653" s="2" t="n"/>
      <c r="C653" s="2" t="n"/>
      <c r="D653" s="2" t="n"/>
    </row>
    <row r="654" ht="15.75" customHeight="1" s="82">
      <c r="A654" s="2" t="n"/>
      <c r="B654" s="2" t="n"/>
      <c r="C654" s="2" t="n"/>
      <c r="D654" s="2" t="n"/>
    </row>
    <row r="655" ht="15.75" customHeight="1" s="82">
      <c r="A655" s="2" t="n"/>
      <c r="B655" s="2" t="n"/>
      <c r="C655" s="2" t="n"/>
      <c r="D655" s="2" t="n"/>
    </row>
    <row r="656" ht="15.75" customHeight="1" s="82">
      <c r="A656" s="2" t="n"/>
      <c r="B656" s="2" t="n"/>
      <c r="C656" s="2" t="n"/>
      <c r="D656" s="2" t="n"/>
    </row>
    <row r="657" ht="15.75" customHeight="1" s="82">
      <c r="A657" s="2" t="n"/>
      <c r="B657" s="2" t="n"/>
      <c r="C657" s="2" t="n"/>
      <c r="D657" s="2" t="n"/>
    </row>
    <row r="658" ht="15.75" customHeight="1" s="82">
      <c r="A658" s="2" t="n"/>
      <c r="B658" s="2" t="n"/>
      <c r="C658" s="2" t="n"/>
      <c r="D658" s="2" t="n"/>
    </row>
    <row r="659" ht="15.75" customHeight="1" s="82">
      <c r="A659" s="2" t="n"/>
      <c r="B659" s="2" t="n"/>
      <c r="C659" s="2" t="n"/>
      <c r="D659" s="2" t="n"/>
    </row>
    <row r="660" ht="15.75" customHeight="1" s="82">
      <c r="A660" s="2" t="n"/>
      <c r="B660" s="2" t="n"/>
      <c r="C660" s="2" t="n"/>
      <c r="D660" s="2" t="n"/>
    </row>
    <row r="661" ht="15.75" customHeight="1" s="82">
      <c r="A661" s="2" t="n"/>
      <c r="B661" s="2" t="n"/>
      <c r="C661" s="2" t="n"/>
      <c r="D661" s="2" t="n"/>
    </row>
    <row r="662" ht="15.75" customHeight="1" s="82">
      <c r="A662" s="2" t="n"/>
      <c r="B662" s="2" t="n"/>
      <c r="C662" s="2" t="n"/>
      <c r="D662" s="2" t="n"/>
    </row>
    <row r="663" ht="15.75" customHeight="1" s="82">
      <c r="A663" s="2" t="n"/>
      <c r="B663" s="2" t="n"/>
      <c r="C663" s="2" t="n"/>
      <c r="D663" s="2" t="n"/>
    </row>
    <row r="664" ht="15.75" customHeight="1" s="82">
      <c r="A664" s="2" t="n"/>
      <c r="B664" s="2" t="n"/>
      <c r="C664" s="2" t="n"/>
      <c r="D664" s="2" t="n"/>
    </row>
    <row r="665" ht="15.75" customHeight="1" s="82">
      <c r="A665" s="2" t="n"/>
      <c r="B665" s="2" t="n"/>
      <c r="C665" s="2" t="n"/>
      <c r="D665" s="2" t="n"/>
    </row>
    <row r="666" ht="15.75" customHeight="1" s="82">
      <c r="A666" s="2" t="n"/>
      <c r="B666" s="2" t="n"/>
      <c r="C666" s="2" t="n"/>
      <c r="D666" s="2" t="n"/>
    </row>
    <row r="667" ht="15.75" customHeight="1" s="82">
      <c r="A667" s="2" t="n"/>
      <c r="B667" s="2" t="n"/>
      <c r="C667" s="2" t="n"/>
      <c r="D667" s="2" t="n"/>
    </row>
    <row r="668" ht="15.75" customHeight="1" s="82">
      <c r="A668" s="2" t="n"/>
      <c r="B668" s="2" t="n"/>
      <c r="C668" s="2" t="n"/>
      <c r="D668" s="2" t="n"/>
    </row>
    <row r="669" ht="15.75" customHeight="1" s="82">
      <c r="A669" s="2" t="n"/>
      <c r="B669" s="2" t="n"/>
      <c r="C669" s="2" t="n"/>
      <c r="D669" s="2" t="n"/>
    </row>
    <row r="670" ht="15.75" customHeight="1" s="82">
      <c r="A670" s="2" t="n"/>
      <c r="B670" s="2" t="n"/>
      <c r="C670" s="2" t="n"/>
      <c r="D670" s="2" t="n"/>
    </row>
    <row r="671" ht="15.75" customHeight="1" s="82">
      <c r="A671" s="2" t="n"/>
      <c r="B671" s="2" t="n"/>
      <c r="C671" s="2" t="n"/>
      <c r="D671" s="2" t="n"/>
    </row>
    <row r="672" ht="15.75" customHeight="1" s="82">
      <c r="A672" s="2" t="n"/>
      <c r="B672" s="2" t="n"/>
      <c r="C672" s="2" t="n"/>
      <c r="D672" s="2" t="n"/>
    </row>
    <row r="673" ht="15.75" customHeight="1" s="82">
      <c r="A673" s="2" t="n"/>
      <c r="B673" s="2" t="n"/>
      <c r="C673" s="2" t="n"/>
      <c r="D673" s="2" t="n"/>
    </row>
    <row r="674" ht="15.75" customHeight="1" s="82">
      <c r="A674" s="2" t="n"/>
      <c r="B674" s="2" t="n"/>
      <c r="C674" s="2" t="n"/>
      <c r="D674" s="2" t="n"/>
    </row>
    <row r="675" ht="15.75" customHeight="1" s="82">
      <c r="A675" s="2" t="n"/>
      <c r="B675" s="2" t="n"/>
      <c r="C675" s="2" t="n"/>
      <c r="D675" s="2" t="n"/>
    </row>
    <row r="676" ht="15.75" customHeight="1" s="82">
      <c r="A676" s="2" t="n"/>
      <c r="B676" s="2" t="n"/>
      <c r="C676" s="2" t="n"/>
      <c r="D676" s="2" t="n"/>
    </row>
    <row r="677" ht="15.75" customHeight="1" s="82">
      <c r="A677" s="2" t="n"/>
      <c r="B677" s="2" t="n"/>
      <c r="C677" s="2" t="n"/>
      <c r="D677" s="2" t="n"/>
    </row>
    <row r="678" ht="15.75" customHeight="1" s="82">
      <c r="A678" s="2" t="n"/>
      <c r="B678" s="2" t="n"/>
      <c r="C678" s="2" t="n"/>
      <c r="D678" s="2" t="n"/>
    </row>
    <row r="679" ht="15.75" customHeight="1" s="82">
      <c r="A679" s="2" t="n"/>
      <c r="B679" s="2" t="n"/>
      <c r="C679" s="2" t="n"/>
      <c r="D679" s="2" t="n"/>
    </row>
    <row r="680" ht="15.75" customHeight="1" s="82">
      <c r="A680" s="2" t="n"/>
      <c r="B680" s="2" t="n"/>
      <c r="C680" s="2" t="n"/>
      <c r="D680" s="2" t="n"/>
    </row>
    <row r="681" ht="15.75" customHeight="1" s="82">
      <c r="A681" s="2" t="n"/>
      <c r="B681" s="2" t="n"/>
      <c r="C681" s="2" t="n"/>
      <c r="D681" s="2" t="n"/>
    </row>
    <row r="682" ht="15.75" customHeight="1" s="82">
      <c r="A682" s="2" t="n"/>
      <c r="B682" s="2" t="n"/>
      <c r="C682" s="2" t="n"/>
      <c r="D682" s="2" t="n"/>
    </row>
    <row r="683" ht="15.75" customHeight="1" s="82">
      <c r="A683" s="2" t="n"/>
      <c r="B683" s="2" t="n"/>
      <c r="C683" s="2" t="n"/>
      <c r="D683" s="2" t="n"/>
    </row>
    <row r="684" ht="15.75" customHeight="1" s="82">
      <c r="A684" s="2" t="n"/>
      <c r="B684" s="2" t="n"/>
      <c r="C684" s="2" t="n"/>
      <c r="D684" s="2" t="n"/>
    </row>
    <row r="685" ht="15.75" customHeight="1" s="82">
      <c r="A685" s="2" t="n"/>
      <c r="B685" s="2" t="n"/>
      <c r="C685" s="2" t="n"/>
      <c r="D685" s="2" t="n"/>
    </row>
    <row r="686" ht="15.75" customHeight="1" s="82">
      <c r="A686" s="2" t="n"/>
      <c r="B686" s="2" t="n"/>
      <c r="C686" s="2" t="n"/>
      <c r="D686" s="2" t="n"/>
    </row>
    <row r="687" ht="15.75" customHeight="1" s="82">
      <c r="A687" s="2" t="n"/>
      <c r="B687" s="2" t="n"/>
      <c r="C687" s="2" t="n"/>
      <c r="D687" s="2" t="n"/>
    </row>
    <row r="688" ht="15.75" customHeight="1" s="82">
      <c r="A688" s="2" t="n"/>
      <c r="B688" s="2" t="n"/>
      <c r="C688" s="2" t="n"/>
      <c r="D688" s="2" t="n"/>
    </row>
    <row r="689" ht="15.75" customHeight="1" s="82">
      <c r="A689" s="2" t="n"/>
      <c r="B689" s="2" t="n"/>
      <c r="C689" s="2" t="n"/>
      <c r="D689" s="2" t="n"/>
    </row>
    <row r="690" ht="15.75" customHeight="1" s="82">
      <c r="A690" s="2" t="n"/>
      <c r="B690" s="2" t="n"/>
      <c r="C690" s="2" t="n"/>
      <c r="D690" s="2" t="n"/>
    </row>
    <row r="691" ht="15.75" customHeight="1" s="82">
      <c r="A691" s="2" t="n"/>
      <c r="B691" s="2" t="n"/>
      <c r="C691" s="2" t="n"/>
      <c r="D691" s="2" t="n"/>
    </row>
    <row r="692" ht="15.75" customHeight="1" s="82">
      <c r="A692" s="2" t="n"/>
      <c r="B692" s="2" t="n"/>
      <c r="C692" s="2" t="n"/>
      <c r="D692" s="2" t="n"/>
    </row>
    <row r="693" ht="15.75" customHeight="1" s="82">
      <c r="A693" s="2" t="n"/>
      <c r="B693" s="2" t="n"/>
      <c r="C693" s="2" t="n"/>
      <c r="D693" s="2" t="n"/>
    </row>
    <row r="694" ht="15.75" customHeight="1" s="82">
      <c r="A694" s="2" t="n"/>
      <c r="B694" s="2" t="n"/>
      <c r="C694" s="2" t="n"/>
      <c r="D694" s="2" t="n"/>
    </row>
    <row r="695" ht="15.75" customHeight="1" s="82">
      <c r="A695" s="2" t="n"/>
      <c r="B695" s="2" t="n"/>
      <c r="C695" s="2" t="n"/>
      <c r="D695" s="2" t="n"/>
    </row>
    <row r="696" ht="15.75" customHeight="1" s="82">
      <c r="A696" s="2" t="n"/>
      <c r="B696" s="2" t="n"/>
      <c r="C696" s="2" t="n"/>
      <c r="D696" s="2" t="n"/>
    </row>
    <row r="697" ht="15.75" customHeight="1" s="82">
      <c r="A697" s="2" t="n"/>
      <c r="B697" s="2" t="n"/>
      <c r="C697" s="2" t="n"/>
      <c r="D697" s="2" t="n"/>
    </row>
    <row r="698" ht="15.75" customHeight="1" s="82">
      <c r="A698" s="2" t="n"/>
      <c r="B698" s="2" t="n"/>
      <c r="C698" s="2" t="n"/>
      <c r="D698" s="2" t="n"/>
    </row>
    <row r="699" ht="15.75" customHeight="1" s="82">
      <c r="A699" s="2" t="n"/>
      <c r="B699" s="2" t="n"/>
      <c r="C699" s="2" t="n"/>
      <c r="D699" s="2" t="n"/>
    </row>
    <row r="700" ht="15.75" customHeight="1" s="82">
      <c r="A700" s="2" t="n"/>
      <c r="B700" s="2" t="n"/>
      <c r="C700" s="2" t="n"/>
      <c r="D700" s="2" t="n"/>
    </row>
    <row r="701" ht="15.75" customHeight="1" s="82">
      <c r="A701" s="2" t="n"/>
      <c r="B701" s="2" t="n"/>
      <c r="C701" s="2" t="n"/>
      <c r="D701" s="2" t="n"/>
    </row>
    <row r="702" ht="15.75" customHeight="1" s="82">
      <c r="A702" s="2" t="n"/>
      <c r="B702" s="2" t="n"/>
      <c r="C702" s="2" t="n"/>
      <c r="D702" s="2" t="n"/>
    </row>
    <row r="703" ht="15.75" customHeight="1" s="82">
      <c r="A703" s="2" t="n"/>
      <c r="B703" s="2" t="n"/>
      <c r="C703" s="2" t="n"/>
      <c r="D703" s="2" t="n"/>
    </row>
    <row r="704" ht="15.75" customHeight="1" s="82">
      <c r="A704" s="2" t="n"/>
      <c r="B704" s="2" t="n"/>
      <c r="C704" s="2" t="n"/>
      <c r="D704" s="2" t="n"/>
    </row>
    <row r="705" ht="15.75" customHeight="1" s="82">
      <c r="A705" s="2" t="n"/>
      <c r="B705" s="2" t="n"/>
      <c r="C705" s="2" t="n"/>
      <c r="D705" s="2" t="n"/>
    </row>
    <row r="706" ht="15.75" customHeight="1" s="82">
      <c r="A706" s="2" t="n"/>
      <c r="B706" s="2" t="n"/>
      <c r="C706" s="2" t="n"/>
      <c r="D706" s="2" t="n"/>
    </row>
    <row r="707" ht="15.75" customHeight="1" s="82">
      <c r="A707" s="2" t="n"/>
      <c r="B707" s="2" t="n"/>
      <c r="C707" s="2" t="n"/>
      <c r="D707" s="2" t="n"/>
    </row>
    <row r="708" ht="15.75" customHeight="1" s="82">
      <c r="A708" s="2" t="n"/>
      <c r="B708" s="2" t="n"/>
      <c r="C708" s="2" t="n"/>
      <c r="D708" s="2" t="n"/>
    </row>
    <row r="709" ht="15.75" customHeight="1" s="82">
      <c r="A709" s="2" t="n"/>
      <c r="B709" s="2" t="n"/>
      <c r="C709" s="2" t="n"/>
      <c r="D709" s="2" t="n"/>
    </row>
    <row r="710" ht="15.75" customHeight="1" s="82">
      <c r="A710" s="2" t="n"/>
      <c r="B710" s="2" t="n"/>
      <c r="C710" s="2" t="n"/>
      <c r="D710" s="2" t="n"/>
    </row>
    <row r="711" ht="15.75" customHeight="1" s="82">
      <c r="A711" s="2" t="n"/>
      <c r="B711" s="2" t="n"/>
      <c r="C711" s="2" t="n"/>
      <c r="D711" s="2" t="n"/>
    </row>
    <row r="712" ht="15.75" customHeight="1" s="82">
      <c r="A712" s="2" t="n"/>
      <c r="B712" s="2" t="n"/>
      <c r="C712" s="2" t="n"/>
      <c r="D712" s="2" t="n"/>
    </row>
    <row r="713" ht="15.75" customHeight="1" s="82">
      <c r="A713" s="2" t="n"/>
      <c r="B713" s="2" t="n"/>
      <c r="C713" s="2" t="n"/>
      <c r="D713" s="2" t="n"/>
    </row>
    <row r="714" ht="15.75" customHeight="1" s="82">
      <c r="A714" s="2" t="n"/>
      <c r="B714" s="2" t="n"/>
      <c r="C714" s="2" t="n"/>
      <c r="D714" s="2" t="n"/>
    </row>
    <row r="715" ht="15.75" customHeight="1" s="82">
      <c r="A715" s="2" t="n"/>
      <c r="B715" s="2" t="n"/>
      <c r="C715" s="2" t="n"/>
      <c r="D715" s="2" t="n"/>
    </row>
    <row r="716" ht="15.75" customHeight="1" s="82">
      <c r="A716" s="2" t="n"/>
      <c r="B716" s="2" t="n"/>
      <c r="C716" s="2" t="n"/>
      <c r="D716" s="2" t="n"/>
    </row>
    <row r="717" ht="15.75" customHeight="1" s="82">
      <c r="A717" s="2" t="n"/>
      <c r="B717" s="2" t="n"/>
      <c r="C717" s="2" t="n"/>
      <c r="D717" s="2" t="n"/>
    </row>
    <row r="718" ht="15.75" customHeight="1" s="82">
      <c r="A718" s="2" t="n"/>
      <c r="B718" s="2" t="n"/>
      <c r="C718" s="2" t="n"/>
      <c r="D718" s="2" t="n"/>
    </row>
    <row r="719" ht="15.75" customHeight="1" s="82">
      <c r="A719" s="2" t="n"/>
      <c r="B719" s="2" t="n"/>
      <c r="C719" s="2" t="n"/>
      <c r="D719" s="2" t="n"/>
    </row>
    <row r="720" ht="15.75" customHeight="1" s="82">
      <c r="A720" s="2" t="n"/>
      <c r="B720" s="2" t="n"/>
      <c r="C720" s="2" t="n"/>
      <c r="D720" s="2" t="n"/>
    </row>
    <row r="721" ht="15.75" customHeight="1" s="82">
      <c r="A721" s="2" t="n"/>
      <c r="B721" s="2" t="n"/>
      <c r="C721" s="2" t="n"/>
      <c r="D721" s="2" t="n"/>
    </row>
    <row r="722" ht="15.75" customHeight="1" s="82">
      <c r="A722" s="2" t="n"/>
      <c r="B722" s="2" t="n"/>
      <c r="C722" s="2" t="n"/>
      <c r="D722" s="2" t="n"/>
    </row>
    <row r="723" ht="15.75" customHeight="1" s="82">
      <c r="A723" s="2" t="n"/>
      <c r="B723" s="2" t="n"/>
      <c r="C723" s="2" t="n"/>
      <c r="D723" s="2" t="n"/>
    </row>
    <row r="724" ht="15.75" customHeight="1" s="82">
      <c r="A724" s="2" t="n"/>
      <c r="B724" s="2" t="n"/>
      <c r="C724" s="2" t="n"/>
      <c r="D724" s="2" t="n"/>
    </row>
    <row r="725" ht="15.75" customHeight="1" s="82">
      <c r="A725" s="2" t="n"/>
      <c r="B725" s="2" t="n"/>
      <c r="C725" s="2" t="n"/>
      <c r="D725" s="2" t="n"/>
    </row>
    <row r="726" ht="15.75" customHeight="1" s="82">
      <c r="A726" s="2" t="n"/>
      <c r="B726" s="2" t="n"/>
      <c r="C726" s="2" t="n"/>
      <c r="D726" s="2" t="n"/>
    </row>
    <row r="727" ht="15.75" customHeight="1" s="82">
      <c r="A727" s="2" t="n"/>
      <c r="B727" s="2" t="n"/>
      <c r="C727" s="2" t="n"/>
      <c r="D727" s="2" t="n"/>
    </row>
    <row r="728" ht="15.75" customHeight="1" s="82">
      <c r="A728" s="2" t="n"/>
      <c r="B728" s="2" t="n"/>
      <c r="C728" s="2" t="n"/>
      <c r="D728" s="2" t="n"/>
    </row>
    <row r="729" ht="15.75" customHeight="1" s="82">
      <c r="A729" s="2" t="n"/>
      <c r="B729" s="2" t="n"/>
      <c r="C729" s="2" t="n"/>
      <c r="D729" s="2" t="n"/>
    </row>
    <row r="730" ht="15.75" customHeight="1" s="82">
      <c r="A730" s="2" t="n"/>
      <c r="B730" s="2" t="n"/>
      <c r="C730" s="2" t="n"/>
      <c r="D730" s="2" t="n"/>
    </row>
    <row r="731" ht="15.75" customHeight="1" s="82">
      <c r="A731" s="2" t="n"/>
      <c r="B731" s="2" t="n"/>
      <c r="C731" s="2" t="n"/>
      <c r="D731" s="2" t="n"/>
    </row>
    <row r="732" ht="15.75" customHeight="1" s="82">
      <c r="A732" s="2" t="n"/>
      <c r="B732" s="2" t="n"/>
      <c r="C732" s="2" t="n"/>
      <c r="D732" s="2" t="n"/>
    </row>
    <row r="733" ht="15.75" customHeight="1" s="82">
      <c r="A733" s="2" t="n"/>
      <c r="B733" s="2" t="n"/>
      <c r="C733" s="2" t="n"/>
      <c r="D733" s="2" t="n"/>
    </row>
    <row r="734" ht="15.75" customHeight="1" s="82">
      <c r="A734" s="2" t="n"/>
      <c r="B734" s="2" t="n"/>
      <c r="C734" s="2" t="n"/>
      <c r="D734" s="2" t="n"/>
    </row>
    <row r="735" ht="15.75" customHeight="1" s="82">
      <c r="A735" s="2" t="n"/>
      <c r="B735" s="2" t="n"/>
      <c r="C735" s="2" t="n"/>
      <c r="D735" s="2" t="n"/>
    </row>
    <row r="736" ht="15.75" customHeight="1" s="82">
      <c r="A736" s="2" t="n"/>
      <c r="B736" s="2" t="n"/>
      <c r="C736" s="2" t="n"/>
      <c r="D736" s="2" t="n"/>
    </row>
    <row r="737" ht="15.75" customHeight="1" s="82">
      <c r="A737" s="2" t="n"/>
      <c r="B737" s="2" t="n"/>
      <c r="C737" s="2" t="n"/>
      <c r="D737" s="2" t="n"/>
    </row>
    <row r="738" ht="15.75" customHeight="1" s="82">
      <c r="A738" s="2" t="n"/>
      <c r="B738" s="2" t="n"/>
      <c r="C738" s="2" t="n"/>
      <c r="D738" s="2" t="n"/>
    </row>
    <row r="739" ht="15.75" customHeight="1" s="82">
      <c r="A739" s="2" t="n"/>
      <c r="B739" s="2" t="n"/>
      <c r="C739" s="2" t="n"/>
      <c r="D739" s="2" t="n"/>
    </row>
    <row r="740" ht="15.75" customHeight="1" s="82">
      <c r="A740" s="2" t="n"/>
      <c r="B740" s="2" t="n"/>
      <c r="C740" s="2" t="n"/>
      <c r="D740" s="2" t="n"/>
    </row>
    <row r="741" ht="15.75" customHeight="1" s="82">
      <c r="A741" s="2" t="n"/>
      <c r="B741" s="2" t="n"/>
      <c r="C741" s="2" t="n"/>
      <c r="D741" s="2" t="n"/>
    </row>
    <row r="742" ht="15.75" customHeight="1" s="82">
      <c r="A742" s="2" t="n"/>
      <c r="B742" s="2" t="n"/>
      <c r="C742" s="2" t="n"/>
      <c r="D742" s="2" t="n"/>
    </row>
    <row r="743" ht="15.75" customHeight="1" s="82">
      <c r="A743" s="2" t="n"/>
      <c r="B743" s="2" t="n"/>
      <c r="C743" s="2" t="n"/>
      <c r="D743" s="2" t="n"/>
    </row>
    <row r="744" ht="15.75" customHeight="1" s="82">
      <c r="A744" s="2" t="n"/>
      <c r="B744" s="2" t="n"/>
      <c r="C744" s="2" t="n"/>
      <c r="D744" s="2" t="n"/>
    </row>
    <row r="745" ht="15.75" customHeight="1" s="82">
      <c r="A745" s="2" t="n"/>
      <c r="B745" s="2" t="n"/>
      <c r="C745" s="2" t="n"/>
      <c r="D745" s="2" t="n"/>
    </row>
    <row r="746" ht="15.75" customHeight="1" s="82">
      <c r="A746" s="2" t="n"/>
      <c r="B746" s="2" t="n"/>
      <c r="C746" s="2" t="n"/>
      <c r="D746" s="2" t="n"/>
    </row>
    <row r="747" ht="15.75" customHeight="1" s="82">
      <c r="A747" s="2" t="n"/>
      <c r="B747" s="2" t="n"/>
      <c r="C747" s="2" t="n"/>
      <c r="D747" s="2" t="n"/>
    </row>
    <row r="748" ht="15.75" customHeight="1" s="82">
      <c r="A748" s="2" t="n"/>
      <c r="B748" s="2" t="n"/>
      <c r="C748" s="2" t="n"/>
      <c r="D748" s="2" t="n"/>
    </row>
    <row r="749" ht="15.75" customHeight="1" s="82">
      <c r="A749" s="2" t="n"/>
      <c r="B749" s="2" t="n"/>
      <c r="C749" s="2" t="n"/>
      <c r="D749" s="2" t="n"/>
    </row>
    <row r="750" ht="15.75" customHeight="1" s="82">
      <c r="A750" s="2" t="n"/>
      <c r="B750" s="2" t="n"/>
      <c r="C750" s="2" t="n"/>
      <c r="D750" s="2" t="n"/>
    </row>
    <row r="751" ht="15.75" customHeight="1" s="82">
      <c r="A751" s="2" t="n"/>
      <c r="B751" s="2" t="n"/>
      <c r="C751" s="2" t="n"/>
      <c r="D751" s="2" t="n"/>
    </row>
    <row r="752" ht="15.75" customHeight="1" s="82">
      <c r="A752" s="2" t="n"/>
      <c r="B752" s="2" t="n"/>
      <c r="C752" s="2" t="n"/>
      <c r="D752" s="2" t="n"/>
    </row>
    <row r="753" ht="15.75" customHeight="1" s="82">
      <c r="A753" s="2" t="n"/>
      <c r="B753" s="2" t="n"/>
      <c r="C753" s="2" t="n"/>
      <c r="D753" s="2" t="n"/>
    </row>
    <row r="754" ht="15.75" customHeight="1" s="82">
      <c r="A754" s="2" t="n"/>
      <c r="B754" s="2" t="n"/>
      <c r="C754" s="2" t="n"/>
      <c r="D754" s="2" t="n"/>
    </row>
    <row r="755" ht="15.75" customHeight="1" s="82">
      <c r="A755" s="2" t="n"/>
      <c r="B755" s="2" t="n"/>
      <c r="C755" s="2" t="n"/>
      <c r="D755" s="2" t="n"/>
    </row>
    <row r="756" ht="15.75" customHeight="1" s="82">
      <c r="A756" s="2" t="n"/>
      <c r="B756" s="2" t="n"/>
      <c r="C756" s="2" t="n"/>
      <c r="D756" s="2" t="n"/>
    </row>
    <row r="757" ht="15.75" customHeight="1" s="82">
      <c r="A757" s="2" t="n"/>
      <c r="B757" s="2" t="n"/>
      <c r="C757" s="2" t="n"/>
      <c r="D757" s="2" t="n"/>
    </row>
    <row r="758" ht="15.75" customHeight="1" s="82">
      <c r="A758" s="2" t="n"/>
      <c r="B758" s="2" t="n"/>
      <c r="C758" s="2" t="n"/>
      <c r="D758" s="2" t="n"/>
    </row>
    <row r="759" ht="15.75" customHeight="1" s="82">
      <c r="A759" s="2" t="n"/>
      <c r="B759" s="2" t="n"/>
      <c r="C759" s="2" t="n"/>
      <c r="D759" s="2" t="n"/>
    </row>
    <row r="760" ht="15.75" customHeight="1" s="82">
      <c r="A760" s="2" t="n"/>
      <c r="B760" s="2" t="n"/>
      <c r="C760" s="2" t="n"/>
      <c r="D760" s="2" t="n"/>
    </row>
    <row r="761" ht="15.75" customHeight="1" s="82">
      <c r="A761" s="2" t="n"/>
      <c r="B761" s="2" t="n"/>
      <c r="C761" s="2" t="n"/>
      <c r="D761" s="2" t="n"/>
    </row>
    <row r="762" ht="15.75" customHeight="1" s="82">
      <c r="A762" s="2" t="n"/>
      <c r="B762" s="2" t="n"/>
      <c r="C762" s="2" t="n"/>
      <c r="D762" s="2" t="n"/>
    </row>
    <row r="763" ht="15.75" customHeight="1" s="82">
      <c r="A763" s="2" t="n"/>
      <c r="B763" s="2" t="n"/>
      <c r="C763" s="2" t="n"/>
      <c r="D763" s="2" t="n"/>
    </row>
    <row r="764" ht="15.75" customHeight="1" s="82">
      <c r="A764" s="2" t="n"/>
      <c r="B764" s="2" t="n"/>
      <c r="C764" s="2" t="n"/>
      <c r="D764" s="2" t="n"/>
    </row>
    <row r="765" ht="15.75" customHeight="1" s="82">
      <c r="A765" s="2" t="n"/>
      <c r="B765" s="2" t="n"/>
      <c r="C765" s="2" t="n"/>
      <c r="D765" s="2" t="n"/>
    </row>
    <row r="766" ht="15.75" customHeight="1" s="82">
      <c r="A766" s="2" t="n"/>
      <c r="B766" s="2" t="n"/>
      <c r="C766" s="2" t="n"/>
      <c r="D766" s="2" t="n"/>
    </row>
    <row r="767" ht="15.75" customHeight="1" s="82">
      <c r="A767" s="2" t="n"/>
      <c r="B767" s="2" t="n"/>
      <c r="C767" s="2" t="n"/>
      <c r="D767" s="2" t="n"/>
    </row>
    <row r="768" ht="15.75" customHeight="1" s="82">
      <c r="A768" s="2" t="n"/>
      <c r="B768" s="2" t="n"/>
      <c r="C768" s="2" t="n"/>
      <c r="D768" s="2" t="n"/>
    </row>
    <row r="769" ht="15.75" customHeight="1" s="82">
      <c r="A769" s="2" t="n"/>
      <c r="B769" s="2" t="n"/>
      <c r="C769" s="2" t="n"/>
      <c r="D769" s="2" t="n"/>
    </row>
    <row r="770" ht="15.75" customHeight="1" s="82">
      <c r="A770" s="2" t="n"/>
      <c r="B770" s="2" t="n"/>
      <c r="C770" s="2" t="n"/>
      <c r="D770" s="2" t="n"/>
    </row>
    <row r="771" ht="15.75" customHeight="1" s="82">
      <c r="A771" s="2" t="n"/>
      <c r="B771" s="2" t="n"/>
      <c r="C771" s="2" t="n"/>
      <c r="D771" s="2" t="n"/>
    </row>
    <row r="772" ht="15.75" customHeight="1" s="82">
      <c r="A772" s="2" t="n"/>
      <c r="B772" s="2" t="n"/>
      <c r="C772" s="2" t="n"/>
      <c r="D772" s="2" t="n"/>
    </row>
    <row r="773" ht="15.75" customHeight="1" s="82">
      <c r="A773" s="2" t="n"/>
      <c r="B773" s="2" t="n"/>
      <c r="C773" s="2" t="n"/>
      <c r="D773" s="2" t="n"/>
    </row>
    <row r="774" ht="15.75" customHeight="1" s="82">
      <c r="A774" s="2" t="n"/>
      <c r="B774" s="2" t="n"/>
      <c r="C774" s="2" t="n"/>
      <c r="D774" s="2" t="n"/>
    </row>
    <row r="775" ht="15.75" customHeight="1" s="82">
      <c r="A775" s="2" t="n"/>
      <c r="B775" s="2" t="n"/>
      <c r="C775" s="2" t="n"/>
      <c r="D775" s="2" t="n"/>
    </row>
    <row r="776" ht="15.75" customHeight="1" s="82">
      <c r="A776" s="2" t="n"/>
      <c r="B776" s="2" t="n"/>
      <c r="C776" s="2" t="n"/>
      <c r="D776" s="2" t="n"/>
    </row>
    <row r="777" ht="15.75" customHeight="1" s="82">
      <c r="A777" s="2" t="n"/>
      <c r="B777" s="2" t="n"/>
      <c r="C777" s="2" t="n"/>
      <c r="D777" s="2" t="n"/>
    </row>
    <row r="778" ht="15.75" customHeight="1" s="82">
      <c r="A778" s="2" t="n"/>
      <c r="B778" s="2" t="n"/>
      <c r="C778" s="2" t="n"/>
      <c r="D778" s="2" t="n"/>
    </row>
    <row r="779" ht="15.75" customHeight="1" s="82">
      <c r="A779" s="2" t="n"/>
      <c r="B779" s="2" t="n"/>
      <c r="C779" s="2" t="n"/>
      <c r="D779" s="2" t="n"/>
    </row>
    <row r="780" ht="15.75" customHeight="1" s="82">
      <c r="A780" s="2" t="n"/>
      <c r="B780" s="2" t="n"/>
      <c r="C780" s="2" t="n"/>
      <c r="D780" s="2" t="n"/>
    </row>
    <row r="781" ht="15.75" customHeight="1" s="82">
      <c r="A781" s="2" t="n"/>
      <c r="B781" s="2" t="n"/>
      <c r="C781" s="2" t="n"/>
      <c r="D781" s="2" t="n"/>
    </row>
    <row r="782" ht="15.75" customHeight="1" s="82">
      <c r="A782" s="2" t="n"/>
      <c r="B782" s="2" t="n"/>
      <c r="C782" s="2" t="n"/>
      <c r="D782" s="2" t="n"/>
    </row>
    <row r="783" ht="15.75" customHeight="1" s="82">
      <c r="A783" s="2" t="n"/>
      <c r="B783" s="2" t="n"/>
      <c r="C783" s="2" t="n"/>
      <c r="D783" s="2" t="n"/>
    </row>
    <row r="784" ht="15.75" customHeight="1" s="82">
      <c r="A784" s="2" t="n"/>
      <c r="B784" s="2" t="n"/>
      <c r="C784" s="2" t="n"/>
      <c r="D784" s="2" t="n"/>
    </row>
    <row r="785" ht="15.75" customHeight="1" s="82">
      <c r="A785" s="2" t="n"/>
      <c r="B785" s="2" t="n"/>
      <c r="C785" s="2" t="n"/>
      <c r="D785" s="2" t="n"/>
    </row>
    <row r="786" ht="15.75" customHeight="1" s="82">
      <c r="A786" s="2" t="n"/>
      <c r="B786" s="2" t="n"/>
      <c r="C786" s="2" t="n"/>
      <c r="D786" s="2" t="n"/>
    </row>
    <row r="787" ht="15.75" customHeight="1" s="82">
      <c r="A787" s="2" t="n"/>
      <c r="B787" s="2" t="n"/>
      <c r="C787" s="2" t="n"/>
      <c r="D787" s="2" t="n"/>
    </row>
    <row r="788" ht="15.75" customHeight="1" s="82">
      <c r="A788" s="2" t="n"/>
      <c r="B788" s="2" t="n"/>
      <c r="C788" s="2" t="n"/>
      <c r="D788" s="2" t="n"/>
    </row>
    <row r="789" ht="15.75" customHeight="1" s="82">
      <c r="A789" s="2" t="n"/>
      <c r="B789" s="2" t="n"/>
      <c r="C789" s="2" t="n"/>
      <c r="D789" s="2" t="n"/>
    </row>
    <row r="790" ht="15.75" customHeight="1" s="82">
      <c r="A790" s="2" t="n"/>
      <c r="B790" s="2" t="n"/>
      <c r="C790" s="2" t="n"/>
      <c r="D790" s="2" t="n"/>
    </row>
    <row r="791" ht="15.75" customHeight="1" s="82">
      <c r="A791" s="2" t="n"/>
      <c r="B791" s="2" t="n"/>
      <c r="C791" s="2" t="n"/>
      <c r="D791" s="2" t="n"/>
    </row>
    <row r="792" ht="15.75" customHeight="1" s="82">
      <c r="A792" s="2" t="n"/>
      <c r="B792" s="2" t="n"/>
      <c r="C792" s="2" t="n"/>
      <c r="D792" s="2" t="n"/>
    </row>
    <row r="793" ht="15.75" customHeight="1" s="82">
      <c r="A793" s="2" t="n"/>
      <c r="B793" s="2" t="n"/>
      <c r="C793" s="2" t="n"/>
      <c r="D793" s="2" t="n"/>
    </row>
    <row r="794" ht="15.75" customHeight="1" s="82">
      <c r="A794" s="2" t="n"/>
      <c r="B794" s="2" t="n"/>
      <c r="C794" s="2" t="n"/>
      <c r="D794" s="2" t="n"/>
    </row>
    <row r="795" ht="15.75" customHeight="1" s="82">
      <c r="A795" s="2" t="n"/>
      <c r="B795" s="2" t="n"/>
      <c r="C795" s="2" t="n"/>
      <c r="D795" s="2" t="n"/>
    </row>
    <row r="796" ht="15.75" customHeight="1" s="82">
      <c r="A796" s="2" t="n"/>
      <c r="B796" s="2" t="n"/>
      <c r="C796" s="2" t="n"/>
      <c r="D796" s="2" t="n"/>
    </row>
    <row r="797" ht="15.75" customHeight="1" s="82">
      <c r="A797" s="2" t="n"/>
      <c r="B797" s="2" t="n"/>
      <c r="C797" s="2" t="n"/>
      <c r="D797" s="2" t="n"/>
    </row>
    <row r="798" ht="15.75" customHeight="1" s="82">
      <c r="A798" s="2" t="n"/>
      <c r="B798" s="2" t="n"/>
      <c r="C798" s="2" t="n"/>
      <c r="D798" s="2" t="n"/>
    </row>
    <row r="799" ht="15.75" customHeight="1" s="82">
      <c r="A799" s="2" t="n"/>
      <c r="B799" s="2" t="n"/>
      <c r="C799" s="2" t="n"/>
      <c r="D799" s="2" t="n"/>
    </row>
    <row r="800" ht="15.75" customHeight="1" s="82">
      <c r="A800" s="2" t="n"/>
      <c r="B800" s="2" t="n"/>
      <c r="C800" s="2" t="n"/>
      <c r="D800" s="2" t="n"/>
    </row>
    <row r="801" ht="15.75" customHeight="1" s="82">
      <c r="A801" s="2" t="n"/>
      <c r="B801" s="2" t="n"/>
      <c r="C801" s="2" t="n"/>
      <c r="D801" s="2" t="n"/>
    </row>
    <row r="802" ht="15.75" customHeight="1" s="82">
      <c r="A802" s="2" t="n"/>
      <c r="B802" s="2" t="n"/>
      <c r="C802" s="2" t="n"/>
      <c r="D802" s="2" t="n"/>
    </row>
    <row r="803" ht="15.75" customHeight="1" s="82">
      <c r="A803" s="2" t="n"/>
      <c r="B803" s="2" t="n"/>
      <c r="C803" s="2" t="n"/>
      <c r="D803" s="2" t="n"/>
    </row>
    <row r="804" ht="15.75" customHeight="1" s="82">
      <c r="A804" s="2" t="n"/>
      <c r="B804" s="2" t="n"/>
      <c r="C804" s="2" t="n"/>
      <c r="D804" s="2" t="n"/>
    </row>
    <row r="805" ht="15.75" customHeight="1" s="82">
      <c r="A805" s="2" t="n"/>
      <c r="B805" s="2" t="n"/>
      <c r="C805" s="2" t="n"/>
      <c r="D805" s="2" t="n"/>
    </row>
    <row r="806" ht="15.75" customHeight="1" s="82">
      <c r="A806" s="2" t="n"/>
      <c r="B806" s="2" t="n"/>
      <c r="C806" s="2" t="n"/>
      <c r="D806" s="2" t="n"/>
    </row>
    <row r="807" ht="15.75" customHeight="1" s="82">
      <c r="A807" s="2" t="n"/>
      <c r="B807" s="2" t="n"/>
      <c r="C807" s="2" t="n"/>
      <c r="D807" s="2" t="n"/>
    </row>
    <row r="808" ht="15.75" customHeight="1" s="82">
      <c r="A808" s="2" t="n"/>
      <c r="B808" s="2" t="n"/>
      <c r="C808" s="2" t="n"/>
      <c r="D808" s="2" t="n"/>
    </row>
    <row r="809" ht="15.75" customHeight="1" s="82">
      <c r="A809" s="2" t="n"/>
      <c r="B809" s="2" t="n"/>
      <c r="C809" s="2" t="n"/>
      <c r="D809" s="2" t="n"/>
    </row>
    <row r="810" ht="15.75" customHeight="1" s="82">
      <c r="A810" s="2" t="n"/>
      <c r="B810" s="2" t="n"/>
      <c r="C810" s="2" t="n"/>
      <c r="D810" s="2" t="n"/>
    </row>
    <row r="811" ht="15.75" customHeight="1" s="82">
      <c r="A811" s="2" t="n"/>
      <c r="B811" s="2" t="n"/>
      <c r="C811" s="2" t="n"/>
      <c r="D811" s="2" t="n"/>
    </row>
    <row r="812" ht="15.75" customHeight="1" s="82">
      <c r="A812" s="2" t="n"/>
      <c r="B812" s="2" t="n"/>
      <c r="C812" s="2" t="n"/>
      <c r="D812" s="2" t="n"/>
    </row>
    <row r="813" ht="15.75" customHeight="1" s="82">
      <c r="A813" s="2" t="n"/>
      <c r="B813" s="2" t="n"/>
      <c r="C813" s="2" t="n"/>
      <c r="D813" s="2" t="n"/>
    </row>
    <row r="814" ht="15.75" customHeight="1" s="82">
      <c r="A814" s="2" t="n"/>
      <c r="B814" s="2" t="n"/>
      <c r="C814" s="2" t="n"/>
      <c r="D814" s="2" t="n"/>
    </row>
    <row r="815" ht="15.75" customHeight="1" s="82">
      <c r="A815" s="2" t="n"/>
      <c r="B815" s="2" t="n"/>
      <c r="C815" s="2" t="n"/>
      <c r="D815" s="2" t="n"/>
    </row>
    <row r="816" ht="15.75" customHeight="1" s="82">
      <c r="A816" s="2" t="n"/>
      <c r="B816" s="2" t="n"/>
      <c r="C816" s="2" t="n"/>
      <c r="D816" s="2" t="n"/>
    </row>
    <row r="817" ht="15.75" customHeight="1" s="82">
      <c r="A817" s="2" t="n"/>
      <c r="B817" s="2" t="n"/>
      <c r="C817" s="2" t="n"/>
      <c r="D817" s="2" t="n"/>
    </row>
    <row r="818" ht="15.75" customHeight="1" s="82">
      <c r="A818" s="2" t="n"/>
      <c r="B818" s="2" t="n"/>
      <c r="C818" s="2" t="n"/>
      <c r="D818" s="2" t="n"/>
    </row>
    <row r="819" ht="15.75" customHeight="1" s="82">
      <c r="A819" s="2" t="n"/>
      <c r="B819" s="2" t="n"/>
      <c r="C819" s="2" t="n"/>
      <c r="D819" s="2" t="n"/>
    </row>
    <row r="820" ht="15.75" customHeight="1" s="82">
      <c r="A820" s="2" t="n"/>
      <c r="B820" s="2" t="n"/>
      <c r="C820" s="2" t="n"/>
      <c r="D820" s="2" t="n"/>
    </row>
    <row r="821" ht="15.75" customHeight="1" s="82">
      <c r="A821" s="2" t="n"/>
      <c r="B821" s="2" t="n"/>
      <c r="C821" s="2" t="n"/>
      <c r="D821" s="2" t="n"/>
    </row>
    <row r="822" ht="15.75" customHeight="1" s="82">
      <c r="A822" s="2" t="n"/>
      <c r="B822" s="2" t="n"/>
      <c r="C822" s="2" t="n"/>
      <c r="D822" s="2" t="n"/>
    </row>
    <row r="823" ht="15.75" customHeight="1" s="82">
      <c r="A823" s="2" t="n"/>
      <c r="B823" s="2" t="n"/>
      <c r="C823" s="2" t="n"/>
      <c r="D823" s="2" t="n"/>
    </row>
    <row r="824" ht="15.75" customHeight="1" s="82">
      <c r="A824" s="2" t="n"/>
      <c r="B824" s="2" t="n"/>
      <c r="C824" s="2" t="n"/>
      <c r="D824" s="2" t="n"/>
    </row>
    <row r="825" ht="15.75" customHeight="1" s="82">
      <c r="A825" s="2" t="n"/>
      <c r="B825" s="2" t="n"/>
      <c r="C825" s="2" t="n"/>
      <c r="D825" s="2" t="n"/>
    </row>
    <row r="826" ht="15.75" customHeight="1" s="82">
      <c r="A826" s="2" t="n"/>
      <c r="B826" s="2" t="n"/>
      <c r="C826" s="2" t="n"/>
      <c r="D826" s="2" t="n"/>
    </row>
    <row r="827" ht="15.75" customHeight="1" s="82">
      <c r="A827" s="2" t="n"/>
      <c r="B827" s="2" t="n"/>
      <c r="C827" s="2" t="n"/>
      <c r="D827" s="2" t="n"/>
    </row>
    <row r="828" ht="15.75" customHeight="1" s="82">
      <c r="A828" s="2" t="n"/>
      <c r="B828" s="2" t="n"/>
      <c r="C828" s="2" t="n"/>
      <c r="D828" s="2" t="n"/>
    </row>
    <row r="829" ht="15.75" customHeight="1" s="82">
      <c r="A829" s="2" t="n"/>
      <c r="B829" s="2" t="n"/>
      <c r="C829" s="2" t="n"/>
      <c r="D829" s="2" t="n"/>
    </row>
    <row r="830" ht="15.75" customHeight="1" s="82">
      <c r="A830" s="2" t="n"/>
      <c r="B830" s="2" t="n"/>
      <c r="C830" s="2" t="n"/>
      <c r="D830" s="2" t="n"/>
    </row>
    <row r="831" ht="15.75" customHeight="1" s="82">
      <c r="A831" s="2" t="n"/>
      <c r="B831" s="2" t="n"/>
      <c r="C831" s="2" t="n"/>
      <c r="D831" s="2" t="n"/>
    </row>
    <row r="832" ht="15.75" customHeight="1" s="82">
      <c r="A832" s="2" t="n"/>
      <c r="B832" s="2" t="n"/>
      <c r="C832" s="2" t="n"/>
      <c r="D832" s="2" t="n"/>
    </row>
    <row r="833" ht="15.75" customHeight="1" s="82">
      <c r="A833" s="2" t="n"/>
      <c r="B833" s="2" t="n"/>
      <c r="C833" s="2" t="n"/>
      <c r="D833" s="2" t="n"/>
    </row>
    <row r="834" ht="15.75" customHeight="1" s="82">
      <c r="A834" s="2" t="n"/>
      <c r="B834" s="2" t="n"/>
      <c r="C834" s="2" t="n"/>
      <c r="D834" s="2" t="n"/>
    </row>
    <row r="835" ht="15.75" customHeight="1" s="82">
      <c r="A835" s="2" t="n"/>
      <c r="B835" s="2" t="n"/>
      <c r="C835" s="2" t="n"/>
      <c r="D835" s="2" t="n"/>
    </row>
    <row r="836" ht="15.75" customHeight="1" s="82">
      <c r="A836" s="2" t="n"/>
      <c r="B836" s="2" t="n"/>
      <c r="C836" s="2" t="n"/>
      <c r="D836" s="2" t="n"/>
    </row>
    <row r="837" ht="15.75" customHeight="1" s="82">
      <c r="A837" s="2" t="n"/>
      <c r="B837" s="2" t="n"/>
      <c r="C837" s="2" t="n"/>
      <c r="D837" s="2" t="n"/>
    </row>
    <row r="838" ht="15.75" customHeight="1" s="82">
      <c r="A838" s="2" t="n"/>
      <c r="B838" s="2" t="n"/>
      <c r="C838" s="2" t="n"/>
      <c r="D838" s="2" t="n"/>
    </row>
    <row r="839" ht="15.75" customHeight="1" s="82">
      <c r="A839" s="2" t="n"/>
      <c r="B839" s="2" t="n"/>
      <c r="C839" s="2" t="n"/>
      <c r="D839" s="2" t="n"/>
    </row>
    <row r="840" ht="15.75" customHeight="1" s="82">
      <c r="A840" s="2" t="n"/>
      <c r="B840" s="2" t="n"/>
      <c r="C840" s="2" t="n"/>
      <c r="D840" s="2" t="n"/>
    </row>
    <row r="841" ht="15.75" customHeight="1" s="82">
      <c r="A841" s="2" t="n"/>
      <c r="B841" s="2" t="n"/>
      <c r="C841" s="2" t="n"/>
      <c r="D841" s="2" t="n"/>
    </row>
    <row r="842" ht="15.75" customHeight="1" s="82">
      <c r="A842" s="2" t="n"/>
      <c r="B842" s="2" t="n"/>
      <c r="C842" s="2" t="n"/>
      <c r="D842" s="2" t="n"/>
    </row>
    <row r="843" ht="15.75" customHeight="1" s="82">
      <c r="A843" s="2" t="n"/>
      <c r="B843" s="2" t="n"/>
      <c r="C843" s="2" t="n"/>
      <c r="D843" s="2" t="n"/>
    </row>
    <row r="844" ht="15.75" customHeight="1" s="82">
      <c r="A844" s="2" t="n"/>
      <c r="B844" s="2" t="n"/>
      <c r="C844" s="2" t="n"/>
      <c r="D844" s="2" t="n"/>
    </row>
    <row r="845" ht="15.75" customHeight="1" s="82">
      <c r="A845" s="2" t="n"/>
      <c r="B845" s="2" t="n"/>
      <c r="C845" s="2" t="n"/>
      <c r="D845" s="2" t="n"/>
    </row>
    <row r="846" ht="15.75" customHeight="1" s="82">
      <c r="A846" s="2" t="n"/>
      <c r="B846" s="2" t="n"/>
      <c r="C846" s="2" t="n"/>
      <c r="D846" s="2" t="n"/>
    </row>
    <row r="847" ht="15.75" customHeight="1" s="82">
      <c r="A847" s="2" t="n"/>
      <c r="B847" s="2" t="n"/>
      <c r="C847" s="2" t="n"/>
      <c r="D847" s="2" t="n"/>
    </row>
    <row r="848" ht="15.75" customHeight="1" s="82">
      <c r="A848" s="2" t="n"/>
      <c r="B848" s="2" t="n"/>
      <c r="C848" s="2" t="n"/>
      <c r="D848" s="2" t="n"/>
    </row>
    <row r="849" ht="15.75" customHeight="1" s="82">
      <c r="A849" s="2" t="n"/>
      <c r="B849" s="2" t="n"/>
      <c r="C849" s="2" t="n"/>
      <c r="D849" s="2" t="n"/>
    </row>
    <row r="850" ht="15.75" customHeight="1" s="82">
      <c r="A850" s="2" t="n"/>
      <c r="B850" s="2" t="n"/>
      <c r="C850" s="2" t="n"/>
      <c r="D850" s="2" t="n"/>
    </row>
    <row r="851" ht="15.75" customHeight="1" s="82">
      <c r="A851" s="2" t="n"/>
      <c r="B851" s="2" t="n"/>
      <c r="C851" s="2" t="n"/>
      <c r="D851" s="2" t="n"/>
    </row>
    <row r="852" ht="15.75" customHeight="1" s="82">
      <c r="A852" s="2" t="n"/>
      <c r="B852" s="2" t="n"/>
      <c r="C852" s="2" t="n"/>
      <c r="D852" s="2" t="n"/>
    </row>
    <row r="853" ht="15.75" customHeight="1" s="82">
      <c r="A853" s="2" t="n"/>
      <c r="B853" s="2" t="n"/>
      <c r="C853" s="2" t="n"/>
      <c r="D853" s="2" t="n"/>
    </row>
    <row r="854" ht="15.75" customHeight="1" s="82">
      <c r="A854" s="2" t="n"/>
      <c r="B854" s="2" t="n"/>
      <c r="C854" s="2" t="n"/>
      <c r="D854" s="2" t="n"/>
    </row>
    <row r="855" ht="15.75" customHeight="1" s="82">
      <c r="A855" s="2" t="n"/>
      <c r="B855" s="2" t="n"/>
      <c r="C855" s="2" t="n"/>
      <c r="D855" s="2" t="n"/>
    </row>
    <row r="856" ht="15.75" customHeight="1" s="82">
      <c r="A856" s="2" t="n"/>
      <c r="B856" s="2" t="n"/>
      <c r="C856" s="2" t="n"/>
      <c r="D856" s="2" t="n"/>
    </row>
    <row r="857" ht="15.75" customHeight="1" s="82">
      <c r="A857" s="2" t="n"/>
      <c r="B857" s="2" t="n"/>
      <c r="C857" s="2" t="n"/>
      <c r="D857" s="2" t="n"/>
    </row>
    <row r="858" ht="15.75" customHeight="1" s="82">
      <c r="A858" s="2" t="n"/>
      <c r="B858" s="2" t="n"/>
      <c r="C858" s="2" t="n"/>
      <c r="D858" s="2" t="n"/>
    </row>
    <row r="859" ht="15.75" customHeight="1" s="82">
      <c r="A859" s="2" t="n"/>
      <c r="B859" s="2" t="n"/>
      <c r="C859" s="2" t="n"/>
      <c r="D859" s="2" t="n"/>
    </row>
    <row r="860" ht="15.75" customHeight="1" s="82">
      <c r="A860" s="2" t="n"/>
      <c r="B860" s="2" t="n"/>
      <c r="C860" s="2" t="n"/>
      <c r="D860" s="2" t="n"/>
    </row>
    <row r="861" ht="15.75" customHeight="1" s="82">
      <c r="A861" s="2" t="n"/>
      <c r="B861" s="2" t="n"/>
      <c r="C861" s="2" t="n"/>
      <c r="D861" s="2" t="n"/>
    </row>
    <row r="862" ht="15.75" customHeight="1" s="82">
      <c r="A862" s="2" t="n"/>
      <c r="B862" s="2" t="n"/>
      <c r="C862" s="2" t="n"/>
      <c r="D862" s="2" t="n"/>
    </row>
    <row r="863" ht="15.75" customHeight="1" s="82">
      <c r="A863" s="2" t="n"/>
      <c r="B863" s="2" t="n"/>
      <c r="C863" s="2" t="n"/>
      <c r="D863" s="2" t="n"/>
    </row>
    <row r="864" ht="15.75" customHeight="1" s="82">
      <c r="A864" s="2" t="n"/>
      <c r="B864" s="2" t="n"/>
      <c r="C864" s="2" t="n"/>
      <c r="D864" s="2" t="n"/>
    </row>
    <row r="865" ht="15.75" customHeight="1" s="82">
      <c r="A865" s="2" t="n"/>
      <c r="B865" s="2" t="n"/>
      <c r="C865" s="2" t="n"/>
      <c r="D865" s="2" t="n"/>
    </row>
    <row r="866" ht="15.75" customHeight="1" s="82">
      <c r="A866" s="2" t="n"/>
      <c r="B866" s="2" t="n"/>
      <c r="C866" s="2" t="n"/>
      <c r="D866" s="2" t="n"/>
    </row>
    <row r="867" ht="15.75" customHeight="1" s="82">
      <c r="A867" s="2" t="n"/>
      <c r="B867" s="2" t="n"/>
      <c r="C867" s="2" t="n"/>
      <c r="D867" s="2" t="n"/>
    </row>
    <row r="868" ht="15.75" customHeight="1" s="82">
      <c r="A868" s="2" t="n"/>
      <c r="B868" s="2" t="n"/>
      <c r="C868" s="2" t="n"/>
      <c r="D868" s="2" t="n"/>
    </row>
    <row r="869" ht="15.75" customHeight="1" s="82">
      <c r="A869" s="2" t="n"/>
      <c r="B869" s="2" t="n"/>
      <c r="C869" s="2" t="n"/>
      <c r="D869" s="2" t="n"/>
    </row>
    <row r="870" ht="15.75" customHeight="1" s="82">
      <c r="A870" s="2" t="n"/>
      <c r="B870" s="2" t="n"/>
      <c r="C870" s="2" t="n"/>
      <c r="D870" s="2" t="n"/>
    </row>
    <row r="871" ht="15.75" customHeight="1" s="82">
      <c r="A871" s="2" t="n"/>
      <c r="B871" s="2" t="n"/>
      <c r="C871" s="2" t="n"/>
      <c r="D871" s="2" t="n"/>
    </row>
    <row r="872" ht="15.75" customHeight="1" s="82">
      <c r="A872" s="2" t="n"/>
      <c r="B872" s="2" t="n"/>
      <c r="C872" s="2" t="n"/>
      <c r="D872" s="2" t="n"/>
    </row>
    <row r="873" ht="15.75" customHeight="1" s="82">
      <c r="A873" s="2" t="n"/>
      <c r="B873" s="2" t="n"/>
      <c r="C873" s="2" t="n"/>
      <c r="D873" s="2" t="n"/>
    </row>
    <row r="874" ht="15.75" customHeight="1" s="82">
      <c r="A874" s="2" t="n"/>
      <c r="B874" s="2" t="n"/>
      <c r="C874" s="2" t="n"/>
      <c r="D874" s="2" t="n"/>
    </row>
    <row r="875" ht="15.75" customHeight="1" s="82">
      <c r="A875" s="2" t="n"/>
      <c r="B875" s="2" t="n"/>
      <c r="C875" s="2" t="n"/>
      <c r="D875" s="2" t="n"/>
    </row>
    <row r="876" ht="15.75" customHeight="1" s="82">
      <c r="A876" s="2" t="n"/>
      <c r="B876" s="2" t="n"/>
      <c r="C876" s="2" t="n"/>
      <c r="D876" s="2" t="n"/>
    </row>
    <row r="877" ht="15.75" customHeight="1" s="82">
      <c r="A877" s="2" t="n"/>
      <c r="B877" s="2" t="n"/>
      <c r="C877" s="2" t="n"/>
      <c r="D877" s="2" t="n"/>
    </row>
    <row r="878" ht="15.75" customHeight="1" s="82">
      <c r="A878" s="2" t="n"/>
      <c r="B878" s="2" t="n"/>
      <c r="C878" s="2" t="n"/>
      <c r="D878" s="2" t="n"/>
    </row>
    <row r="879" ht="15.75" customHeight="1" s="82">
      <c r="A879" s="2" t="n"/>
      <c r="B879" s="2" t="n"/>
      <c r="C879" s="2" t="n"/>
      <c r="D879" s="2" t="n"/>
    </row>
    <row r="880" ht="15.75" customHeight="1" s="82">
      <c r="A880" s="2" t="n"/>
      <c r="B880" s="2" t="n"/>
      <c r="C880" s="2" t="n"/>
      <c r="D880" s="2" t="n"/>
    </row>
    <row r="881" ht="15.75" customHeight="1" s="82">
      <c r="A881" s="2" t="n"/>
      <c r="B881" s="2" t="n"/>
      <c r="C881" s="2" t="n"/>
      <c r="D881" s="2" t="n"/>
    </row>
    <row r="882" ht="15.75" customHeight="1" s="82">
      <c r="A882" s="2" t="n"/>
      <c r="B882" s="2" t="n"/>
      <c r="C882" s="2" t="n"/>
      <c r="D882" s="2" t="n"/>
    </row>
    <row r="883" ht="15.75" customHeight="1" s="82">
      <c r="A883" s="2" t="n"/>
      <c r="B883" s="2" t="n"/>
      <c r="C883" s="2" t="n"/>
      <c r="D883" s="2" t="n"/>
    </row>
    <row r="884" ht="15.75" customHeight="1" s="82">
      <c r="A884" s="2" t="n"/>
      <c r="B884" s="2" t="n"/>
      <c r="C884" s="2" t="n"/>
      <c r="D884" s="2" t="n"/>
    </row>
    <row r="885" ht="15.75" customHeight="1" s="82">
      <c r="A885" s="2" t="n"/>
      <c r="B885" s="2" t="n"/>
      <c r="C885" s="2" t="n"/>
      <c r="D885" s="2" t="n"/>
    </row>
    <row r="886" ht="15.75" customHeight="1" s="82">
      <c r="A886" s="2" t="n"/>
      <c r="B886" s="2" t="n"/>
      <c r="C886" s="2" t="n"/>
      <c r="D886" s="2" t="n"/>
    </row>
    <row r="887" ht="15.75" customHeight="1" s="82">
      <c r="A887" s="2" t="n"/>
      <c r="B887" s="2" t="n"/>
      <c r="C887" s="2" t="n"/>
      <c r="D887" s="2" t="n"/>
    </row>
    <row r="888" ht="15.75" customHeight="1" s="82">
      <c r="A888" s="2" t="n"/>
      <c r="B888" s="2" t="n"/>
      <c r="C888" s="2" t="n"/>
      <c r="D888" s="2" t="n"/>
    </row>
    <row r="889" ht="15.75" customHeight="1" s="82">
      <c r="A889" s="2" t="n"/>
      <c r="B889" s="2" t="n"/>
      <c r="C889" s="2" t="n"/>
      <c r="D889" s="2" t="n"/>
    </row>
    <row r="890" ht="15.75" customHeight="1" s="82">
      <c r="A890" s="2" t="n"/>
      <c r="B890" s="2" t="n"/>
      <c r="C890" s="2" t="n"/>
      <c r="D890" s="2" t="n"/>
    </row>
    <row r="891" ht="15.75" customHeight="1" s="82">
      <c r="A891" s="2" t="n"/>
      <c r="B891" s="2" t="n"/>
      <c r="C891" s="2" t="n"/>
      <c r="D891" s="2" t="n"/>
    </row>
    <row r="892" ht="15.75" customHeight="1" s="82">
      <c r="A892" s="2" t="n"/>
      <c r="B892" s="2" t="n"/>
      <c r="C892" s="2" t="n"/>
      <c r="D892" s="2" t="n"/>
    </row>
    <row r="893" ht="15.75" customHeight="1" s="82">
      <c r="A893" s="2" t="n"/>
      <c r="B893" s="2" t="n"/>
      <c r="C893" s="2" t="n"/>
      <c r="D893" s="2" t="n"/>
    </row>
    <row r="894" ht="15.75" customHeight="1" s="82">
      <c r="A894" s="2" t="n"/>
      <c r="B894" s="2" t="n"/>
      <c r="C894" s="2" t="n"/>
      <c r="D894" s="2" t="n"/>
    </row>
    <row r="895" ht="15.75" customHeight="1" s="82">
      <c r="A895" s="2" t="n"/>
      <c r="B895" s="2" t="n"/>
      <c r="C895" s="2" t="n"/>
      <c r="D895" s="2" t="n"/>
    </row>
    <row r="896" ht="15.75" customHeight="1" s="82">
      <c r="A896" s="2" t="n"/>
      <c r="B896" s="2" t="n"/>
      <c r="C896" s="2" t="n"/>
      <c r="D896" s="2" t="n"/>
    </row>
    <row r="897" ht="15.75" customHeight="1" s="82">
      <c r="A897" s="2" t="n"/>
      <c r="B897" s="2" t="n"/>
      <c r="C897" s="2" t="n"/>
      <c r="D897" s="2" t="n"/>
    </row>
    <row r="898" ht="15.75" customHeight="1" s="82">
      <c r="A898" s="2" t="n"/>
      <c r="B898" s="2" t="n"/>
      <c r="C898" s="2" t="n"/>
      <c r="D898" s="2" t="n"/>
    </row>
    <row r="899" ht="15.75" customHeight="1" s="82">
      <c r="A899" s="2" t="n"/>
      <c r="B899" s="2" t="n"/>
      <c r="C899" s="2" t="n"/>
      <c r="D899" s="2" t="n"/>
    </row>
    <row r="900" ht="15.75" customHeight="1" s="82">
      <c r="A900" s="2" t="n"/>
      <c r="B900" s="2" t="n"/>
      <c r="C900" s="2" t="n"/>
      <c r="D900" s="2" t="n"/>
    </row>
    <row r="901" ht="15.75" customHeight="1" s="82">
      <c r="A901" s="2" t="n"/>
      <c r="B901" s="2" t="n"/>
      <c r="C901" s="2" t="n"/>
      <c r="D901" s="2" t="n"/>
    </row>
    <row r="902" ht="15.75" customHeight="1" s="82">
      <c r="A902" s="2" t="n"/>
      <c r="B902" s="2" t="n"/>
      <c r="C902" s="2" t="n"/>
      <c r="D902" s="2" t="n"/>
    </row>
    <row r="903" ht="15.75" customHeight="1" s="82">
      <c r="A903" s="2" t="n"/>
      <c r="B903" s="2" t="n"/>
      <c r="C903" s="2" t="n"/>
      <c r="D903" s="2" t="n"/>
    </row>
    <row r="904" ht="15.75" customHeight="1" s="82">
      <c r="A904" s="2" t="n"/>
      <c r="B904" s="2" t="n"/>
      <c r="C904" s="2" t="n"/>
      <c r="D904" s="2" t="n"/>
    </row>
    <row r="905" ht="15.75" customHeight="1" s="82">
      <c r="A905" s="2" t="n"/>
      <c r="B905" s="2" t="n"/>
      <c r="C905" s="2" t="n"/>
      <c r="D905" s="2" t="n"/>
    </row>
    <row r="906" ht="15.75" customHeight="1" s="82">
      <c r="A906" s="2" t="n"/>
      <c r="B906" s="2" t="n"/>
      <c r="C906" s="2" t="n"/>
      <c r="D906" s="2" t="n"/>
    </row>
    <row r="907" ht="15.75" customHeight="1" s="82">
      <c r="A907" s="2" t="n"/>
      <c r="B907" s="2" t="n"/>
      <c r="C907" s="2" t="n"/>
      <c r="D907" s="2" t="n"/>
    </row>
    <row r="908" ht="15.75" customHeight="1" s="82">
      <c r="A908" s="2" t="n"/>
      <c r="B908" s="2" t="n"/>
      <c r="C908" s="2" t="n"/>
      <c r="D908" s="2" t="n"/>
    </row>
    <row r="909" ht="15.75" customHeight="1" s="82">
      <c r="A909" s="2" t="n"/>
      <c r="B909" s="2" t="n"/>
      <c r="C909" s="2" t="n"/>
      <c r="D909" s="2" t="n"/>
    </row>
    <row r="910" ht="15.75" customHeight="1" s="82">
      <c r="A910" s="2" t="n"/>
      <c r="B910" s="2" t="n"/>
      <c r="C910" s="2" t="n"/>
      <c r="D910" s="2" t="n"/>
    </row>
    <row r="911" ht="15.75" customHeight="1" s="82">
      <c r="A911" s="2" t="n"/>
      <c r="B911" s="2" t="n"/>
      <c r="C911" s="2" t="n"/>
      <c r="D911" s="2" t="n"/>
    </row>
    <row r="912" ht="15.75" customHeight="1" s="82">
      <c r="A912" s="2" t="n"/>
      <c r="B912" s="2" t="n"/>
      <c r="C912" s="2" t="n"/>
      <c r="D912" s="2" t="n"/>
    </row>
    <row r="913" ht="15.75" customHeight="1" s="82">
      <c r="A913" s="2" t="n"/>
      <c r="B913" s="2" t="n"/>
      <c r="C913" s="2" t="n"/>
      <c r="D913" s="2" t="n"/>
    </row>
    <row r="914" ht="15.75" customHeight="1" s="82">
      <c r="A914" s="2" t="n"/>
      <c r="B914" s="2" t="n"/>
      <c r="C914" s="2" t="n"/>
      <c r="D914" s="2" t="n"/>
    </row>
    <row r="915" ht="15.75" customHeight="1" s="82">
      <c r="A915" s="2" t="n"/>
      <c r="B915" s="2" t="n"/>
      <c r="C915" s="2" t="n"/>
      <c r="D915" s="2" t="n"/>
    </row>
    <row r="916" ht="15.75" customHeight="1" s="82">
      <c r="A916" s="2" t="n"/>
      <c r="B916" s="2" t="n"/>
      <c r="C916" s="2" t="n"/>
      <c r="D916" s="2" t="n"/>
    </row>
    <row r="917" ht="15.75" customHeight="1" s="82">
      <c r="A917" s="2" t="n"/>
      <c r="B917" s="2" t="n"/>
      <c r="C917" s="2" t="n"/>
      <c r="D917" s="2" t="n"/>
    </row>
    <row r="918" ht="15.75" customHeight="1" s="82">
      <c r="A918" s="2" t="n"/>
      <c r="B918" s="2" t="n"/>
      <c r="C918" s="2" t="n"/>
      <c r="D918" s="2" t="n"/>
    </row>
    <row r="919" ht="15.75" customHeight="1" s="82">
      <c r="A919" s="2" t="n"/>
      <c r="B919" s="2" t="n"/>
      <c r="C919" s="2" t="n"/>
      <c r="D919" s="2" t="n"/>
    </row>
    <row r="920" ht="15.75" customHeight="1" s="82">
      <c r="A920" s="2" t="n"/>
      <c r="B920" s="2" t="n"/>
      <c r="C920" s="2" t="n"/>
      <c r="D920" s="2" t="n"/>
    </row>
    <row r="921" ht="15.75" customHeight="1" s="82">
      <c r="A921" s="2" t="n"/>
      <c r="B921" s="2" t="n"/>
      <c r="C921" s="2" t="n"/>
      <c r="D921" s="2" t="n"/>
    </row>
    <row r="922" ht="15.75" customHeight="1" s="82">
      <c r="A922" s="2" t="n"/>
      <c r="B922" s="2" t="n"/>
      <c r="C922" s="2" t="n"/>
      <c r="D922" s="2" t="n"/>
    </row>
    <row r="923" ht="15.75" customHeight="1" s="82">
      <c r="A923" s="2" t="n"/>
      <c r="B923" s="2" t="n"/>
      <c r="C923" s="2" t="n"/>
      <c r="D923" s="2" t="n"/>
    </row>
    <row r="924" ht="15.75" customHeight="1" s="82">
      <c r="A924" s="2" t="n"/>
      <c r="B924" s="2" t="n"/>
      <c r="C924" s="2" t="n"/>
      <c r="D924" s="2" t="n"/>
    </row>
    <row r="925" ht="15.75" customHeight="1" s="82">
      <c r="A925" s="2" t="n"/>
      <c r="B925" s="2" t="n"/>
      <c r="C925" s="2" t="n"/>
      <c r="D925" s="2" t="n"/>
    </row>
    <row r="926" ht="15.75" customHeight="1" s="82">
      <c r="A926" s="2" t="n"/>
      <c r="B926" s="2" t="n"/>
      <c r="C926" s="2" t="n"/>
      <c r="D926" s="2" t="n"/>
    </row>
    <row r="927" ht="15.75" customHeight="1" s="82">
      <c r="A927" s="2" t="n"/>
      <c r="B927" s="2" t="n"/>
      <c r="C927" s="2" t="n"/>
      <c r="D927" s="2" t="n"/>
    </row>
    <row r="928" ht="15.75" customHeight="1" s="82">
      <c r="A928" s="2" t="n"/>
      <c r="B928" s="2" t="n"/>
      <c r="C928" s="2" t="n"/>
      <c r="D928" s="2" t="n"/>
    </row>
    <row r="929" ht="15.75" customHeight="1" s="82">
      <c r="A929" s="2" t="n"/>
      <c r="B929" s="2" t="n"/>
      <c r="C929" s="2" t="n"/>
      <c r="D929" s="2" t="n"/>
    </row>
    <row r="930" ht="15.75" customHeight="1" s="82">
      <c r="A930" s="2" t="n"/>
      <c r="B930" s="2" t="n"/>
      <c r="C930" s="2" t="n"/>
      <c r="D930" s="2" t="n"/>
    </row>
    <row r="931" ht="15.75" customHeight="1" s="82">
      <c r="A931" s="2" t="n"/>
      <c r="B931" s="2" t="n"/>
      <c r="C931" s="2" t="n"/>
      <c r="D931" s="2" t="n"/>
    </row>
    <row r="932" ht="15.75" customHeight="1" s="82">
      <c r="A932" s="2" t="n"/>
      <c r="B932" s="2" t="n"/>
      <c r="C932" s="2" t="n"/>
      <c r="D932" s="2" t="n"/>
    </row>
    <row r="933" ht="15.75" customHeight="1" s="82">
      <c r="A933" s="2" t="n"/>
      <c r="B933" s="2" t="n"/>
      <c r="C933" s="2" t="n"/>
      <c r="D933" s="2" t="n"/>
    </row>
    <row r="934" ht="15.75" customHeight="1" s="82">
      <c r="A934" s="2" t="n"/>
      <c r="B934" s="2" t="n"/>
      <c r="C934" s="2" t="n"/>
      <c r="D934" s="2" t="n"/>
    </row>
    <row r="935" ht="15.75" customHeight="1" s="82">
      <c r="A935" s="2" t="n"/>
      <c r="B935" s="2" t="n"/>
      <c r="C935" s="2" t="n"/>
      <c r="D935" s="2" t="n"/>
    </row>
    <row r="936" ht="15.75" customHeight="1" s="82">
      <c r="A936" s="2" t="n"/>
      <c r="B936" s="2" t="n"/>
      <c r="C936" s="2" t="n"/>
      <c r="D936" s="2" t="n"/>
    </row>
    <row r="937" ht="15.75" customHeight="1" s="82">
      <c r="A937" s="2" t="n"/>
      <c r="B937" s="2" t="n"/>
      <c r="C937" s="2" t="n"/>
      <c r="D937" s="2" t="n"/>
    </row>
    <row r="938" ht="15.75" customHeight="1" s="82">
      <c r="A938" s="2" t="n"/>
      <c r="B938" s="2" t="n"/>
      <c r="C938" s="2" t="n"/>
      <c r="D938" s="2" t="n"/>
    </row>
    <row r="939" ht="15.75" customHeight="1" s="82">
      <c r="A939" s="2" t="n"/>
      <c r="B939" s="2" t="n"/>
      <c r="C939" s="2" t="n"/>
      <c r="D939" s="2" t="n"/>
    </row>
    <row r="940" ht="15.75" customHeight="1" s="82">
      <c r="A940" s="2" t="n"/>
      <c r="B940" s="2" t="n"/>
      <c r="C940" s="2" t="n"/>
      <c r="D940" s="2" t="n"/>
    </row>
    <row r="941" ht="15.75" customHeight="1" s="82">
      <c r="A941" s="2" t="n"/>
      <c r="B941" s="2" t="n"/>
      <c r="C941" s="2" t="n"/>
      <c r="D941" s="2" t="n"/>
    </row>
    <row r="942" ht="15.75" customHeight="1" s="82">
      <c r="A942" s="2" t="n"/>
      <c r="B942" s="2" t="n"/>
      <c r="C942" s="2" t="n"/>
      <c r="D942" s="2" t="n"/>
    </row>
    <row r="943" ht="15.75" customHeight="1" s="82">
      <c r="A943" s="2" t="n"/>
      <c r="B943" s="2" t="n"/>
      <c r="C943" s="2" t="n"/>
      <c r="D943" s="2" t="n"/>
    </row>
    <row r="944" ht="15.75" customHeight="1" s="82">
      <c r="A944" s="2" t="n"/>
      <c r="B944" s="2" t="n"/>
      <c r="C944" s="2" t="n"/>
      <c r="D944" s="2" t="n"/>
    </row>
    <row r="945" ht="15.75" customHeight="1" s="82">
      <c r="A945" s="2" t="n"/>
      <c r="B945" s="2" t="n"/>
      <c r="C945" s="2" t="n"/>
      <c r="D945" s="2" t="n"/>
    </row>
    <row r="946" ht="15.75" customHeight="1" s="82">
      <c r="A946" s="2" t="n"/>
      <c r="B946" s="2" t="n"/>
      <c r="C946" s="2" t="n"/>
      <c r="D946" s="2" t="n"/>
    </row>
    <row r="947" ht="15.75" customHeight="1" s="82">
      <c r="A947" s="2" t="n"/>
      <c r="B947" s="2" t="n"/>
      <c r="C947" s="2" t="n"/>
      <c r="D947" s="2" t="n"/>
    </row>
    <row r="948" ht="15.75" customHeight="1" s="82">
      <c r="A948" s="2" t="n"/>
      <c r="B948" s="2" t="n"/>
      <c r="C948" s="2" t="n"/>
      <c r="D948" s="2" t="n"/>
    </row>
    <row r="949" ht="15.75" customHeight="1" s="82">
      <c r="A949" s="2" t="n"/>
      <c r="B949" s="2" t="n"/>
      <c r="C949" s="2" t="n"/>
      <c r="D949" s="2" t="n"/>
    </row>
    <row r="950" ht="15.75" customHeight="1" s="82">
      <c r="A950" s="2" t="n"/>
      <c r="B950" s="2" t="n"/>
      <c r="C950" s="2" t="n"/>
      <c r="D950" s="2" t="n"/>
    </row>
    <row r="951" ht="15.75" customHeight="1" s="82">
      <c r="A951" s="2" t="n"/>
      <c r="B951" s="2" t="n"/>
      <c r="C951" s="2" t="n"/>
      <c r="D951" s="2" t="n"/>
    </row>
    <row r="952" ht="15.75" customHeight="1" s="82">
      <c r="A952" s="2" t="n"/>
      <c r="B952" s="2" t="n"/>
      <c r="C952" s="2" t="n"/>
      <c r="D952" s="2" t="n"/>
    </row>
    <row r="953" ht="15.75" customHeight="1" s="82">
      <c r="A953" s="2" t="n"/>
      <c r="B953" s="2" t="n"/>
      <c r="C953" s="2" t="n"/>
      <c r="D953" s="2" t="n"/>
    </row>
    <row r="954" ht="15.75" customHeight="1" s="82">
      <c r="A954" s="2" t="n"/>
      <c r="B954" s="2" t="n"/>
      <c r="C954" s="2" t="n"/>
      <c r="D954" s="2" t="n"/>
    </row>
    <row r="955" ht="15.75" customHeight="1" s="82">
      <c r="A955" s="2" t="n"/>
      <c r="B955" s="2" t="n"/>
      <c r="C955" s="2" t="n"/>
      <c r="D955" s="2" t="n"/>
    </row>
    <row r="956" ht="15.75" customHeight="1" s="82">
      <c r="A956" s="2" t="n"/>
      <c r="B956" s="2" t="n"/>
      <c r="C956" s="2" t="n"/>
      <c r="D956" s="2" t="n"/>
    </row>
    <row r="957" ht="15.75" customHeight="1" s="82">
      <c r="A957" s="2" t="n"/>
      <c r="B957" s="2" t="n"/>
      <c r="C957" s="2" t="n"/>
      <c r="D957" s="2" t="n"/>
    </row>
    <row r="958" ht="15.75" customHeight="1" s="82">
      <c r="A958" s="2" t="n"/>
      <c r="B958" s="2" t="n"/>
      <c r="C958" s="2" t="n"/>
      <c r="D958" s="2" t="n"/>
    </row>
    <row r="959" ht="15.75" customHeight="1" s="82">
      <c r="A959" s="2" t="n"/>
      <c r="B959" s="2" t="n"/>
      <c r="C959" s="2" t="n"/>
      <c r="D959" s="2" t="n"/>
    </row>
    <row r="960" ht="15.75" customHeight="1" s="82">
      <c r="A960" s="2" t="n"/>
      <c r="B960" s="2" t="n"/>
      <c r="C960" s="2" t="n"/>
      <c r="D960" s="2" t="n"/>
    </row>
    <row r="961" ht="15.75" customHeight="1" s="82">
      <c r="A961" s="2" t="n"/>
      <c r="B961" s="2" t="n"/>
      <c r="C961" s="2" t="n"/>
      <c r="D961" s="2" t="n"/>
    </row>
    <row r="962" ht="15.75" customHeight="1" s="82">
      <c r="A962" s="2" t="n"/>
      <c r="B962" s="2" t="n"/>
      <c r="C962" s="2" t="n"/>
      <c r="D962" s="2" t="n"/>
    </row>
    <row r="963" ht="15.75" customHeight="1" s="82">
      <c r="A963" s="2" t="n"/>
      <c r="B963" s="2" t="n"/>
      <c r="C963" s="2" t="n"/>
      <c r="D963" s="2" t="n"/>
    </row>
    <row r="964" ht="15.75" customHeight="1" s="82">
      <c r="A964" s="2" t="n"/>
      <c r="B964" s="2" t="n"/>
      <c r="C964" s="2" t="n"/>
      <c r="D964" s="2" t="n"/>
    </row>
    <row r="965" ht="15.75" customHeight="1" s="82">
      <c r="A965" s="2" t="n"/>
      <c r="B965" s="2" t="n"/>
      <c r="C965" s="2" t="n"/>
      <c r="D965" s="2" t="n"/>
    </row>
    <row r="966" ht="15.75" customHeight="1" s="82">
      <c r="A966" s="2" t="n"/>
      <c r="B966" s="2" t="n"/>
      <c r="C966" s="2" t="n"/>
      <c r="D966" s="2" t="n"/>
    </row>
    <row r="967" ht="15.75" customHeight="1" s="82">
      <c r="A967" s="2" t="n"/>
      <c r="B967" s="2" t="n"/>
      <c r="C967" s="2" t="n"/>
      <c r="D967" s="2" t="n"/>
    </row>
    <row r="968" ht="15.75" customHeight="1" s="82">
      <c r="A968" s="2" t="n"/>
      <c r="B968" s="2" t="n"/>
      <c r="C968" s="2" t="n"/>
      <c r="D968" s="2" t="n"/>
    </row>
    <row r="969" ht="15.75" customHeight="1" s="82">
      <c r="A969" s="2" t="n"/>
      <c r="B969" s="2" t="n"/>
      <c r="C969" s="2" t="n"/>
      <c r="D969" s="2" t="n"/>
    </row>
    <row r="970" ht="15.75" customHeight="1" s="82">
      <c r="A970" s="2" t="n"/>
      <c r="B970" s="2" t="n"/>
      <c r="C970" s="2" t="n"/>
      <c r="D970" s="2" t="n"/>
    </row>
    <row r="971" ht="15.75" customHeight="1" s="82">
      <c r="A971" s="2" t="n"/>
      <c r="B971" s="2" t="n"/>
      <c r="C971" s="2" t="n"/>
      <c r="D971" s="2" t="n"/>
    </row>
    <row r="972" ht="15.75" customHeight="1" s="82">
      <c r="A972" s="2" t="n"/>
      <c r="B972" s="2" t="n"/>
      <c r="C972" s="2" t="n"/>
      <c r="D972" s="2" t="n"/>
    </row>
    <row r="973" ht="15.75" customHeight="1" s="82">
      <c r="A973" s="2" t="n"/>
      <c r="B973" s="2" t="n"/>
      <c r="C973" s="2" t="n"/>
      <c r="D973" s="2" t="n"/>
    </row>
    <row r="974" ht="15.75" customHeight="1" s="82">
      <c r="A974" s="2" t="n"/>
      <c r="B974" s="2" t="n"/>
      <c r="C974" s="2" t="n"/>
      <c r="D974" s="2" t="n"/>
    </row>
    <row r="975" ht="15.75" customHeight="1" s="82">
      <c r="A975" s="2" t="n"/>
      <c r="B975" s="2" t="n"/>
      <c r="C975" s="2" t="n"/>
      <c r="D975" s="2" t="n"/>
    </row>
    <row r="976" ht="15.75" customHeight="1" s="82">
      <c r="A976" s="2" t="n"/>
      <c r="B976" s="2" t="n"/>
      <c r="C976" s="2" t="n"/>
      <c r="D976" s="2" t="n"/>
    </row>
    <row r="977" ht="15.75" customHeight="1" s="82">
      <c r="A977" s="2" t="n"/>
      <c r="B977" s="2" t="n"/>
      <c r="C977" s="2" t="n"/>
      <c r="D977" s="2" t="n"/>
    </row>
    <row r="978" ht="15.75" customHeight="1" s="82">
      <c r="A978" s="2" t="n"/>
      <c r="B978" s="2" t="n"/>
      <c r="C978" s="2" t="n"/>
      <c r="D978" s="2" t="n"/>
    </row>
    <row r="979" ht="15.75" customHeight="1" s="82">
      <c r="A979" s="2" t="n"/>
      <c r="B979" s="2" t="n"/>
      <c r="C979" s="2" t="n"/>
      <c r="D979" s="2" t="n"/>
    </row>
    <row r="980" ht="15.75" customHeight="1" s="82">
      <c r="A980" s="2" t="n"/>
      <c r="B980" s="2" t="n"/>
      <c r="C980" s="2" t="n"/>
      <c r="D980" s="2" t="n"/>
    </row>
    <row r="981" ht="15.75" customHeight="1" s="82">
      <c r="A981" s="2" t="n"/>
      <c r="B981" s="2" t="n"/>
      <c r="C981" s="2" t="n"/>
      <c r="D981" s="2" t="n"/>
    </row>
    <row r="982" ht="15.75" customHeight="1" s="82">
      <c r="A982" s="2" t="n"/>
      <c r="B982" s="2" t="n"/>
      <c r="C982" s="2" t="n"/>
      <c r="D982" s="2" t="n"/>
    </row>
    <row r="983" ht="15.75" customHeight="1" s="82">
      <c r="A983" s="2" t="n"/>
      <c r="B983" s="2" t="n"/>
      <c r="C983" s="2" t="n"/>
      <c r="D983" s="2" t="n"/>
    </row>
    <row r="984" ht="15.75" customHeight="1" s="82">
      <c r="A984" s="2" t="n"/>
      <c r="B984" s="2" t="n"/>
      <c r="C984" s="2" t="n"/>
      <c r="D984" s="2" t="n"/>
    </row>
    <row r="985" ht="15.75" customHeight="1" s="82">
      <c r="A985" s="2" t="n"/>
      <c r="B985" s="2" t="n"/>
      <c r="C985" s="2" t="n"/>
      <c r="D985" s="2" t="n"/>
    </row>
    <row r="986" ht="15.75" customHeight="1" s="82">
      <c r="A986" s="2" t="n"/>
      <c r="B986" s="2" t="n"/>
      <c r="C986" s="2" t="n"/>
      <c r="D986" s="2" t="n"/>
    </row>
    <row r="987" ht="15.75" customHeight="1" s="82">
      <c r="A987" s="2" t="n"/>
      <c r="B987" s="2" t="n"/>
      <c r="C987" s="2" t="n"/>
      <c r="D987" s="2" t="n"/>
    </row>
    <row r="988" ht="15.75" customHeight="1" s="82">
      <c r="A988" s="2" t="n"/>
      <c r="B988" s="2" t="n"/>
      <c r="C988" s="2" t="n"/>
      <c r="D988" s="2" t="n"/>
    </row>
    <row r="989" ht="15.75" customHeight="1" s="82">
      <c r="A989" s="2" t="n"/>
      <c r="B989" s="2" t="n"/>
      <c r="C989" s="2" t="n"/>
      <c r="D989" s="2" t="n"/>
    </row>
    <row r="990" ht="15.75" customHeight="1" s="82">
      <c r="A990" s="2" t="n"/>
      <c r="B990" s="2" t="n"/>
      <c r="C990" s="2" t="n"/>
      <c r="D990" s="2" t="n"/>
    </row>
    <row r="991" ht="15.75" customHeight="1" s="82">
      <c r="A991" s="2" t="n"/>
      <c r="B991" s="2" t="n"/>
      <c r="C991" s="2" t="n"/>
      <c r="D991" s="2" t="n"/>
    </row>
    <row r="992" ht="15.75" customHeight="1" s="82">
      <c r="A992" s="2" t="n"/>
      <c r="B992" s="2" t="n"/>
      <c r="C992" s="2" t="n"/>
      <c r="D992" s="2" t="n"/>
    </row>
    <row r="993" ht="15.75" customHeight="1" s="82">
      <c r="A993" s="2" t="n"/>
      <c r="B993" s="2" t="n"/>
      <c r="C993" s="2" t="n"/>
      <c r="D993" s="2" t="n"/>
    </row>
    <row r="994" ht="15.75" customHeight="1" s="82">
      <c r="A994" s="2" t="n"/>
      <c r="B994" s="2" t="n"/>
      <c r="C994" s="2" t="n"/>
      <c r="D994" s="2" t="n"/>
    </row>
    <row r="995" ht="15.75" customHeight="1" s="82">
      <c r="A995" s="2" t="n"/>
      <c r="B995" s="2" t="n"/>
      <c r="C995" s="2" t="n"/>
      <c r="D995" s="2" t="n"/>
    </row>
    <row r="996" ht="15.75" customHeight="1" s="82">
      <c r="A996" s="2" t="n"/>
      <c r="B996" s="2" t="n"/>
      <c r="C996" s="2" t="n"/>
      <c r="D996" s="2" t="n"/>
    </row>
    <row r="997" ht="15.75" customHeight="1" s="82">
      <c r="A997" s="2" t="n"/>
      <c r="B997" s="2" t="n"/>
      <c r="C997" s="2" t="n"/>
      <c r="D997" s="2" t="n"/>
    </row>
    <row r="998" ht="15.75" customHeight="1" s="82">
      <c r="A998" s="2" t="n"/>
      <c r="B998" s="2" t="n"/>
      <c r="C998" s="2" t="n"/>
      <c r="D998" s="2" t="n"/>
    </row>
    <row r="999" ht="15.75" customHeight="1" s="82">
      <c r="A999" s="2" t="n"/>
      <c r="B999" s="2" t="n"/>
      <c r="C999" s="2" t="n"/>
      <c r="D999" s="2" t="n"/>
    </row>
    <row r="1000" ht="15.75" customHeight="1" s="82">
      <c r="A1000" s="2" t="n"/>
      <c r="B1000" s="2" t="n"/>
      <c r="C1000" s="2" t="n"/>
      <c r="D1000" s="2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1F3864"/>
    <outlinePr summaryBelow="1" summaryRight="1"/>
    <pageSetUpPr/>
  </sheetPr>
  <dimension ref="A1:AJ1000"/>
  <sheetViews>
    <sheetView tabSelected="1" topLeftCell="L1" workbookViewId="0">
      <selection activeCell="AI21" sqref="AI21"/>
    </sheetView>
  </sheetViews>
  <sheetFormatPr baseColWidth="10" defaultColWidth="12.6640625" defaultRowHeight="15" customHeight="1"/>
  <cols>
    <col width="20.83203125" customWidth="1" style="82" min="1" max="1"/>
    <col width="8" customWidth="1" style="82" min="2" max="4"/>
    <col width="7.6640625" customWidth="1" style="82" min="5" max="36"/>
  </cols>
  <sheetData>
    <row r="1" ht="31.5" customHeight="1" s="82">
      <c r="A1" s="56" t="inlineStr">
        <is>
          <t>Expected Capacity Factor (dimensionless)</t>
        </is>
      </c>
      <c r="B1" s="10" t="n">
        <v>2016</v>
      </c>
      <c r="C1" s="38" t="n">
        <v>2017</v>
      </c>
      <c r="D1" s="10" t="n">
        <v>2018</v>
      </c>
      <c r="E1" s="38" t="n">
        <v>2019</v>
      </c>
      <c r="F1" s="10" t="n">
        <v>2020</v>
      </c>
      <c r="G1" s="38" t="n">
        <v>2021</v>
      </c>
      <c r="H1" s="10" t="n">
        <v>2022</v>
      </c>
      <c r="I1" s="38" t="n">
        <v>2023</v>
      </c>
      <c r="J1" s="10" t="n">
        <v>2024</v>
      </c>
      <c r="K1" s="38" t="n">
        <v>2025</v>
      </c>
      <c r="L1" s="10" t="n">
        <v>2026</v>
      </c>
      <c r="M1" s="38" t="n">
        <v>2027</v>
      </c>
      <c r="N1" s="10" t="n">
        <v>2028</v>
      </c>
      <c r="O1" s="38" t="n">
        <v>2029</v>
      </c>
      <c r="P1" s="10" t="n">
        <v>2030</v>
      </c>
      <c r="Q1" s="38" t="n">
        <v>2031</v>
      </c>
      <c r="R1" s="10" t="n">
        <v>2032</v>
      </c>
      <c r="S1" s="38" t="n">
        <v>2033</v>
      </c>
      <c r="T1" s="10" t="n">
        <v>2034</v>
      </c>
      <c r="U1" s="38" t="n">
        <v>2035</v>
      </c>
      <c r="V1" s="10" t="n">
        <v>2036</v>
      </c>
      <c r="W1" s="38" t="n">
        <v>2037</v>
      </c>
      <c r="X1" s="10" t="n">
        <v>2038</v>
      </c>
      <c r="Y1" s="38" t="n">
        <v>2039</v>
      </c>
      <c r="Z1" s="10" t="n">
        <v>2040</v>
      </c>
      <c r="AA1" s="38" t="n">
        <v>2041</v>
      </c>
      <c r="AB1" s="10" t="n">
        <v>2042</v>
      </c>
      <c r="AC1" s="38" t="n">
        <v>2043</v>
      </c>
      <c r="AD1" s="10" t="n">
        <v>2044</v>
      </c>
      <c r="AE1" s="38" t="n">
        <v>2045</v>
      </c>
      <c r="AF1" s="10" t="n">
        <v>2046</v>
      </c>
      <c r="AG1" s="38" t="n">
        <v>2047</v>
      </c>
      <c r="AH1" s="10" t="n">
        <v>2048</v>
      </c>
      <c r="AI1" s="38" t="n">
        <v>2049</v>
      </c>
      <c r="AJ1" s="10" t="n">
        <v>2050</v>
      </c>
    </row>
    <row r="2" ht="14.5" customHeight="1" s="82">
      <c r="A2" s="10" t="inlineStr">
        <is>
          <t>hard coal</t>
        </is>
      </c>
      <c r="B2" s="57">
        <f>'BECF-pre-ret'!B2*1.1</f>
        <v/>
      </c>
      <c r="C2" s="57">
        <f>$B2</f>
        <v/>
      </c>
      <c r="D2" s="57">
        <f>$B2</f>
        <v/>
      </c>
      <c r="E2" s="57">
        <f>$B2</f>
        <v/>
      </c>
      <c r="F2" s="57">
        <f>$B2</f>
        <v/>
      </c>
      <c r="G2" s="57">
        <f>$B2</f>
        <v/>
      </c>
      <c r="H2" s="57">
        <f>$B2</f>
        <v/>
      </c>
      <c r="I2" s="57">
        <f>$B2</f>
        <v/>
      </c>
      <c r="J2" s="57">
        <f>$B2</f>
        <v/>
      </c>
      <c r="K2" s="57">
        <f>$B2</f>
        <v/>
      </c>
      <c r="L2" s="57">
        <f>$B2</f>
        <v/>
      </c>
      <c r="M2" s="57">
        <f>$B2</f>
        <v/>
      </c>
      <c r="N2" s="57">
        <f>$B2</f>
        <v/>
      </c>
      <c r="O2" s="57">
        <f>$B2</f>
        <v/>
      </c>
      <c r="P2" s="57">
        <f>$B2</f>
        <v/>
      </c>
      <c r="Q2" s="57">
        <f>$B2</f>
        <v/>
      </c>
      <c r="R2" s="57">
        <f>$B2</f>
        <v/>
      </c>
      <c r="S2" s="57">
        <f>$B2</f>
        <v/>
      </c>
      <c r="T2" s="57">
        <f>$B2</f>
        <v/>
      </c>
      <c r="U2" s="57">
        <f>$B2</f>
        <v/>
      </c>
      <c r="V2" s="57">
        <f>$B2</f>
        <v/>
      </c>
      <c r="W2" s="57">
        <f>$B2</f>
        <v/>
      </c>
      <c r="X2" s="57">
        <f>$B2</f>
        <v/>
      </c>
      <c r="Y2" s="57">
        <f>$B2</f>
        <v/>
      </c>
      <c r="Z2" s="57">
        <f>$B2</f>
        <v/>
      </c>
      <c r="AA2" s="57">
        <f>$B2</f>
        <v/>
      </c>
      <c r="AB2" s="57">
        <f>$B2</f>
        <v/>
      </c>
      <c r="AC2" s="57">
        <f>$B2</f>
        <v/>
      </c>
      <c r="AD2" s="57">
        <f>$B2</f>
        <v/>
      </c>
      <c r="AE2" s="57">
        <f>$B2</f>
        <v/>
      </c>
      <c r="AF2" s="57">
        <f>$B2</f>
        <v/>
      </c>
      <c r="AG2" s="57">
        <f>$B2</f>
        <v/>
      </c>
      <c r="AH2" s="57">
        <f>$B2</f>
        <v/>
      </c>
      <c r="AI2" s="57">
        <f>$B2</f>
        <v/>
      </c>
      <c r="AJ2" s="57">
        <f>$B2</f>
        <v/>
      </c>
    </row>
    <row r="3" ht="14.5" customHeight="1" s="82">
      <c r="A3" s="10" t="inlineStr">
        <is>
          <t>natural gas nonpeaker</t>
        </is>
      </c>
      <c r="B3" s="57">
        <f>'BECF-pre-ret'!B3*1.1</f>
        <v/>
      </c>
      <c r="C3" s="57">
        <f>$B3</f>
        <v/>
      </c>
      <c r="D3" s="57">
        <f>$B3</f>
        <v/>
      </c>
      <c r="E3" s="57">
        <f>$B3</f>
        <v/>
      </c>
      <c r="F3" s="57">
        <f>$B3</f>
        <v/>
      </c>
      <c r="G3" s="57">
        <f>$B3</f>
        <v/>
      </c>
      <c r="H3" s="57">
        <f>$B3</f>
        <v/>
      </c>
      <c r="I3" s="57">
        <f>$B3</f>
        <v/>
      </c>
      <c r="J3" s="57">
        <f>$B3</f>
        <v/>
      </c>
      <c r="K3" s="57">
        <f>$B3</f>
        <v/>
      </c>
      <c r="L3" s="57">
        <f>$B3</f>
        <v/>
      </c>
      <c r="M3" s="57">
        <f>$B3</f>
        <v/>
      </c>
      <c r="N3" s="57">
        <f>$B3</f>
        <v/>
      </c>
      <c r="O3" s="57">
        <f>$B3</f>
        <v/>
      </c>
      <c r="P3" s="57">
        <f>$B3</f>
        <v/>
      </c>
      <c r="Q3" s="57">
        <f>$B3</f>
        <v/>
      </c>
      <c r="R3" s="57">
        <f>$B3</f>
        <v/>
      </c>
      <c r="S3" s="57">
        <f>$B3</f>
        <v/>
      </c>
      <c r="T3" s="57">
        <f>$B3</f>
        <v/>
      </c>
      <c r="U3" s="57">
        <f>$B3</f>
        <v/>
      </c>
      <c r="V3" s="57">
        <f>$B3</f>
        <v/>
      </c>
      <c r="W3" s="57">
        <f>$B3</f>
        <v/>
      </c>
      <c r="X3" s="57">
        <f>$B3</f>
        <v/>
      </c>
      <c r="Y3" s="57">
        <f>$B3</f>
        <v/>
      </c>
      <c r="Z3" s="57">
        <f>$B3</f>
        <v/>
      </c>
      <c r="AA3" s="57">
        <f>$B3</f>
        <v/>
      </c>
      <c r="AB3" s="57">
        <f>$B3</f>
        <v/>
      </c>
      <c r="AC3" s="57">
        <f>$B3</f>
        <v/>
      </c>
      <c r="AD3" s="57">
        <f>$B3</f>
        <v/>
      </c>
      <c r="AE3" s="57">
        <f>$B3</f>
        <v/>
      </c>
      <c r="AF3" s="57">
        <f>$B3</f>
        <v/>
      </c>
      <c r="AG3" s="57">
        <f>$B3</f>
        <v/>
      </c>
      <c r="AH3" s="57">
        <f>$B3</f>
        <v/>
      </c>
      <c r="AI3" s="57">
        <f>$B3</f>
        <v/>
      </c>
      <c r="AJ3" s="57">
        <f>$B3</f>
        <v/>
      </c>
    </row>
    <row r="4" ht="14.5" customHeight="1" s="82">
      <c r="A4" s="10" t="inlineStr">
        <is>
          <t>nuclear</t>
        </is>
      </c>
      <c r="B4" s="57">
        <f>'BECF-pre-ret'!B4</f>
        <v/>
      </c>
      <c r="C4" s="57">
        <f>$B4</f>
        <v/>
      </c>
      <c r="D4" s="57">
        <f>$B4</f>
        <v/>
      </c>
      <c r="E4" s="57">
        <f>$B4</f>
        <v/>
      </c>
      <c r="F4" s="57">
        <f>$B4</f>
        <v/>
      </c>
      <c r="G4" s="57">
        <f>$B4</f>
        <v/>
      </c>
      <c r="H4" s="57">
        <f>$B4</f>
        <v/>
      </c>
      <c r="I4" s="57">
        <f>$B4</f>
        <v/>
      </c>
      <c r="J4" s="57">
        <f>$B4</f>
        <v/>
      </c>
      <c r="K4" s="57">
        <f>$B4</f>
        <v/>
      </c>
      <c r="L4" s="57">
        <f>$B4</f>
        <v/>
      </c>
      <c r="M4" s="57">
        <f>$B4</f>
        <v/>
      </c>
      <c r="N4" s="57">
        <f>$B4</f>
        <v/>
      </c>
      <c r="O4" s="57">
        <f>$B4</f>
        <v/>
      </c>
      <c r="P4" s="57">
        <f>$B4</f>
        <v/>
      </c>
      <c r="Q4" s="57">
        <f>$B4</f>
        <v/>
      </c>
      <c r="R4" s="57">
        <f>$B4</f>
        <v/>
      </c>
      <c r="S4" s="57">
        <f>$B4</f>
        <v/>
      </c>
      <c r="T4" s="57">
        <f>$B4</f>
        <v/>
      </c>
      <c r="U4" s="57">
        <f>$B4</f>
        <v/>
      </c>
      <c r="V4" s="57">
        <f>$B4</f>
        <v/>
      </c>
      <c r="W4" s="57">
        <f>$B4</f>
        <v/>
      </c>
      <c r="X4" s="57">
        <f>$B4</f>
        <v/>
      </c>
      <c r="Y4" s="57">
        <f>$B4</f>
        <v/>
      </c>
      <c r="Z4" s="57">
        <f>$B4</f>
        <v/>
      </c>
      <c r="AA4" s="57">
        <f>$B4</f>
        <v/>
      </c>
      <c r="AB4" s="57">
        <f>$B4</f>
        <v/>
      </c>
      <c r="AC4" s="57">
        <f>$B4</f>
        <v/>
      </c>
      <c r="AD4" s="57">
        <f>$B4</f>
        <v/>
      </c>
      <c r="AE4" s="57">
        <f>$B4</f>
        <v/>
      </c>
      <c r="AF4" s="57">
        <f>$B4</f>
        <v/>
      </c>
      <c r="AG4" s="57">
        <f>$B4</f>
        <v/>
      </c>
      <c r="AH4" s="57">
        <f>$B4</f>
        <v/>
      </c>
      <c r="AI4" s="57">
        <f>$B4</f>
        <v/>
      </c>
      <c r="AJ4" s="57">
        <f>$B4</f>
        <v/>
      </c>
    </row>
    <row r="5" ht="14.5" customHeight="1" s="82">
      <c r="A5" s="10" t="inlineStr">
        <is>
          <t>hydro</t>
        </is>
      </c>
      <c r="B5" s="57">
        <f>'BECF-pre-ret'!B5*1.1</f>
        <v/>
      </c>
      <c r="C5" s="57">
        <f>$B5</f>
        <v/>
      </c>
      <c r="D5" s="57">
        <f>$B5</f>
        <v/>
      </c>
      <c r="E5" s="57">
        <f>$B5</f>
        <v/>
      </c>
      <c r="F5" s="57">
        <f>$B5</f>
        <v/>
      </c>
      <c r="G5" s="57">
        <f>$B5</f>
        <v/>
      </c>
      <c r="H5" s="57">
        <f>$B5</f>
        <v/>
      </c>
      <c r="I5" s="57">
        <f>$B5</f>
        <v/>
      </c>
      <c r="J5" s="57">
        <f>$B5</f>
        <v/>
      </c>
      <c r="K5" s="57">
        <f>$B5</f>
        <v/>
      </c>
      <c r="L5" s="57">
        <f>$B5</f>
        <v/>
      </c>
      <c r="M5" s="57">
        <f>$B5</f>
        <v/>
      </c>
      <c r="N5" s="57">
        <f>$B5</f>
        <v/>
      </c>
      <c r="O5" s="57">
        <f>$B5</f>
        <v/>
      </c>
      <c r="P5" s="57">
        <f>$B5</f>
        <v/>
      </c>
      <c r="Q5" s="57">
        <f>$B5</f>
        <v/>
      </c>
      <c r="R5" s="57">
        <f>$B5</f>
        <v/>
      </c>
      <c r="S5" s="57">
        <f>$B5</f>
        <v/>
      </c>
      <c r="T5" s="57">
        <f>$B5</f>
        <v/>
      </c>
      <c r="U5" s="57">
        <f>$B5</f>
        <v/>
      </c>
      <c r="V5" s="57">
        <f>$B5</f>
        <v/>
      </c>
      <c r="W5" s="57">
        <f>$B5</f>
        <v/>
      </c>
      <c r="X5" s="57">
        <f>$B5</f>
        <v/>
      </c>
      <c r="Y5" s="57">
        <f>$B5</f>
        <v/>
      </c>
      <c r="Z5" s="57">
        <f>$B5</f>
        <v/>
      </c>
      <c r="AA5" s="57">
        <f>$B5</f>
        <v/>
      </c>
      <c r="AB5" s="57">
        <f>$B5</f>
        <v/>
      </c>
      <c r="AC5" s="57">
        <f>$B5</f>
        <v/>
      </c>
      <c r="AD5" s="57">
        <f>$B5</f>
        <v/>
      </c>
      <c r="AE5" s="57">
        <f>$B5</f>
        <v/>
      </c>
      <c r="AF5" s="57">
        <f>$B5</f>
        <v/>
      </c>
      <c r="AG5" s="57">
        <f>$B5</f>
        <v/>
      </c>
      <c r="AH5" s="57">
        <f>$B5</f>
        <v/>
      </c>
      <c r="AI5" s="57">
        <f>$B5</f>
        <v/>
      </c>
      <c r="AJ5" s="57">
        <f>$B5</f>
        <v/>
      </c>
    </row>
    <row r="6" ht="14.5" customHeight="1" s="82">
      <c r="A6" s="10" t="inlineStr">
        <is>
          <t>onshore wind</t>
        </is>
      </c>
      <c r="B6" s="57">
        <f>C6</f>
        <v/>
      </c>
      <c r="C6" s="57">
        <f>D6</f>
        <v/>
      </c>
      <c r="D6" s="57">
        <f>E6</f>
        <v/>
      </c>
      <c r="E6" s="74">
        <f>'Gridlab Cap Factors'!C14</f>
        <v/>
      </c>
      <c r="F6" s="74">
        <f>'Gridlab Cap Factors'!D14</f>
        <v/>
      </c>
      <c r="G6" s="74">
        <f>'Gridlab Cap Factors'!E14</f>
        <v/>
      </c>
      <c r="H6" s="74">
        <f>'Gridlab Cap Factors'!F14</f>
        <v/>
      </c>
      <c r="I6" s="74">
        <f>'Gridlab Cap Factors'!G14</f>
        <v/>
      </c>
      <c r="J6" s="74">
        <f>'Gridlab Cap Factors'!H14</f>
        <v/>
      </c>
      <c r="K6" s="74">
        <f>'Gridlab Cap Factors'!I14</f>
        <v/>
      </c>
      <c r="L6" s="74">
        <f>'Gridlab Cap Factors'!J14</f>
        <v/>
      </c>
      <c r="M6" s="74">
        <f>'Gridlab Cap Factors'!K14</f>
        <v/>
      </c>
      <c r="N6" s="74">
        <f>'Gridlab Cap Factors'!L14</f>
        <v/>
      </c>
      <c r="O6" s="74">
        <f>'Gridlab Cap Factors'!M14</f>
        <v/>
      </c>
      <c r="P6" s="74">
        <f>'Gridlab Cap Factors'!N14</f>
        <v/>
      </c>
      <c r="Q6" s="74">
        <f>'Gridlab Cap Factors'!O14</f>
        <v/>
      </c>
      <c r="R6" s="74">
        <f>'Gridlab Cap Factors'!P14</f>
        <v/>
      </c>
      <c r="S6" s="74">
        <f>'Gridlab Cap Factors'!Q14</f>
        <v/>
      </c>
      <c r="T6" s="74">
        <f>'Gridlab Cap Factors'!R14</f>
        <v/>
      </c>
      <c r="U6" s="74">
        <f>'Gridlab Cap Factors'!S14</f>
        <v/>
      </c>
      <c r="V6" s="74">
        <f>'Gridlab Cap Factors'!T14</f>
        <v/>
      </c>
      <c r="W6" s="74">
        <f>'Gridlab Cap Factors'!U14</f>
        <v/>
      </c>
      <c r="X6" s="74">
        <f>'Gridlab Cap Factors'!V14</f>
        <v/>
      </c>
      <c r="Y6" s="74">
        <f>'Gridlab Cap Factors'!W14</f>
        <v/>
      </c>
      <c r="Z6" s="74">
        <f>'Gridlab Cap Factors'!X14</f>
        <v/>
      </c>
      <c r="AA6" s="74">
        <f>'Gridlab Cap Factors'!Y14</f>
        <v/>
      </c>
      <c r="AB6" s="74">
        <f>'Gridlab Cap Factors'!Z14</f>
        <v/>
      </c>
      <c r="AC6" s="74">
        <f>'Gridlab Cap Factors'!AA14</f>
        <v/>
      </c>
      <c r="AD6" s="74">
        <f>'Gridlab Cap Factors'!AB14</f>
        <v/>
      </c>
      <c r="AE6" s="74">
        <f>'Gridlab Cap Factors'!AC14</f>
        <v/>
      </c>
      <c r="AF6" s="74">
        <f>'Gridlab Cap Factors'!AD14</f>
        <v/>
      </c>
      <c r="AG6" s="74">
        <f>'Gridlab Cap Factors'!AE14</f>
        <v/>
      </c>
      <c r="AH6" s="74">
        <f>'Gridlab Cap Factors'!AF14</f>
        <v/>
      </c>
      <c r="AI6" s="74">
        <f>'Gridlab Cap Factors'!AG14</f>
        <v/>
      </c>
      <c r="AJ6" s="74">
        <f>'Gridlab Cap Factors'!AH14</f>
        <v/>
      </c>
    </row>
    <row r="7" ht="14.5" customHeight="1" s="82">
      <c r="A7" s="10" t="inlineStr">
        <is>
          <t>solar PV</t>
        </is>
      </c>
      <c r="B7" s="57">
        <f>C7</f>
        <v/>
      </c>
      <c r="C7" s="57">
        <f>D7</f>
        <v/>
      </c>
      <c r="D7" s="57">
        <f>E7</f>
        <v/>
      </c>
      <c r="E7" s="74">
        <f>'Gridlab Cap Factors'!C12</f>
        <v/>
      </c>
      <c r="F7" s="74">
        <f>'Gridlab Cap Factors'!D12</f>
        <v/>
      </c>
      <c r="G7" s="74">
        <f>'Gridlab Cap Factors'!E12</f>
        <v/>
      </c>
      <c r="H7" s="74">
        <f>'Gridlab Cap Factors'!F12</f>
        <v/>
      </c>
      <c r="I7" s="74">
        <f>'Gridlab Cap Factors'!G12</f>
        <v/>
      </c>
      <c r="J7" s="74">
        <f>'Gridlab Cap Factors'!H12</f>
        <v/>
      </c>
      <c r="K7" s="74">
        <f>'Gridlab Cap Factors'!I12</f>
        <v/>
      </c>
      <c r="L7" s="74">
        <f>'Gridlab Cap Factors'!J12</f>
        <v/>
      </c>
      <c r="M7" s="74">
        <f>'Gridlab Cap Factors'!K12</f>
        <v/>
      </c>
      <c r="N7" s="74">
        <f>'Gridlab Cap Factors'!L12</f>
        <v/>
      </c>
      <c r="O7" s="74">
        <f>'Gridlab Cap Factors'!M12</f>
        <v/>
      </c>
      <c r="P7" s="74">
        <f>'Gridlab Cap Factors'!N12</f>
        <v/>
      </c>
      <c r="Q7" s="74">
        <f>'Gridlab Cap Factors'!O12</f>
        <v/>
      </c>
      <c r="R7" s="74">
        <f>'Gridlab Cap Factors'!P12</f>
        <v/>
      </c>
      <c r="S7" s="74">
        <f>'Gridlab Cap Factors'!Q12</f>
        <v/>
      </c>
      <c r="T7" s="74">
        <f>'Gridlab Cap Factors'!R12</f>
        <v/>
      </c>
      <c r="U7" s="74">
        <f>'Gridlab Cap Factors'!S12</f>
        <v/>
      </c>
      <c r="V7" s="74">
        <f>'Gridlab Cap Factors'!T12</f>
        <v/>
      </c>
      <c r="W7" s="74">
        <f>'Gridlab Cap Factors'!U12</f>
        <v/>
      </c>
      <c r="X7" s="74">
        <f>'Gridlab Cap Factors'!V12</f>
        <v/>
      </c>
      <c r="Y7" s="74">
        <f>'Gridlab Cap Factors'!W12</f>
        <v/>
      </c>
      <c r="Z7" s="74">
        <f>'Gridlab Cap Factors'!X12</f>
        <v/>
      </c>
      <c r="AA7" s="74">
        <f>'Gridlab Cap Factors'!Y12</f>
        <v/>
      </c>
      <c r="AB7" s="74">
        <f>'Gridlab Cap Factors'!Z12</f>
        <v/>
      </c>
      <c r="AC7" s="74">
        <f>'Gridlab Cap Factors'!AA12</f>
        <v/>
      </c>
      <c r="AD7" s="74">
        <f>'Gridlab Cap Factors'!AB12</f>
        <v/>
      </c>
      <c r="AE7" s="74">
        <f>'Gridlab Cap Factors'!AC12</f>
        <v/>
      </c>
      <c r="AF7" s="74">
        <f>'Gridlab Cap Factors'!AD12</f>
        <v/>
      </c>
      <c r="AG7" s="74">
        <f>'Gridlab Cap Factors'!AE12</f>
        <v/>
      </c>
      <c r="AH7" s="74">
        <f>'Gridlab Cap Factors'!AF12</f>
        <v/>
      </c>
      <c r="AI7" s="74">
        <f>'Gridlab Cap Factors'!AG12</f>
        <v/>
      </c>
      <c r="AJ7" s="74">
        <f>'Gridlab Cap Factors'!AH12</f>
        <v/>
      </c>
    </row>
    <row r="8" ht="14.5" customHeight="1" s="82">
      <c r="A8" s="10" t="inlineStr">
        <is>
          <t>solar thermal</t>
        </is>
      </c>
      <c r="B8" s="57">
        <f>D8</f>
        <v/>
      </c>
      <c r="C8" s="57">
        <f>E8</f>
        <v/>
      </c>
      <c r="D8" s="57">
        <f>'NREL ATB'!B28</f>
        <v/>
      </c>
      <c r="E8" s="57">
        <f>'NREL ATB'!C28</f>
        <v/>
      </c>
      <c r="F8" s="57">
        <f>'NREL ATB'!D28</f>
        <v/>
      </c>
      <c r="G8" s="57">
        <f>'NREL ATB'!E28</f>
        <v/>
      </c>
      <c r="H8" s="57">
        <f>'NREL ATB'!F28</f>
        <v/>
      </c>
      <c r="I8" s="57">
        <f>'NREL ATB'!G28</f>
        <v/>
      </c>
      <c r="J8" s="57">
        <f>'NREL ATB'!H28</f>
        <v/>
      </c>
      <c r="K8" s="57">
        <f>'NREL ATB'!I28</f>
        <v/>
      </c>
      <c r="L8" s="57">
        <f>'NREL ATB'!J28</f>
        <v/>
      </c>
      <c r="M8" s="57">
        <f>'NREL ATB'!K28</f>
        <v/>
      </c>
      <c r="N8" s="57">
        <f>'NREL ATB'!L28</f>
        <v/>
      </c>
      <c r="O8" s="57">
        <f>'NREL ATB'!M28</f>
        <v/>
      </c>
      <c r="P8" s="57">
        <f>'NREL ATB'!N28</f>
        <v/>
      </c>
      <c r="Q8" s="57">
        <f>'NREL ATB'!O28</f>
        <v/>
      </c>
      <c r="R8" s="57">
        <f>'NREL ATB'!P28</f>
        <v/>
      </c>
      <c r="S8" s="57">
        <f>'NREL ATB'!Q28</f>
        <v/>
      </c>
      <c r="T8" s="57">
        <f>'NREL ATB'!R28</f>
        <v/>
      </c>
      <c r="U8" s="57">
        <f>'NREL ATB'!S28</f>
        <v/>
      </c>
      <c r="V8" s="57">
        <f>'NREL ATB'!T28</f>
        <v/>
      </c>
      <c r="W8" s="57">
        <f>'NREL ATB'!U28</f>
        <v/>
      </c>
      <c r="X8" s="57">
        <f>'NREL ATB'!V28</f>
        <v/>
      </c>
      <c r="Y8" s="57">
        <f>'NREL ATB'!W28</f>
        <v/>
      </c>
      <c r="Z8" s="57">
        <f>'NREL ATB'!X28</f>
        <v/>
      </c>
      <c r="AA8" s="57">
        <f>'NREL ATB'!Y28</f>
        <v/>
      </c>
      <c r="AB8" s="57">
        <f>'NREL ATB'!Z28</f>
        <v/>
      </c>
      <c r="AC8" s="57">
        <f>'NREL ATB'!AA28</f>
        <v/>
      </c>
      <c r="AD8" s="57">
        <f>'NREL ATB'!AB28</f>
        <v/>
      </c>
      <c r="AE8" s="57">
        <f>'NREL ATB'!AC28</f>
        <v/>
      </c>
      <c r="AF8" s="57">
        <f>'NREL ATB'!AD28</f>
        <v/>
      </c>
      <c r="AG8" s="57">
        <f>'NREL ATB'!AE28</f>
        <v/>
      </c>
      <c r="AH8" s="57">
        <f>'NREL ATB'!AF28</f>
        <v/>
      </c>
      <c r="AI8" s="57">
        <f>'NREL ATB'!AG28</f>
        <v/>
      </c>
      <c r="AJ8" s="57">
        <f>'NREL ATB'!AH28</f>
        <v/>
      </c>
    </row>
    <row r="9" ht="14.5" customHeight="1" s="82">
      <c r="A9" s="10" t="inlineStr">
        <is>
          <t>biomass</t>
        </is>
      </c>
      <c r="B9" s="57">
        <f>'BECF-pre-ret'!B9*1.1</f>
        <v/>
      </c>
      <c r="C9" s="57">
        <f>$B9</f>
        <v/>
      </c>
      <c r="D9" s="57">
        <f>$B9</f>
        <v/>
      </c>
      <c r="E9" s="57">
        <f>$B9</f>
        <v/>
      </c>
      <c r="F9" s="57">
        <f>$B9</f>
        <v/>
      </c>
      <c r="G9" s="57">
        <f>$B9</f>
        <v/>
      </c>
      <c r="H9" s="57">
        <f>$B9</f>
        <v/>
      </c>
      <c r="I9" s="57">
        <f>$B9</f>
        <v/>
      </c>
      <c r="J9" s="57">
        <f>$B9</f>
        <v/>
      </c>
      <c r="K9" s="57">
        <f>$B9</f>
        <v/>
      </c>
      <c r="L9" s="57">
        <f>$B9</f>
        <v/>
      </c>
      <c r="M9" s="57">
        <f>$B9</f>
        <v/>
      </c>
      <c r="N9" s="57">
        <f>$B9</f>
        <v/>
      </c>
      <c r="O9" s="57">
        <f>$B9</f>
        <v/>
      </c>
      <c r="P9" s="57">
        <f>$B9</f>
        <v/>
      </c>
      <c r="Q9" s="57">
        <f>$B9</f>
        <v/>
      </c>
      <c r="R9" s="57">
        <f>$B9</f>
        <v/>
      </c>
      <c r="S9" s="57">
        <f>$B9</f>
        <v/>
      </c>
      <c r="T9" s="57">
        <f>$B9</f>
        <v/>
      </c>
      <c r="U9" s="57">
        <f>$B9</f>
        <v/>
      </c>
      <c r="V9" s="57">
        <f>$B9</f>
        <v/>
      </c>
      <c r="W9" s="57">
        <f>$B9</f>
        <v/>
      </c>
      <c r="X9" s="57">
        <f>$B9</f>
        <v/>
      </c>
      <c r="Y9" s="57">
        <f>$B9</f>
        <v/>
      </c>
      <c r="Z9" s="57">
        <f>$B9</f>
        <v/>
      </c>
      <c r="AA9" s="57">
        <f>$B9</f>
        <v/>
      </c>
      <c r="AB9" s="57">
        <f>$B9</f>
        <v/>
      </c>
      <c r="AC9" s="57">
        <f>$B9</f>
        <v/>
      </c>
      <c r="AD9" s="57">
        <f>$B9</f>
        <v/>
      </c>
      <c r="AE9" s="57">
        <f>$B9</f>
        <v/>
      </c>
      <c r="AF9" s="57">
        <f>$B9</f>
        <v/>
      </c>
      <c r="AG9" s="57">
        <f>$B9</f>
        <v/>
      </c>
      <c r="AH9" s="57">
        <f>$B9</f>
        <v/>
      </c>
      <c r="AI9" s="57">
        <f>$B9</f>
        <v/>
      </c>
      <c r="AJ9" s="57">
        <f>$B9</f>
        <v/>
      </c>
    </row>
    <row r="10" ht="14.5" customHeight="1" s="82">
      <c r="A10" s="10" t="inlineStr">
        <is>
          <t>geothermal</t>
        </is>
      </c>
      <c r="B10" s="57">
        <f>'BECF-pre-ret'!B10*1.1</f>
        <v/>
      </c>
      <c r="C10" s="57">
        <f>$B10</f>
        <v/>
      </c>
      <c r="D10" s="57">
        <f>$B10</f>
        <v/>
      </c>
      <c r="E10" s="57">
        <f>$B10</f>
        <v/>
      </c>
      <c r="F10" s="57">
        <f>$B10</f>
        <v/>
      </c>
      <c r="G10" s="57">
        <f>$B10</f>
        <v/>
      </c>
      <c r="H10" s="57">
        <f>$B10</f>
        <v/>
      </c>
      <c r="I10" s="57">
        <f>$B10</f>
        <v/>
      </c>
      <c r="J10" s="57">
        <f>$B10</f>
        <v/>
      </c>
      <c r="K10" s="57">
        <f>$B10</f>
        <v/>
      </c>
      <c r="L10" s="57">
        <f>$B10</f>
        <v/>
      </c>
      <c r="M10" s="57">
        <f>$B10</f>
        <v/>
      </c>
      <c r="N10" s="57">
        <f>$B10</f>
        <v/>
      </c>
      <c r="O10" s="57">
        <f>$B10</f>
        <v/>
      </c>
      <c r="P10" s="57">
        <f>$B10</f>
        <v/>
      </c>
      <c r="Q10" s="57">
        <f>$B10</f>
        <v/>
      </c>
      <c r="R10" s="57">
        <f>$B10</f>
        <v/>
      </c>
      <c r="S10" s="57">
        <f>$B10</f>
        <v/>
      </c>
      <c r="T10" s="57">
        <f>$B10</f>
        <v/>
      </c>
      <c r="U10" s="57">
        <f>$B10</f>
        <v/>
      </c>
      <c r="V10" s="57">
        <f>$B10</f>
        <v/>
      </c>
      <c r="W10" s="57">
        <f>$B10</f>
        <v/>
      </c>
      <c r="X10" s="57">
        <f>$B10</f>
        <v/>
      </c>
      <c r="Y10" s="57">
        <f>$B10</f>
        <v/>
      </c>
      <c r="Z10" s="57">
        <f>$B10</f>
        <v/>
      </c>
      <c r="AA10" s="57">
        <f>$B10</f>
        <v/>
      </c>
      <c r="AB10" s="57">
        <f>$B10</f>
        <v/>
      </c>
      <c r="AC10" s="57">
        <f>$B10</f>
        <v/>
      </c>
      <c r="AD10" s="57">
        <f>$B10</f>
        <v/>
      </c>
      <c r="AE10" s="57">
        <f>$B10</f>
        <v/>
      </c>
      <c r="AF10" s="57">
        <f>$B10</f>
        <v/>
      </c>
      <c r="AG10" s="57">
        <f>$B10</f>
        <v/>
      </c>
      <c r="AH10" s="57">
        <f>$B10</f>
        <v/>
      </c>
      <c r="AI10" s="57">
        <f>$B10</f>
        <v/>
      </c>
      <c r="AJ10" s="57">
        <f>$B10</f>
        <v/>
      </c>
    </row>
    <row r="11" ht="14.5" customHeight="1" s="82">
      <c r="A11" s="10" t="inlineStr">
        <is>
          <t>petroleum</t>
        </is>
      </c>
      <c r="B11" s="57">
        <f>'BECF-pre-ret'!B11*1.1</f>
        <v/>
      </c>
      <c r="C11" s="57">
        <f>$B11</f>
        <v/>
      </c>
      <c r="D11" s="57">
        <f>$B11</f>
        <v/>
      </c>
      <c r="E11" s="57">
        <f>$B11</f>
        <v/>
      </c>
      <c r="F11" s="57">
        <f>$B11</f>
        <v/>
      </c>
      <c r="G11" s="57">
        <f>$B11</f>
        <v/>
      </c>
      <c r="H11" s="57">
        <f>$B11</f>
        <v/>
      </c>
      <c r="I11" s="57">
        <f>$B11</f>
        <v/>
      </c>
      <c r="J11" s="57">
        <f>$B11</f>
        <v/>
      </c>
      <c r="K11" s="57">
        <f>$B11</f>
        <v/>
      </c>
      <c r="L11" s="57">
        <f>$B11</f>
        <v/>
      </c>
      <c r="M11" s="57">
        <f>$B11</f>
        <v/>
      </c>
      <c r="N11" s="57">
        <f>$B11</f>
        <v/>
      </c>
      <c r="O11" s="57">
        <f>$B11</f>
        <v/>
      </c>
      <c r="P11" s="57">
        <f>$B11</f>
        <v/>
      </c>
      <c r="Q11" s="57">
        <f>$B11</f>
        <v/>
      </c>
      <c r="R11" s="57">
        <f>$B11</f>
        <v/>
      </c>
      <c r="S11" s="57">
        <f>$B11</f>
        <v/>
      </c>
      <c r="T11" s="57">
        <f>$B11</f>
        <v/>
      </c>
      <c r="U11" s="57">
        <f>$B11</f>
        <v/>
      </c>
      <c r="V11" s="57">
        <f>$B11</f>
        <v/>
      </c>
      <c r="W11" s="57">
        <f>$B11</f>
        <v/>
      </c>
      <c r="X11" s="57">
        <f>$B11</f>
        <v/>
      </c>
      <c r="Y11" s="57">
        <f>$B11</f>
        <v/>
      </c>
      <c r="Z11" s="57">
        <f>$B11</f>
        <v/>
      </c>
      <c r="AA11" s="57">
        <f>$B11</f>
        <v/>
      </c>
      <c r="AB11" s="57">
        <f>$B11</f>
        <v/>
      </c>
      <c r="AC11" s="57">
        <f>$B11</f>
        <v/>
      </c>
      <c r="AD11" s="57">
        <f>$B11</f>
        <v/>
      </c>
      <c r="AE11" s="57">
        <f>$B11</f>
        <v/>
      </c>
      <c r="AF11" s="57">
        <f>$B11</f>
        <v/>
      </c>
      <c r="AG11" s="57">
        <f>$B11</f>
        <v/>
      </c>
      <c r="AH11" s="57">
        <f>$B11</f>
        <v/>
      </c>
      <c r="AI11" s="57">
        <f>$B11</f>
        <v/>
      </c>
      <c r="AJ11" s="57">
        <f>$B11</f>
        <v/>
      </c>
    </row>
    <row r="12" ht="14.5" customHeight="1" s="82">
      <c r="A12" s="10" t="inlineStr">
        <is>
          <t>natural gas peaker</t>
        </is>
      </c>
      <c r="B12" s="57">
        <f>'BECF-pre-ret'!B12*1.1</f>
        <v/>
      </c>
      <c r="C12" s="57">
        <f>$B12</f>
        <v/>
      </c>
      <c r="D12" s="57">
        <f>$B12</f>
        <v/>
      </c>
      <c r="E12" s="57">
        <f>$B12</f>
        <v/>
      </c>
      <c r="F12" s="57">
        <f>$B12</f>
        <v/>
      </c>
      <c r="G12" s="57">
        <f>$B12</f>
        <v/>
      </c>
      <c r="H12" s="57">
        <f>$B12</f>
        <v/>
      </c>
      <c r="I12" s="57">
        <f>$B12</f>
        <v/>
      </c>
      <c r="J12" s="57">
        <f>$B12</f>
        <v/>
      </c>
      <c r="K12" s="57">
        <f>$B12</f>
        <v/>
      </c>
      <c r="L12" s="57">
        <f>$B12</f>
        <v/>
      </c>
      <c r="M12" s="57">
        <f>$B12</f>
        <v/>
      </c>
      <c r="N12" s="57">
        <f>$B12</f>
        <v/>
      </c>
      <c r="O12" s="57">
        <f>$B12</f>
        <v/>
      </c>
      <c r="P12" s="57">
        <f>$B12</f>
        <v/>
      </c>
      <c r="Q12" s="57">
        <f>$B12</f>
        <v/>
      </c>
      <c r="R12" s="57">
        <f>$B12</f>
        <v/>
      </c>
      <c r="S12" s="57">
        <f>$B12</f>
        <v/>
      </c>
      <c r="T12" s="57">
        <f>$B12</f>
        <v/>
      </c>
      <c r="U12" s="57">
        <f>$B12</f>
        <v/>
      </c>
      <c r="V12" s="57">
        <f>$B12</f>
        <v/>
      </c>
      <c r="W12" s="57">
        <f>$B12</f>
        <v/>
      </c>
      <c r="X12" s="57">
        <f>$B12</f>
        <v/>
      </c>
      <c r="Y12" s="57">
        <f>$B12</f>
        <v/>
      </c>
      <c r="Z12" s="57">
        <f>$B12</f>
        <v/>
      </c>
      <c r="AA12" s="57">
        <f>$B12</f>
        <v/>
      </c>
      <c r="AB12" s="57">
        <f>$B12</f>
        <v/>
      </c>
      <c r="AC12" s="57">
        <f>$B12</f>
        <v/>
      </c>
      <c r="AD12" s="57">
        <f>$B12</f>
        <v/>
      </c>
      <c r="AE12" s="57">
        <f>$B12</f>
        <v/>
      </c>
      <c r="AF12" s="57">
        <f>$B12</f>
        <v/>
      </c>
      <c r="AG12" s="57">
        <f>$B12</f>
        <v/>
      </c>
      <c r="AH12" s="57">
        <f>$B12</f>
        <v/>
      </c>
      <c r="AI12" s="57">
        <f>$B12</f>
        <v/>
      </c>
      <c r="AJ12" s="57">
        <f>$B12</f>
        <v/>
      </c>
    </row>
    <row r="13" ht="14.5" customHeight="1" s="82">
      <c r="A13" s="10" t="inlineStr">
        <is>
          <t>lignite</t>
        </is>
      </c>
      <c r="B13" s="57">
        <f>'BECF-pre-ret'!B13*1.1</f>
        <v/>
      </c>
      <c r="C13" s="57">
        <f>$B13</f>
        <v/>
      </c>
      <c r="D13" s="57">
        <f>$B13</f>
        <v/>
      </c>
      <c r="E13" s="57">
        <f>$B13</f>
        <v/>
      </c>
      <c r="F13" s="57">
        <f>$B13</f>
        <v/>
      </c>
      <c r="G13" s="57">
        <f>$B13</f>
        <v/>
      </c>
      <c r="H13" s="57">
        <f>$B13</f>
        <v/>
      </c>
      <c r="I13" s="57">
        <f>$B13</f>
        <v/>
      </c>
      <c r="J13" s="57">
        <f>$B13</f>
        <v/>
      </c>
      <c r="K13" s="57">
        <f>$B13</f>
        <v/>
      </c>
      <c r="L13" s="57">
        <f>$B13</f>
        <v/>
      </c>
      <c r="M13" s="57">
        <f>$B13</f>
        <v/>
      </c>
      <c r="N13" s="57">
        <f>$B13</f>
        <v/>
      </c>
      <c r="O13" s="57">
        <f>$B13</f>
        <v/>
      </c>
      <c r="P13" s="57">
        <f>$B13</f>
        <v/>
      </c>
      <c r="Q13" s="57">
        <f>$B13</f>
        <v/>
      </c>
      <c r="R13" s="57">
        <f>$B13</f>
        <v/>
      </c>
      <c r="S13" s="57">
        <f>$B13</f>
        <v/>
      </c>
      <c r="T13" s="57">
        <f>$B13</f>
        <v/>
      </c>
      <c r="U13" s="57">
        <f>$B13</f>
        <v/>
      </c>
      <c r="V13" s="57">
        <f>$B13</f>
        <v/>
      </c>
      <c r="W13" s="57">
        <f>$B13</f>
        <v/>
      </c>
      <c r="X13" s="57">
        <f>$B13</f>
        <v/>
      </c>
      <c r="Y13" s="57">
        <f>$B13</f>
        <v/>
      </c>
      <c r="Z13" s="57">
        <f>$B13</f>
        <v/>
      </c>
      <c r="AA13" s="57">
        <f>$B13</f>
        <v/>
      </c>
      <c r="AB13" s="57">
        <f>$B13</f>
        <v/>
      </c>
      <c r="AC13" s="57">
        <f>$B13</f>
        <v/>
      </c>
      <c r="AD13" s="57">
        <f>$B13</f>
        <v/>
      </c>
      <c r="AE13" s="57">
        <f>$B13</f>
        <v/>
      </c>
      <c r="AF13" s="57">
        <f>$B13</f>
        <v/>
      </c>
      <c r="AG13" s="57">
        <f>$B13</f>
        <v/>
      </c>
      <c r="AH13" s="57">
        <f>$B13</f>
        <v/>
      </c>
      <c r="AI13" s="57">
        <f>$B13</f>
        <v/>
      </c>
      <c r="AJ13" s="57">
        <f>$B13</f>
        <v/>
      </c>
    </row>
    <row r="14" ht="14.5" customHeight="1" s="82">
      <c r="A14" s="10" t="inlineStr">
        <is>
          <t>offshore wind</t>
        </is>
      </c>
      <c r="B14" s="57">
        <f>IF('BECF-pre-ret'!B14&gt;0, D14, 0)</f>
        <v/>
      </c>
      <c r="C14" s="57">
        <f>B14</f>
        <v/>
      </c>
      <c r="D14" s="57">
        <f>E14</f>
        <v/>
      </c>
      <c r="E14" s="74">
        <f>'BECF-pre-ret'!D14</f>
        <v/>
      </c>
      <c r="F14" s="74">
        <f>'BECF-pre-ret'!E14</f>
        <v/>
      </c>
      <c r="G14" s="74">
        <f>'BECF-pre-ret'!F14</f>
        <v/>
      </c>
      <c r="H14" s="74">
        <f>'BECF-pre-ret'!G14</f>
        <v/>
      </c>
      <c r="I14" s="74">
        <f>'BECF-pre-ret'!H14</f>
        <v/>
      </c>
      <c r="J14" s="74">
        <f>'BECF-pre-ret'!I14</f>
        <v/>
      </c>
      <c r="K14" s="74">
        <f>'BECF-pre-ret'!J14</f>
        <v/>
      </c>
      <c r="L14" s="74">
        <f>'BECF-pre-ret'!K14</f>
        <v/>
      </c>
      <c r="M14" s="74">
        <f>'BECF-pre-ret'!L14</f>
        <v/>
      </c>
      <c r="N14" s="74">
        <f>'BECF-pre-ret'!M14</f>
        <v/>
      </c>
      <c r="O14" s="74">
        <f>'BECF-pre-ret'!N14</f>
        <v/>
      </c>
      <c r="P14" s="74">
        <f>'BECF-pre-ret'!O14</f>
        <v/>
      </c>
      <c r="Q14" s="74">
        <f>'BECF-pre-ret'!P14</f>
        <v/>
      </c>
      <c r="R14" s="74">
        <f>'BECF-pre-ret'!Q14</f>
        <v/>
      </c>
      <c r="S14" s="74">
        <f>'BECF-pre-ret'!R14</f>
        <v/>
      </c>
      <c r="T14" s="74">
        <f>'BECF-pre-ret'!S14</f>
        <v/>
      </c>
      <c r="U14" s="74">
        <f>'BECF-pre-ret'!T14</f>
        <v/>
      </c>
      <c r="V14" s="74">
        <f>'BECF-pre-ret'!U14</f>
        <v/>
      </c>
      <c r="W14" s="74">
        <f>'BECF-pre-ret'!V14</f>
        <v/>
      </c>
      <c r="X14" s="74">
        <f>'BECF-pre-ret'!W14</f>
        <v/>
      </c>
      <c r="Y14" s="74">
        <f>'BECF-pre-ret'!X14</f>
        <v/>
      </c>
      <c r="Z14" s="74">
        <f>'BECF-pre-ret'!Y14</f>
        <v/>
      </c>
      <c r="AA14" s="74">
        <f>'BECF-pre-ret'!Z14</f>
        <v/>
      </c>
      <c r="AB14" s="74">
        <f>'BECF-pre-ret'!AA14</f>
        <v/>
      </c>
      <c r="AC14" s="74">
        <f>'BECF-pre-ret'!AB14</f>
        <v/>
      </c>
      <c r="AD14" s="74">
        <f>'BECF-pre-ret'!AC14</f>
        <v/>
      </c>
      <c r="AE14" s="74">
        <f>'BECF-pre-ret'!AD14</f>
        <v/>
      </c>
      <c r="AF14" s="74">
        <f>'BECF-pre-ret'!AE14</f>
        <v/>
      </c>
      <c r="AG14" s="74">
        <f>'BECF-pre-ret'!AF14</f>
        <v/>
      </c>
      <c r="AH14" s="74">
        <f>'BECF-pre-ret'!AG14</f>
        <v/>
      </c>
      <c r="AI14" s="74">
        <f>'BECF-pre-ret'!AH14</f>
        <v/>
      </c>
      <c r="AJ14" s="74">
        <f>'BECF-pre-ret'!AI14</f>
        <v/>
      </c>
    </row>
    <row r="15" ht="14.5" customHeight="1" s="82">
      <c r="A15" s="10" t="inlineStr">
        <is>
          <t>crude oil</t>
        </is>
      </c>
      <c r="B15" s="57">
        <f>'BECF-pre-ret'!B15*1.1</f>
        <v/>
      </c>
      <c r="C15" s="57">
        <f>$B15</f>
        <v/>
      </c>
      <c r="D15" s="57">
        <f>$B15</f>
        <v/>
      </c>
      <c r="E15" s="57">
        <f>$B15</f>
        <v/>
      </c>
      <c r="F15" s="57">
        <f>$B15</f>
        <v/>
      </c>
      <c r="G15" s="57">
        <f>$B15</f>
        <v/>
      </c>
      <c r="H15" s="57">
        <f>$B15</f>
        <v/>
      </c>
      <c r="I15" s="57">
        <f>$B15</f>
        <v/>
      </c>
      <c r="J15" s="57">
        <f>$B15</f>
        <v/>
      </c>
      <c r="K15" s="57">
        <f>$B15</f>
        <v/>
      </c>
      <c r="L15" s="57">
        <f>$B15</f>
        <v/>
      </c>
      <c r="M15" s="57">
        <f>$B15</f>
        <v/>
      </c>
      <c r="N15" s="57">
        <f>$B15</f>
        <v/>
      </c>
      <c r="O15" s="57">
        <f>$B15</f>
        <v/>
      </c>
      <c r="P15" s="57">
        <f>$B15</f>
        <v/>
      </c>
      <c r="Q15" s="57">
        <f>$B15</f>
        <v/>
      </c>
      <c r="R15" s="57">
        <f>$B15</f>
        <v/>
      </c>
      <c r="S15" s="57">
        <f>$B15</f>
        <v/>
      </c>
      <c r="T15" s="57">
        <f>$B15</f>
        <v/>
      </c>
      <c r="U15" s="57">
        <f>$B15</f>
        <v/>
      </c>
      <c r="V15" s="57">
        <f>$B15</f>
        <v/>
      </c>
      <c r="W15" s="57">
        <f>$B15</f>
        <v/>
      </c>
      <c r="X15" s="57">
        <f>$B15</f>
        <v/>
      </c>
      <c r="Y15" s="57">
        <f>$B15</f>
        <v/>
      </c>
      <c r="Z15" s="57">
        <f>$B15</f>
        <v/>
      </c>
      <c r="AA15" s="57">
        <f>$B15</f>
        <v/>
      </c>
      <c r="AB15" s="57">
        <f>$B15</f>
        <v/>
      </c>
      <c r="AC15" s="57">
        <f>$B15</f>
        <v/>
      </c>
      <c r="AD15" s="57">
        <f>$B15</f>
        <v/>
      </c>
      <c r="AE15" s="57">
        <f>$B15</f>
        <v/>
      </c>
      <c r="AF15" s="57">
        <f>$B15</f>
        <v/>
      </c>
      <c r="AG15" s="57">
        <f>$B15</f>
        <v/>
      </c>
      <c r="AH15" s="57">
        <f>$B15</f>
        <v/>
      </c>
      <c r="AI15" s="57">
        <f>$B15</f>
        <v/>
      </c>
      <c r="AJ15" s="57">
        <f>$B15</f>
        <v/>
      </c>
    </row>
    <row r="16" ht="14.5" customHeight="1" s="82">
      <c r="A16" s="10" t="inlineStr">
        <is>
          <t>heavy or residual fuel oil</t>
        </is>
      </c>
      <c r="B16" s="57">
        <f>'BECF-pre-ret'!B16*1.1</f>
        <v/>
      </c>
      <c r="C16" s="57">
        <f>$B16</f>
        <v/>
      </c>
      <c r="D16" s="57">
        <f>$B16</f>
        <v/>
      </c>
      <c r="E16" s="57">
        <f>$B16</f>
        <v/>
      </c>
      <c r="F16" s="57">
        <f>$B16</f>
        <v/>
      </c>
      <c r="G16" s="57">
        <f>$B16</f>
        <v/>
      </c>
      <c r="H16" s="57">
        <f>$B16</f>
        <v/>
      </c>
      <c r="I16" s="57">
        <f>$B16</f>
        <v/>
      </c>
      <c r="J16" s="57">
        <f>$B16</f>
        <v/>
      </c>
      <c r="K16" s="57">
        <f>$B16</f>
        <v/>
      </c>
      <c r="L16" s="57">
        <f>$B16</f>
        <v/>
      </c>
      <c r="M16" s="57">
        <f>$B16</f>
        <v/>
      </c>
      <c r="N16" s="57">
        <f>$B16</f>
        <v/>
      </c>
      <c r="O16" s="57">
        <f>$B16</f>
        <v/>
      </c>
      <c r="P16" s="57">
        <f>$B16</f>
        <v/>
      </c>
      <c r="Q16" s="57">
        <f>$B16</f>
        <v/>
      </c>
      <c r="R16" s="57">
        <f>$B16</f>
        <v/>
      </c>
      <c r="S16" s="57">
        <f>$B16</f>
        <v/>
      </c>
      <c r="T16" s="57">
        <f>$B16</f>
        <v/>
      </c>
      <c r="U16" s="57">
        <f>$B16</f>
        <v/>
      </c>
      <c r="V16" s="57">
        <f>$B16</f>
        <v/>
      </c>
      <c r="W16" s="57">
        <f>$B16</f>
        <v/>
      </c>
      <c r="X16" s="57">
        <f>$B16</f>
        <v/>
      </c>
      <c r="Y16" s="57">
        <f>$B16</f>
        <v/>
      </c>
      <c r="Z16" s="57">
        <f>$B16</f>
        <v/>
      </c>
      <c r="AA16" s="57">
        <f>$B16</f>
        <v/>
      </c>
      <c r="AB16" s="57">
        <f>$B16</f>
        <v/>
      </c>
      <c r="AC16" s="57">
        <f>$B16</f>
        <v/>
      </c>
      <c r="AD16" s="57">
        <f>$B16</f>
        <v/>
      </c>
      <c r="AE16" s="57">
        <f>$B16</f>
        <v/>
      </c>
      <c r="AF16" s="57">
        <f>$B16</f>
        <v/>
      </c>
      <c r="AG16" s="57">
        <f>$B16</f>
        <v/>
      </c>
      <c r="AH16" s="57">
        <f>$B16</f>
        <v/>
      </c>
      <c r="AI16" s="57">
        <f>$B16</f>
        <v/>
      </c>
      <c r="AJ16" s="57">
        <f>$B16</f>
        <v/>
      </c>
    </row>
    <row r="17" ht="14.5" customHeight="1" s="82">
      <c r="A17" s="10" t="inlineStr">
        <is>
          <t>municipal solid waste</t>
        </is>
      </c>
      <c r="B17" s="57">
        <f>'BECF-pre-ret'!B17*1.1</f>
        <v/>
      </c>
      <c r="C17" s="57">
        <f>$B17</f>
        <v/>
      </c>
      <c r="D17" s="57">
        <f>$B17</f>
        <v/>
      </c>
      <c r="E17" s="57">
        <f>$B17</f>
        <v/>
      </c>
      <c r="F17" s="57">
        <f>$B17</f>
        <v/>
      </c>
      <c r="G17" s="57">
        <f>$B17</f>
        <v/>
      </c>
      <c r="H17" s="57">
        <f>$B17</f>
        <v/>
      </c>
      <c r="I17" s="57">
        <f>$B17</f>
        <v/>
      </c>
      <c r="J17" s="57">
        <f>$B17</f>
        <v/>
      </c>
      <c r="K17" s="57">
        <f>$B17</f>
        <v/>
      </c>
      <c r="L17" s="57">
        <f>$B17</f>
        <v/>
      </c>
      <c r="M17" s="57">
        <f>$B17</f>
        <v/>
      </c>
      <c r="N17" s="57">
        <f>$B17</f>
        <v/>
      </c>
      <c r="O17" s="57">
        <f>$B17</f>
        <v/>
      </c>
      <c r="P17" s="57">
        <f>$B17</f>
        <v/>
      </c>
      <c r="Q17" s="57">
        <f>$B17</f>
        <v/>
      </c>
      <c r="R17" s="57">
        <f>$B17</f>
        <v/>
      </c>
      <c r="S17" s="57">
        <f>$B17</f>
        <v/>
      </c>
      <c r="T17" s="57">
        <f>$B17</f>
        <v/>
      </c>
      <c r="U17" s="57">
        <f>$B17</f>
        <v/>
      </c>
      <c r="V17" s="57">
        <f>$B17</f>
        <v/>
      </c>
      <c r="W17" s="57">
        <f>$B17</f>
        <v/>
      </c>
      <c r="X17" s="57">
        <f>$B17</f>
        <v/>
      </c>
      <c r="Y17" s="57">
        <f>$B17</f>
        <v/>
      </c>
      <c r="Z17" s="57">
        <f>$B17</f>
        <v/>
      </c>
      <c r="AA17" s="57">
        <f>$B17</f>
        <v/>
      </c>
      <c r="AB17" s="57">
        <f>$B17</f>
        <v/>
      </c>
      <c r="AC17" s="57">
        <f>$B17</f>
        <v/>
      </c>
      <c r="AD17" s="57">
        <f>$B17</f>
        <v/>
      </c>
      <c r="AE17" s="57">
        <f>$B17</f>
        <v/>
      </c>
      <c r="AF17" s="57">
        <f>$B17</f>
        <v/>
      </c>
      <c r="AG17" s="57">
        <f>$B17</f>
        <v/>
      </c>
      <c r="AH17" s="57">
        <f>$B17</f>
        <v/>
      </c>
      <c r="AI17" s="57">
        <f>$B17</f>
        <v/>
      </c>
      <c r="AJ17" s="57">
        <f>$B17</f>
        <v/>
      </c>
    </row>
    <row r="18" ht="14.5" customHeight="1" s="82">
      <c r="A18" s="2" t="n"/>
      <c r="B18" s="2" t="n"/>
      <c r="C18" s="2" t="n"/>
      <c r="D18" s="2" t="n"/>
    </row>
    <row r="19" ht="14.5" customHeight="1" s="82">
      <c r="A19" s="2" t="n"/>
      <c r="B19" s="2" t="n"/>
      <c r="C19" s="2" t="n"/>
      <c r="D19" s="2" t="n"/>
    </row>
    <row r="20" ht="14.5" customHeight="1" s="82">
      <c r="A20" s="2" t="n"/>
      <c r="B20" s="2" t="n"/>
      <c r="C20" s="2" t="n"/>
      <c r="D20" s="2" t="n"/>
    </row>
    <row r="21" ht="15.75" customHeight="1" s="82">
      <c r="A21" s="2" t="n"/>
      <c r="B21" s="2" t="n"/>
      <c r="C21" s="2" t="n"/>
      <c r="D21" s="2" t="n"/>
    </row>
    <row r="22" ht="15.75" customHeight="1" s="82">
      <c r="A22" s="2" t="n"/>
      <c r="B22" s="2" t="n"/>
      <c r="C22" s="2" t="n"/>
      <c r="D22" s="2" t="n"/>
    </row>
    <row r="23" ht="15.75" customHeight="1" s="82">
      <c r="A23" s="2" t="n"/>
      <c r="B23" s="2" t="n"/>
      <c r="C23" s="2" t="n"/>
      <c r="D23" s="2" t="n"/>
    </row>
    <row r="24" ht="15.75" customHeight="1" s="82">
      <c r="A24" s="2" t="n"/>
      <c r="B24" s="2" t="n"/>
      <c r="C24" s="2" t="n"/>
      <c r="D24" s="2" t="n"/>
    </row>
    <row r="25" ht="15.75" customHeight="1" s="82">
      <c r="A25" s="2" t="n"/>
      <c r="B25" s="2" t="n"/>
      <c r="C25" s="2" t="n"/>
      <c r="D25" s="2" t="n"/>
    </row>
    <row r="26" ht="15.75" customHeight="1" s="82">
      <c r="A26" s="2" t="n"/>
      <c r="B26" s="2" t="n"/>
      <c r="C26" s="2" t="n"/>
      <c r="D26" s="2" t="n"/>
    </row>
    <row r="27" ht="15.75" customHeight="1" s="82">
      <c r="A27" s="2" t="n"/>
      <c r="B27" s="2" t="n"/>
      <c r="C27" s="2" t="n"/>
      <c r="D27" s="2" t="n"/>
    </row>
    <row r="28" ht="15.75" customHeight="1" s="82">
      <c r="A28" s="2" t="n"/>
      <c r="B28" s="2" t="n"/>
      <c r="C28" s="2" t="n"/>
      <c r="D28" s="2" t="n"/>
    </row>
    <row r="29" ht="15.75" customHeight="1" s="82">
      <c r="A29" s="2" t="n"/>
      <c r="B29" s="2" t="n"/>
      <c r="C29" s="2" t="n"/>
      <c r="D29" s="2" t="n"/>
    </row>
    <row r="30" ht="15.75" customHeight="1" s="82">
      <c r="A30" s="2" t="n"/>
      <c r="B30" s="2" t="n"/>
      <c r="C30" s="2" t="n"/>
      <c r="D30" s="2" t="n"/>
    </row>
    <row r="31" ht="15.75" customHeight="1" s="82">
      <c r="A31" s="2" t="n"/>
      <c r="B31" s="2" t="n"/>
      <c r="C31" s="2" t="n"/>
      <c r="D31" s="2" t="n"/>
    </row>
    <row r="32" ht="15.75" customHeight="1" s="82">
      <c r="A32" s="2" t="n"/>
      <c r="B32" s="2" t="n"/>
      <c r="C32" s="2" t="n"/>
      <c r="D32" s="2" t="n"/>
    </row>
    <row r="33" ht="15.75" customHeight="1" s="82">
      <c r="A33" s="2" t="n"/>
      <c r="B33" s="2" t="n"/>
      <c r="C33" s="2" t="n"/>
      <c r="D33" s="2" t="n"/>
    </row>
    <row r="34" ht="15.75" customHeight="1" s="82">
      <c r="A34" s="2" t="n"/>
      <c r="B34" s="2" t="n"/>
      <c r="C34" s="2" t="n"/>
      <c r="D34" s="2" t="n"/>
    </row>
    <row r="35" ht="15.75" customHeight="1" s="82">
      <c r="A35" s="2" t="n"/>
      <c r="B35" s="2" t="n"/>
      <c r="C35" s="2" t="n"/>
      <c r="D35" s="2" t="n"/>
    </row>
    <row r="36" ht="15.75" customHeight="1" s="82">
      <c r="A36" s="2" t="n"/>
      <c r="B36" s="2" t="n"/>
      <c r="C36" s="2" t="n"/>
      <c r="D36" s="2" t="n"/>
    </row>
    <row r="37" ht="15.75" customHeight="1" s="82">
      <c r="A37" s="2" t="n"/>
      <c r="B37" s="2" t="n"/>
      <c r="C37" s="2" t="n"/>
      <c r="D37" s="2" t="n"/>
    </row>
    <row r="38" ht="15.75" customHeight="1" s="82">
      <c r="A38" s="2" t="n"/>
      <c r="B38" s="2" t="n"/>
      <c r="C38" s="2" t="n"/>
      <c r="D38" s="2" t="n"/>
    </row>
    <row r="39" ht="15.75" customHeight="1" s="82">
      <c r="A39" s="2" t="n"/>
      <c r="B39" s="2" t="n"/>
      <c r="C39" s="2" t="n"/>
      <c r="D39" s="2" t="n"/>
    </row>
    <row r="40" ht="15.75" customHeight="1" s="82">
      <c r="A40" s="2" t="n"/>
      <c r="B40" s="2" t="n"/>
      <c r="C40" s="2" t="n"/>
      <c r="D40" s="2" t="n"/>
    </row>
    <row r="41" ht="15.75" customHeight="1" s="82">
      <c r="A41" s="2" t="n"/>
      <c r="B41" s="2" t="n"/>
      <c r="C41" s="2" t="n"/>
      <c r="D41" s="2" t="n"/>
    </row>
    <row r="42" ht="15.75" customHeight="1" s="82">
      <c r="A42" s="2" t="n"/>
      <c r="B42" s="2" t="n"/>
      <c r="C42" s="2" t="n"/>
      <c r="D42" s="2" t="n"/>
    </row>
    <row r="43" ht="15.75" customHeight="1" s="82">
      <c r="A43" s="2" t="n"/>
      <c r="B43" s="2" t="n"/>
      <c r="C43" s="2" t="n"/>
      <c r="D43" s="2" t="n"/>
    </row>
    <row r="44" ht="15.75" customHeight="1" s="82">
      <c r="A44" s="2" t="n"/>
      <c r="B44" s="2" t="n"/>
      <c r="C44" s="2" t="n"/>
      <c r="D44" s="2" t="n"/>
    </row>
    <row r="45" ht="15.75" customHeight="1" s="82">
      <c r="A45" s="2" t="n"/>
      <c r="B45" s="2" t="n"/>
      <c r="C45" s="2" t="n"/>
      <c r="D45" s="2" t="n"/>
    </row>
    <row r="46" ht="15.75" customHeight="1" s="82">
      <c r="A46" s="2" t="n"/>
      <c r="B46" s="2" t="n"/>
      <c r="C46" s="2" t="n"/>
      <c r="D46" s="2" t="n"/>
    </row>
    <row r="47" ht="15.75" customHeight="1" s="82">
      <c r="A47" s="2" t="n"/>
      <c r="B47" s="2" t="n"/>
      <c r="C47" s="2" t="n"/>
      <c r="D47" s="2" t="n"/>
    </row>
    <row r="48" ht="15.75" customHeight="1" s="82">
      <c r="A48" s="2" t="n"/>
      <c r="B48" s="2" t="n"/>
      <c r="C48" s="2" t="n"/>
      <c r="D48" s="2" t="n"/>
    </row>
    <row r="49" ht="15.75" customHeight="1" s="82">
      <c r="A49" s="2" t="n"/>
      <c r="B49" s="2" t="n"/>
      <c r="C49" s="2" t="n"/>
      <c r="D49" s="2" t="n"/>
    </row>
    <row r="50" ht="15.75" customHeight="1" s="82">
      <c r="A50" s="2" t="n"/>
      <c r="B50" s="2" t="n"/>
      <c r="C50" s="2" t="n"/>
      <c r="D50" s="2" t="n"/>
    </row>
    <row r="51" ht="15.75" customHeight="1" s="82">
      <c r="A51" s="2" t="n"/>
      <c r="B51" s="2" t="n"/>
      <c r="C51" s="2" t="n"/>
      <c r="D51" s="2" t="n"/>
    </row>
    <row r="52" ht="15.75" customHeight="1" s="82">
      <c r="A52" s="2" t="n"/>
      <c r="B52" s="2" t="n"/>
      <c r="C52" s="2" t="n"/>
      <c r="D52" s="2" t="n"/>
    </row>
    <row r="53" ht="15.75" customHeight="1" s="82">
      <c r="A53" s="2" t="n"/>
      <c r="B53" s="2" t="n"/>
      <c r="C53" s="2" t="n"/>
      <c r="D53" s="2" t="n"/>
    </row>
    <row r="54" ht="15.75" customHeight="1" s="82">
      <c r="A54" s="2" t="n"/>
      <c r="B54" s="2" t="n"/>
      <c r="C54" s="2" t="n"/>
      <c r="D54" s="2" t="n"/>
    </row>
    <row r="55" ht="15.75" customHeight="1" s="82">
      <c r="A55" s="2" t="n"/>
      <c r="B55" s="2" t="n"/>
      <c r="C55" s="2" t="n"/>
      <c r="D55" s="2" t="n"/>
    </row>
    <row r="56" ht="15.75" customHeight="1" s="82">
      <c r="A56" s="2" t="n"/>
      <c r="B56" s="2" t="n"/>
      <c r="C56" s="2" t="n"/>
      <c r="D56" s="2" t="n"/>
    </row>
    <row r="57" ht="15.75" customHeight="1" s="82">
      <c r="A57" s="2" t="n"/>
      <c r="B57" s="2" t="n"/>
      <c r="C57" s="2" t="n"/>
      <c r="D57" s="2" t="n"/>
    </row>
    <row r="58" ht="15.75" customHeight="1" s="82">
      <c r="A58" s="2" t="n"/>
      <c r="B58" s="2" t="n"/>
      <c r="C58" s="2" t="n"/>
      <c r="D58" s="2" t="n"/>
    </row>
    <row r="59" ht="15.75" customHeight="1" s="82">
      <c r="A59" s="2" t="n"/>
      <c r="B59" s="2" t="n"/>
      <c r="C59" s="2" t="n"/>
      <c r="D59" s="2" t="n"/>
    </row>
    <row r="60" ht="15.75" customHeight="1" s="82">
      <c r="A60" s="2" t="n"/>
      <c r="B60" s="2" t="n"/>
      <c r="C60" s="2" t="n"/>
      <c r="D60" s="2" t="n"/>
    </row>
    <row r="61" ht="15.75" customHeight="1" s="82">
      <c r="A61" s="2" t="n"/>
      <c r="B61" s="2" t="n"/>
      <c r="C61" s="2" t="n"/>
      <c r="D61" s="2" t="n"/>
    </row>
    <row r="62" ht="15.75" customHeight="1" s="82">
      <c r="A62" s="2" t="n"/>
      <c r="B62" s="2" t="n"/>
      <c r="C62" s="2" t="n"/>
      <c r="D62" s="2" t="n"/>
    </row>
    <row r="63" ht="15.75" customHeight="1" s="82">
      <c r="A63" s="2" t="n"/>
      <c r="B63" s="2" t="n"/>
      <c r="C63" s="2" t="n"/>
      <c r="D63" s="2" t="n"/>
    </row>
    <row r="64" ht="15.75" customHeight="1" s="82">
      <c r="A64" s="2" t="n"/>
      <c r="B64" s="2" t="n"/>
      <c r="C64" s="2" t="n"/>
      <c r="D64" s="2" t="n"/>
    </row>
    <row r="65" ht="15.75" customHeight="1" s="82">
      <c r="A65" s="2" t="n"/>
      <c r="B65" s="2" t="n"/>
      <c r="C65" s="2" t="n"/>
      <c r="D65" s="2" t="n"/>
    </row>
    <row r="66" ht="15.75" customHeight="1" s="82">
      <c r="A66" s="2" t="n"/>
      <c r="B66" s="2" t="n"/>
      <c r="C66" s="2" t="n"/>
      <c r="D66" s="2" t="n"/>
    </row>
    <row r="67" ht="15.75" customHeight="1" s="82">
      <c r="A67" s="2" t="n"/>
      <c r="B67" s="2" t="n"/>
      <c r="C67" s="2" t="n"/>
      <c r="D67" s="2" t="n"/>
    </row>
    <row r="68" ht="15.75" customHeight="1" s="82">
      <c r="A68" s="2" t="n"/>
      <c r="B68" s="2" t="n"/>
      <c r="C68" s="2" t="n"/>
      <c r="D68" s="2" t="n"/>
    </row>
    <row r="69" ht="15.75" customHeight="1" s="82">
      <c r="A69" s="2" t="n"/>
      <c r="B69" s="2" t="n"/>
      <c r="C69" s="2" t="n"/>
      <c r="D69" s="2" t="n"/>
    </row>
    <row r="70" ht="15.75" customHeight="1" s="82">
      <c r="A70" s="2" t="n"/>
      <c r="B70" s="2" t="n"/>
      <c r="C70" s="2" t="n"/>
      <c r="D70" s="2" t="n"/>
    </row>
    <row r="71" ht="15.75" customHeight="1" s="82">
      <c r="A71" s="2" t="n"/>
      <c r="B71" s="2" t="n"/>
      <c r="C71" s="2" t="n"/>
      <c r="D71" s="2" t="n"/>
    </row>
    <row r="72" ht="15.75" customHeight="1" s="82">
      <c r="A72" s="2" t="n"/>
      <c r="B72" s="2" t="n"/>
      <c r="C72" s="2" t="n"/>
      <c r="D72" s="2" t="n"/>
    </row>
    <row r="73" ht="15.75" customHeight="1" s="82">
      <c r="A73" s="2" t="n"/>
      <c r="B73" s="2" t="n"/>
      <c r="C73" s="2" t="n"/>
      <c r="D73" s="2" t="n"/>
    </row>
    <row r="74" ht="15.75" customHeight="1" s="82">
      <c r="A74" s="2" t="n"/>
      <c r="B74" s="2" t="n"/>
      <c r="C74" s="2" t="n"/>
      <c r="D74" s="2" t="n"/>
    </row>
    <row r="75" ht="15.75" customHeight="1" s="82">
      <c r="A75" s="2" t="n"/>
      <c r="B75" s="2" t="n"/>
      <c r="C75" s="2" t="n"/>
      <c r="D75" s="2" t="n"/>
    </row>
    <row r="76" ht="15.75" customHeight="1" s="82">
      <c r="A76" s="2" t="n"/>
      <c r="B76" s="2" t="n"/>
      <c r="C76" s="2" t="n"/>
      <c r="D76" s="2" t="n"/>
    </row>
    <row r="77" ht="15.75" customHeight="1" s="82">
      <c r="A77" s="2" t="n"/>
      <c r="B77" s="2" t="n"/>
      <c r="C77" s="2" t="n"/>
      <c r="D77" s="2" t="n"/>
    </row>
    <row r="78" ht="15.75" customHeight="1" s="82">
      <c r="A78" s="2" t="n"/>
      <c r="B78" s="2" t="n"/>
      <c r="C78" s="2" t="n"/>
      <c r="D78" s="2" t="n"/>
    </row>
    <row r="79" ht="15.75" customHeight="1" s="82">
      <c r="A79" s="2" t="n"/>
      <c r="B79" s="2" t="n"/>
      <c r="C79" s="2" t="n"/>
      <c r="D79" s="2" t="n"/>
    </row>
    <row r="80" ht="15.75" customHeight="1" s="82">
      <c r="A80" s="2" t="n"/>
      <c r="B80" s="2" t="n"/>
      <c r="C80" s="2" t="n"/>
      <c r="D80" s="2" t="n"/>
    </row>
    <row r="81" ht="15.75" customHeight="1" s="82">
      <c r="A81" s="2" t="n"/>
      <c r="B81" s="2" t="n"/>
      <c r="C81" s="2" t="n"/>
      <c r="D81" s="2" t="n"/>
    </row>
    <row r="82" ht="15.75" customHeight="1" s="82">
      <c r="A82" s="2" t="n"/>
      <c r="B82" s="2" t="n"/>
      <c r="C82" s="2" t="n"/>
      <c r="D82" s="2" t="n"/>
    </row>
    <row r="83" ht="15.75" customHeight="1" s="82">
      <c r="A83" s="2" t="n"/>
      <c r="B83" s="2" t="n"/>
      <c r="C83" s="2" t="n"/>
      <c r="D83" s="2" t="n"/>
    </row>
    <row r="84" ht="15.75" customHeight="1" s="82">
      <c r="A84" s="2" t="n"/>
      <c r="B84" s="2" t="n"/>
      <c r="C84" s="2" t="n"/>
      <c r="D84" s="2" t="n"/>
    </row>
    <row r="85" ht="15.75" customHeight="1" s="82">
      <c r="A85" s="2" t="n"/>
      <c r="B85" s="2" t="n"/>
      <c r="C85" s="2" t="n"/>
      <c r="D85" s="2" t="n"/>
    </row>
    <row r="86" ht="15.75" customHeight="1" s="82">
      <c r="A86" s="2" t="n"/>
      <c r="B86" s="2" t="n"/>
      <c r="C86" s="2" t="n"/>
      <c r="D86" s="2" t="n"/>
    </row>
    <row r="87" ht="15.75" customHeight="1" s="82">
      <c r="A87" s="2" t="n"/>
      <c r="B87" s="2" t="n"/>
      <c r="C87" s="2" t="n"/>
      <c r="D87" s="2" t="n"/>
    </row>
    <row r="88" ht="15.75" customHeight="1" s="82">
      <c r="A88" s="2" t="n"/>
      <c r="B88" s="2" t="n"/>
      <c r="C88" s="2" t="n"/>
      <c r="D88" s="2" t="n"/>
    </row>
    <row r="89" ht="15.75" customHeight="1" s="82">
      <c r="A89" s="2" t="n"/>
      <c r="B89" s="2" t="n"/>
      <c r="C89" s="2" t="n"/>
      <c r="D89" s="2" t="n"/>
    </row>
    <row r="90" ht="15.75" customHeight="1" s="82">
      <c r="A90" s="2" t="n"/>
      <c r="B90" s="2" t="n"/>
      <c r="C90" s="2" t="n"/>
      <c r="D90" s="2" t="n"/>
    </row>
    <row r="91" ht="15.75" customHeight="1" s="82">
      <c r="A91" s="2" t="n"/>
      <c r="B91" s="2" t="n"/>
      <c r="C91" s="2" t="n"/>
      <c r="D91" s="2" t="n"/>
    </row>
    <row r="92" ht="15.75" customHeight="1" s="82">
      <c r="A92" s="2" t="n"/>
      <c r="B92" s="2" t="n"/>
      <c r="C92" s="2" t="n"/>
      <c r="D92" s="2" t="n"/>
    </row>
    <row r="93" ht="15.75" customHeight="1" s="82">
      <c r="A93" s="2" t="n"/>
      <c r="B93" s="2" t="n"/>
      <c r="C93" s="2" t="n"/>
      <c r="D93" s="2" t="n"/>
    </row>
    <row r="94" ht="15.75" customHeight="1" s="82">
      <c r="A94" s="2" t="n"/>
      <c r="B94" s="2" t="n"/>
      <c r="C94" s="2" t="n"/>
      <c r="D94" s="2" t="n"/>
    </row>
    <row r="95" ht="15.75" customHeight="1" s="82">
      <c r="A95" s="2" t="n"/>
      <c r="B95" s="2" t="n"/>
      <c r="C95" s="2" t="n"/>
      <c r="D95" s="2" t="n"/>
    </row>
    <row r="96" ht="15.75" customHeight="1" s="82">
      <c r="A96" s="2" t="n"/>
      <c r="B96" s="2" t="n"/>
      <c r="C96" s="2" t="n"/>
      <c r="D96" s="2" t="n"/>
    </row>
    <row r="97" ht="15.75" customHeight="1" s="82">
      <c r="A97" s="2" t="n"/>
      <c r="B97" s="2" t="n"/>
      <c r="C97" s="2" t="n"/>
      <c r="D97" s="2" t="n"/>
    </row>
    <row r="98" ht="15.75" customHeight="1" s="82">
      <c r="A98" s="2" t="n"/>
      <c r="B98" s="2" t="n"/>
      <c r="C98" s="2" t="n"/>
      <c r="D98" s="2" t="n"/>
    </row>
    <row r="99" ht="15.75" customHeight="1" s="82">
      <c r="A99" s="2" t="n"/>
      <c r="B99" s="2" t="n"/>
      <c r="C99" s="2" t="n"/>
      <c r="D99" s="2" t="n"/>
    </row>
    <row r="100" ht="15.75" customHeight="1" s="82">
      <c r="A100" s="2" t="n"/>
      <c r="B100" s="2" t="n"/>
      <c r="C100" s="2" t="n"/>
      <c r="D100" s="2" t="n"/>
    </row>
    <row r="101" ht="15.75" customHeight="1" s="82">
      <c r="A101" s="2" t="n"/>
      <c r="B101" s="2" t="n"/>
      <c r="C101" s="2" t="n"/>
      <c r="D101" s="2" t="n"/>
    </row>
    <row r="102" ht="15.75" customHeight="1" s="82">
      <c r="A102" s="2" t="n"/>
      <c r="B102" s="2" t="n"/>
      <c r="C102" s="2" t="n"/>
      <c r="D102" s="2" t="n"/>
    </row>
    <row r="103" ht="15.75" customHeight="1" s="82">
      <c r="A103" s="2" t="n"/>
      <c r="B103" s="2" t="n"/>
      <c r="C103" s="2" t="n"/>
      <c r="D103" s="2" t="n"/>
    </row>
    <row r="104" ht="15.75" customHeight="1" s="82">
      <c r="A104" s="2" t="n"/>
      <c r="B104" s="2" t="n"/>
      <c r="C104" s="2" t="n"/>
      <c r="D104" s="2" t="n"/>
    </row>
    <row r="105" ht="15.75" customHeight="1" s="82">
      <c r="A105" s="2" t="n"/>
      <c r="B105" s="2" t="n"/>
      <c r="C105" s="2" t="n"/>
      <c r="D105" s="2" t="n"/>
    </row>
    <row r="106" ht="15.75" customHeight="1" s="82">
      <c r="A106" s="2" t="n"/>
      <c r="B106" s="2" t="n"/>
      <c r="C106" s="2" t="n"/>
      <c r="D106" s="2" t="n"/>
    </row>
    <row r="107" ht="15.75" customHeight="1" s="82">
      <c r="A107" s="2" t="n"/>
      <c r="B107" s="2" t="n"/>
      <c r="C107" s="2" t="n"/>
      <c r="D107" s="2" t="n"/>
    </row>
    <row r="108" ht="15.75" customHeight="1" s="82">
      <c r="A108" s="2" t="n"/>
      <c r="B108" s="2" t="n"/>
      <c r="C108" s="2" t="n"/>
      <c r="D108" s="2" t="n"/>
    </row>
    <row r="109" ht="15.75" customHeight="1" s="82">
      <c r="A109" s="2" t="n"/>
      <c r="B109" s="2" t="n"/>
      <c r="C109" s="2" t="n"/>
      <c r="D109" s="2" t="n"/>
    </row>
    <row r="110" ht="15.75" customHeight="1" s="82">
      <c r="A110" s="2" t="n"/>
      <c r="B110" s="2" t="n"/>
      <c r="C110" s="2" t="n"/>
      <c r="D110" s="2" t="n"/>
    </row>
    <row r="111" ht="15.75" customHeight="1" s="82">
      <c r="A111" s="2" t="n"/>
      <c r="B111" s="2" t="n"/>
      <c r="C111" s="2" t="n"/>
      <c r="D111" s="2" t="n"/>
    </row>
    <row r="112" ht="15.75" customHeight="1" s="82">
      <c r="A112" s="2" t="n"/>
      <c r="B112" s="2" t="n"/>
      <c r="C112" s="2" t="n"/>
      <c r="D112" s="2" t="n"/>
    </row>
    <row r="113" ht="15.75" customHeight="1" s="82">
      <c r="A113" s="2" t="n"/>
      <c r="B113" s="2" t="n"/>
      <c r="C113" s="2" t="n"/>
      <c r="D113" s="2" t="n"/>
    </row>
    <row r="114" ht="15.75" customHeight="1" s="82">
      <c r="A114" s="2" t="n"/>
      <c r="B114" s="2" t="n"/>
      <c r="C114" s="2" t="n"/>
      <c r="D114" s="2" t="n"/>
    </row>
    <row r="115" ht="15.75" customHeight="1" s="82">
      <c r="A115" s="2" t="n"/>
      <c r="B115" s="2" t="n"/>
      <c r="C115" s="2" t="n"/>
      <c r="D115" s="2" t="n"/>
    </row>
    <row r="116" ht="15.75" customHeight="1" s="82">
      <c r="A116" s="2" t="n"/>
      <c r="B116" s="2" t="n"/>
      <c r="C116" s="2" t="n"/>
      <c r="D116" s="2" t="n"/>
    </row>
    <row r="117" ht="15.75" customHeight="1" s="82">
      <c r="A117" s="2" t="n"/>
      <c r="B117" s="2" t="n"/>
      <c r="C117" s="2" t="n"/>
      <c r="D117" s="2" t="n"/>
    </row>
    <row r="118" ht="15.75" customHeight="1" s="82">
      <c r="A118" s="2" t="n"/>
      <c r="B118" s="2" t="n"/>
      <c r="C118" s="2" t="n"/>
      <c r="D118" s="2" t="n"/>
    </row>
    <row r="119" ht="15.75" customHeight="1" s="82">
      <c r="A119" s="2" t="n"/>
      <c r="B119" s="2" t="n"/>
      <c r="C119" s="2" t="n"/>
      <c r="D119" s="2" t="n"/>
    </row>
    <row r="120" ht="15.75" customHeight="1" s="82">
      <c r="A120" s="2" t="n"/>
      <c r="B120" s="2" t="n"/>
      <c r="C120" s="2" t="n"/>
      <c r="D120" s="2" t="n"/>
    </row>
    <row r="121" ht="15.75" customHeight="1" s="82">
      <c r="A121" s="2" t="n"/>
      <c r="B121" s="2" t="n"/>
      <c r="C121" s="2" t="n"/>
      <c r="D121" s="2" t="n"/>
    </row>
    <row r="122" ht="15.75" customHeight="1" s="82">
      <c r="A122" s="2" t="n"/>
      <c r="B122" s="2" t="n"/>
      <c r="C122" s="2" t="n"/>
      <c r="D122" s="2" t="n"/>
    </row>
    <row r="123" ht="15.75" customHeight="1" s="82">
      <c r="A123" s="2" t="n"/>
      <c r="B123" s="2" t="n"/>
      <c r="C123" s="2" t="n"/>
      <c r="D123" s="2" t="n"/>
    </row>
    <row r="124" ht="15.75" customHeight="1" s="82">
      <c r="A124" s="2" t="n"/>
      <c r="B124" s="2" t="n"/>
      <c r="C124" s="2" t="n"/>
      <c r="D124" s="2" t="n"/>
    </row>
    <row r="125" ht="15.75" customHeight="1" s="82">
      <c r="A125" s="2" t="n"/>
      <c r="B125" s="2" t="n"/>
      <c r="C125" s="2" t="n"/>
      <c r="D125" s="2" t="n"/>
    </row>
    <row r="126" ht="15.75" customHeight="1" s="82">
      <c r="A126" s="2" t="n"/>
      <c r="B126" s="2" t="n"/>
      <c r="C126" s="2" t="n"/>
      <c r="D126" s="2" t="n"/>
    </row>
    <row r="127" ht="15.75" customHeight="1" s="82">
      <c r="A127" s="2" t="n"/>
      <c r="B127" s="2" t="n"/>
      <c r="C127" s="2" t="n"/>
      <c r="D127" s="2" t="n"/>
    </row>
    <row r="128" ht="15.75" customHeight="1" s="82">
      <c r="A128" s="2" t="n"/>
      <c r="B128" s="2" t="n"/>
      <c r="C128" s="2" t="n"/>
      <c r="D128" s="2" t="n"/>
    </row>
    <row r="129" ht="15.75" customHeight="1" s="82">
      <c r="A129" s="2" t="n"/>
      <c r="B129" s="2" t="n"/>
      <c r="C129" s="2" t="n"/>
      <c r="D129" s="2" t="n"/>
    </row>
    <row r="130" ht="15.75" customHeight="1" s="82">
      <c r="A130" s="2" t="n"/>
      <c r="B130" s="2" t="n"/>
      <c r="C130" s="2" t="n"/>
      <c r="D130" s="2" t="n"/>
    </row>
    <row r="131" ht="15.75" customHeight="1" s="82">
      <c r="A131" s="2" t="n"/>
      <c r="B131" s="2" t="n"/>
      <c r="C131" s="2" t="n"/>
      <c r="D131" s="2" t="n"/>
    </row>
    <row r="132" ht="15.75" customHeight="1" s="82">
      <c r="A132" s="2" t="n"/>
      <c r="B132" s="2" t="n"/>
      <c r="C132" s="2" t="n"/>
      <c r="D132" s="2" t="n"/>
    </row>
    <row r="133" ht="15.75" customHeight="1" s="82">
      <c r="A133" s="2" t="n"/>
      <c r="B133" s="2" t="n"/>
      <c r="C133" s="2" t="n"/>
      <c r="D133" s="2" t="n"/>
    </row>
    <row r="134" ht="15.75" customHeight="1" s="82">
      <c r="A134" s="2" t="n"/>
      <c r="B134" s="2" t="n"/>
      <c r="C134" s="2" t="n"/>
      <c r="D134" s="2" t="n"/>
    </row>
    <row r="135" ht="15.75" customHeight="1" s="82">
      <c r="A135" s="2" t="n"/>
      <c r="B135" s="2" t="n"/>
      <c r="C135" s="2" t="n"/>
      <c r="D135" s="2" t="n"/>
    </row>
    <row r="136" ht="15.75" customHeight="1" s="82">
      <c r="A136" s="2" t="n"/>
      <c r="B136" s="2" t="n"/>
      <c r="C136" s="2" t="n"/>
      <c r="D136" s="2" t="n"/>
    </row>
    <row r="137" ht="15.75" customHeight="1" s="82">
      <c r="A137" s="2" t="n"/>
      <c r="B137" s="2" t="n"/>
      <c r="C137" s="2" t="n"/>
      <c r="D137" s="2" t="n"/>
    </row>
    <row r="138" ht="15.75" customHeight="1" s="82">
      <c r="A138" s="2" t="n"/>
      <c r="B138" s="2" t="n"/>
      <c r="C138" s="2" t="n"/>
      <c r="D138" s="2" t="n"/>
    </row>
    <row r="139" ht="15.75" customHeight="1" s="82">
      <c r="A139" s="2" t="n"/>
      <c r="B139" s="2" t="n"/>
      <c r="C139" s="2" t="n"/>
      <c r="D139" s="2" t="n"/>
    </row>
    <row r="140" ht="15.75" customHeight="1" s="82">
      <c r="A140" s="2" t="n"/>
      <c r="B140" s="2" t="n"/>
      <c r="C140" s="2" t="n"/>
      <c r="D140" s="2" t="n"/>
    </row>
    <row r="141" ht="15.75" customHeight="1" s="82">
      <c r="A141" s="2" t="n"/>
      <c r="B141" s="2" t="n"/>
      <c r="C141" s="2" t="n"/>
      <c r="D141" s="2" t="n"/>
    </row>
    <row r="142" ht="15.75" customHeight="1" s="82">
      <c r="A142" s="2" t="n"/>
      <c r="B142" s="2" t="n"/>
      <c r="C142" s="2" t="n"/>
      <c r="D142" s="2" t="n"/>
    </row>
    <row r="143" ht="15.75" customHeight="1" s="82">
      <c r="A143" s="2" t="n"/>
      <c r="B143" s="2" t="n"/>
      <c r="C143" s="2" t="n"/>
      <c r="D143" s="2" t="n"/>
    </row>
    <row r="144" ht="15.75" customHeight="1" s="82">
      <c r="A144" s="2" t="n"/>
      <c r="B144" s="2" t="n"/>
      <c r="C144" s="2" t="n"/>
      <c r="D144" s="2" t="n"/>
    </row>
    <row r="145" ht="15.75" customHeight="1" s="82">
      <c r="A145" s="2" t="n"/>
      <c r="B145" s="2" t="n"/>
      <c r="C145" s="2" t="n"/>
      <c r="D145" s="2" t="n"/>
    </row>
    <row r="146" ht="15.75" customHeight="1" s="82">
      <c r="A146" s="2" t="n"/>
      <c r="B146" s="2" t="n"/>
      <c r="C146" s="2" t="n"/>
      <c r="D146" s="2" t="n"/>
    </row>
    <row r="147" ht="15.75" customHeight="1" s="82">
      <c r="A147" s="2" t="n"/>
      <c r="B147" s="2" t="n"/>
      <c r="C147" s="2" t="n"/>
      <c r="D147" s="2" t="n"/>
    </row>
    <row r="148" ht="15.75" customHeight="1" s="82">
      <c r="A148" s="2" t="n"/>
      <c r="B148" s="2" t="n"/>
      <c r="C148" s="2" t="n"/>
      <c r="D148" s="2" t="n"/>
    </row>
    <row r="149" ht="15.75" customHeight="1" s="82">
      <c r="A149" s="2" t="n"/>
      <c r="B149" s="2" t="n"/>
      <c r="C149" s="2" t="n"/>
      <c r="D149" s="2" t="n"/>
    </row>
    <row r="150" ht="15.75" customHeight="1" s="82">
      <c r="A150" s="2" t="n"/>
      <c r="B150" s="2" t="n"/>
      <c r="C150" s="2" t="n"/>
      <c r="D150" s="2" t="n"/>
    </row>
    <row r="151" ht="15.75" customHeight="1" s="82">
      <c r="A151" s="2" t="n"/>
      <c r="B151" s="2" t="n"/>
      <c r="C151" s="2" t="n"/>
      <c r="D151" s="2" t="n"/>
    </row>
    <row r="152" ht="15.75" customHeight="1" s="82">
      <c r="A152" s="2" t="n"/>
      <c r="B152" s="2" t="n"/>
      <c r="C152" s="2" t="n"/>
      <c r="D152" s="2" t="n"/>
    </row>
    <row r="153" ht="15.75" customHeight="1" s="82">
      <c r="A153" s="2" t="n"/>
      <c r="B153" s="2" t="n"/>
      <c r="C153" s="2" t="n"/>
      <c r="D153" s="2" t="n"/>
    </row>
    <row r="154" ht="15.75" customHeight="1" s="82">
      <c r="A154" s="2" t="n"/>
      <c r="B154" s="2" t="n"/>
      <c r="C154" s="2" t="n"/>
      <c r="D154" s="2" t="n"/>
    </row>
    <row r="155" ht="15.75" customHeight="1" s="82">
      <c r="A155" s="2" t="n"/>
      <c r="B155" s="2" t="n"/>
      <c r="C155" s="2" t="n"/>
      <c r="D155" s="2" t="n"/>
    </row>
    <row r="156" ht="15.75" customHeight="1" s="82">
      <c r="A156" s="2" t="n"/>
      <c r="B156" s="2" t="n"/>
      <c r="C156" s="2" t="n"/>
      <c r="D156" s="2" t="n"/>
    </row>
    <row r="157" ht="15.75" customHeight="1" s="82">
      <c r="A157" s="2" t="n"/>
      <c r="B157" s="2" t="n"/>
      <c r="C157" s="2" t="n"/>
      <c r="D157" s="2" t="n"/>
    </row>
    <row r="158" ht="15.75" customHeight="1" s="82">
      <c r="A158" s="2" t="n"/>
      <c r="B158" s="2" t="n"/>
      <c r="C158" s="2" t="n"/>
      <c r="D158" s="2" t="n"/>
    </row>
    <row r="159" ht="15.75" customHeight="1" s="82">
      <c r="A159" s="2" t="n"/>
      <c r="B159" s="2" t="n"/>
      <c r="C159" s="2" t="n"/>
      <c r="D159" s="2" t="n"/>
    </row>
    <row r="160" ht="15.75" customHeight="1" s="82">
      <c r="A160" s="2" t="n"/>
      <c r="B160" s="2" t="n"/>
      <c r="C160" s="2" t="n"/>
      <c r="D160" s="2" t="n"/>
    </row>
    <row r="161" ht="15.75" customHeight="1" s="82">
      <c r="A161" s="2" t="n"/>
      <c r="B161" s="2" t="n"/>
      <c r="C161" s="2" t="n"/>
      <c r="D161" s="2" t="n"/>
    </row>
    <row r="162" ht="15.75" customHeight="1" s="82">
      <c r="A162" s="2" t="n"/>
      <c r="B162" s="2" t="n"/>
      <c r="C162" s="2" t="n"/>
      <c r="D162" s="2" t="n"/>
    </row>
    <row r="163" ht="15.75" customHeight="1" s="82">
      <c r="A163" s="2" t="n"/>
      <c r="B163" s="2" t="n"/>
      <c r="C163" s="2" t="n"/>
      <c r="D163" s="2" t="n"/>
    </row>
    <row r="164" ht="15.75" customHeight="1" s="82">
      <c r="A164" s="2" t="n"/>
      <c r="B164" s="2" t="n"/>
      <c r="C164" s="2" t="n"/>
      <c r="D164" s="2" t="n"/>
    </row>
    <row r="165" ht="15.75" customHeight="1" s="82">
      <c r="A165" s="2" t="n"/>
      <c r="B165" s="2" t="n"/>
      <c r="C165" s="2" t="n"/>
      <c r="D165" s="2" t="n"/>
    </row>
    <row r="166" ht="15.75" customHeight="1" s="82">
      <c r="A166" s="2" t="n"/>
      <c r="B166" s="2" t="n"/>
      <c r="C166" s="2" t="n"/>
      <c r="D166" s="2" t="n"/>
    </row>
    <row r="167" ht="15.75" customHeight="1" s="82">
      <c r="A167" s="2" t="n"/>
      <c r="B167" s="2" t="n"/>
      <c r="C167" s="2" t="n"/>
      <c r="D167" s="2" t="n"/>
    </row>
    <row r="168" ht="15.75" customHeight="1" s="82">
      <c r="A168" s="2" t="n"/>
      <c r="B168" s="2" t="n"/>
      <c r="C168" s="2" t="n"/>
      <c r="D168" s="2" t="n"/>
    </row>
    <row r="169" ht="15.75" customHeight="1" s="82">
      <c r="A169" s="2" t="n"/>
      <c r="B169" s="2" t="n"/>
      <c r="C169" s="2" t="n"/>
      <c r="D169" s="2" t="n"/>
    </row>
    <row r="170" ht="15.75" customHeight="1" s="82">
      <c r="A170" s="2" t="n"/>
      <c r="B170" s="2" t="n"/>
      <c r="C170" s="2" t="n"/>
      <c r="D170" s="2" t="n"/>
    </row>
    <row r="171" ht="15.75" customHeight="1" s="82">
      <c r="A171" s="2" t="n"/>
      <c r="B171" s="2" t="n"/>
      <c r="C171" s="2" t="n"/>
      <c r="D171" s="2" t="n"/>
    </row>
    <row r="172" ht="15.75" customHeight="1" s="82">
      <c r="A172" s="2" t="n"/>
      <c r="B172" s="2" t="n"/>
      <c r="C172" s="2" t="n"/>
      <c r="D172" s="2" t="n"/>
    </row>
    <row r="173" ht="15.75" customHeight="1" s="82">
      <c r="A173" s="2" t="n"/>
      <c r="B173" s="2" t="n"/>
      <c r="C173" s="2" t="n"/>
      <c r="D173" s="2" t="n"/>
    </row>
    <row r="174" ht="15.75" customHeight="1" s="82">
      <c r="A174" s="2" t="n"/>
      <c r="B174" s="2" t="n"/>
      <c r="C174" s="2" t="n"/>
      <c r="D174" s="2" t="n"/>
    </row>
    <row r="175" ht="15.75" customHeight="1" s="82">
      <c r="A175" s="2" t="n"/>
      <c r="B175" s="2" t="n"/>
      <c r="C175" s="2" t="n"/>
      <c r="D175" s="2" t="n"/>
    </row>
    <row r="176" ht="15.75" customHeight="1" s="82">
      <c r="A176" s="2" t="n"/>
      <c r="B176" s="2" t="n"/>
      <c r="C176" s="2" t="n"/>
      <c r="D176" s="2" t="n"/>
    </row>
    <row r="177" ht="15.75" customHeight="1" s="82">
      <c r="A177" s="2" t="n"/>
      <c r="B177" s="2" t="n"/>
      <c r="C177" s="2" t="n"/>
      <c r="D177" s="2" t="n"/>
    </row>
    <row r="178" ht="15.75" customHeight="1" s="82">
      <c r="A178" s="2" t="n"/>
      <c r="B178" s="2" t="n"/>
      <c r="C178" s="2" t="n"/>
      <c r="D178" s="2" t="n"/>
    </row>
    <row r="179" ht="15.75" customHeight="1" s="82">
      <c r="A179" s="2" t="n"/>
      <c r="B179" s="2" t="n"/>
      <c r="C179" s="2" t="n"/>
      <c r="D179" s="2" t="n"/>
    </row>
    <row r="180" ht="15.75" customHeight="1" s="82">
      <c r="A180" s="2" t="n"/>
      <c r="B180" s="2" t="n"/>
      <c r="C180" s="2" t="n"/>
      <c r="D180" s="2" t="n"/>
    </row>
    <row r="181" ht="15.75" customHeight="1" s="82">
      <c r="A181" s="2" t="n"/>
      <c r="B181" s="2" t="n"/>
      <c r="C181" s="2" t="n"/>
      <c r="D181" s="2" t="n"/>
    </row>
    <row r="182" ht="15.75" customHeight="1" s="82">
      <c r="A182" s="2" t="n"/>
      <c r="B182" s="2" t="n"/>
      <c r="C182" s="2" t="n"/>
      <c r="D182" s="2" t="n"/>
    </row>
    <row r="183" ht="15.75" customHeight="1" s="82">
      <c r="A183" s="2" t="n"/>
      <c r="B183" s="2" t="n"/>
      <c r="C183" s="2" t="n"/>
      <c r="D183" s="2" t="n"/>
    </row>
    <row r="184" ht="15.75" customHeight="1" s="82">
      <c r="A184" s="2" t="n"/>
      <c r="B184" s="2" t="n"/>
      <c r="C184" s="2" t="n"/>
      <c r="D184" s="2" t="n"/>
    </row>
    <row r="185" ht="15.75" customHeight="1" s="82">
      <c r="A185" s="2" t="n"/>
      <c r="B185" s="2" t="n"/>
      <c r="C185" s="2" t="n"/>
      <c r="D185" s="2" t="n"/>
    </row>
    <row r="186" ht="15.75" customHeight="1" s="82">
      <c r="A186" s="2" t="n"/>
      <c r="B186" s="2" t="n"/>
      <c r="C186" s="2" t="n"/>
      <c r="D186" s="2" t="n"/>
    </row>
    <row r="187" ht="15.75" customHeight="1" s="82">
      <c r="A187" s="2" t="n"/>
      <c r="B187" s="2" t="n"/>
      <c r="C187" s="2" t="n"/>
      <c r="D187" s="2" t="n"/>
    </row>
    <row r="188" ht="15.75" customHeight="1" s="82">
      <c r="A188" s="2" t="n"/>
      <c r="B188" s="2" t="n"/>
      <c r="C188" s="2" t="n"/>
      <c r="D188" s="2" t="n"/>
    </row>
    <row r="189" ht="15.75" customHeight="1" s="82">
      <c r="A189" s="2" t="n"/>
      <c r="B189" s="2" t="n"/>
      <c r="C189" s="2" t="n"/>
      <c r="D189" s="2" t="n"/>
    </row>
    <row r="190" ht="15.75" customHeight="1" s="82">
      <c r="A190" s="2" t="n"/>
      <c r="B190" s="2" t="n"/>
      <c r="C190" s="2" t="n"/>
      <c r="D190" s="2" t="n"/>
    </row>
    <row r="191" ht="15.75" customHeight="1" s="82">
      <c r="A191" s="2" t="n"/>
      <c r="B191" s="2" t="n"/>
      <c r="C191" s="2" t="n"/>
      <c r="D191" s="2" t="n"/>
    </row>
    <row r="192" ht="15.75" customHeight="1" s="82">
      <c r="A192" s="2" t="n"/>
      <c r="B192" s="2" t="n"/>
      <c r="C192" s="2" t="n"/>
      <c r="D192" s="2" t="n"/>
    </row>
    <row r="193" ht="15.75" customHeight="1" s="82">
      <c r="A193" s="2" t="n"/>
      <c r="B193" s="2" t="n"/>
      <c r="C193" s="2" t="n"/>
      <c r="D193" s="2" t="n"/>
    </row>
    <row r="194" ht="15.75" customHeight="1" s="82">
      <c r="A194" s="2" t="n"/>
      <c r="B194" s="2" t="n"/>
      <c r="C194" s="2" t="n"/>
      <c r="D194" s="2" t="n"/>
    </row>
    <row r="195" ht="15.75" customHeight="1" s="82">
      <c r="A195" s="2" t="n"/>
      <c r="B195" s="2" t="n"/>
      <c r="C195" s="2" t="n"/>
      <c r="D195" s="2" t="n"/>
    </row>
    <row r="196" ht="15.75" customHeight="1" s="82">
      <c r="A196" s="2" t="n"/>
      <c r="B196" s="2" t="n"/>
      <c r="C196" s="2" t="n"/>
      <c r="D196" s="2" t="n"/>
    </row>
    <row r="197" ht="15.75" customHeight="1" s="82">
      <c r="A197" s="2" t="n"/>
      <c r="B197" s="2" t="n"/>
      <c r="C197" s="2" t="n"/>
      <c r="D197" s="2" t="n"/>
    </row>
    <row r="198" ht="15.75" customHeight="1" s="82">
      <c r="A198" s="2" t="n"/>
      <c r="B198" s="2" t="n"/>
      <c r="C198" s="2" t="n"/>
      <c r="D198" s="2" t="n"/>
    </row>
    <row r="199" ht="15.75" customHeight="1" s="82">
      <c r="A199" s="2" t="n"/>
      <c r="B199" s="2" t="n"/>
      <c r="C199" s="2" t="n"/>
      <c r="D199" s="2" t="n"/>
    </row>
    <row r="200" ht="15.75" customHeight="1" s="82">
      <c r="A200" s="2" t="n"/>
      <c r="B200" s="2" t="n"/>
      <c r="C200" s="2" t="n"/>
      <c r="D200" s="2" t="n"/>
    </row>
    <row r="201" ht="15.75" customHeight="1" s="82">
      <c r="A201" s="2" t="n"/>
      <c r="B201" s="2" t="n"/>
      <c r="C201" s="2" t="n"/>
      <c r="D201" s="2" t="n"/>
    </row>
    <row r="202" ht="15.75" customHeight="1" s="82">
      <c r="A202" s="2" t="n"/>
      <c r="B202" s="2" t="n"/>
      <c r="C202" s="2" t="n"/>
      <c r="D202" s="2" t="n"/>
    </row>
    <row r="203" ht="15.75" customHeight="1" s="82">
      <c r="A203" s="2" t="n"/>
      <c r="B203" s="2" t="n"/>
      <c r="C203" s="2" t="n"/>
      <c r="D203" s="2" t="n"/>
    </row>
    <row r="204" ht="15.75" customHeight="1" s="82">
      <c r="A204" s="2" t="n"/>
      <c r="B204" s="2" t="n"/>
      <c r="C204" s="2" t="n"/>
      <c r="D204" s="2" t="n"/>
    </row>
    <row r="205" ht="15.75" customHeight="1" s="82">
      <c r="A205" s="2" t="n"/>
      <c r="B205" s="2" t="n"/>
      <c r="C205" s="2" t="n"/>
      <c r="D205" s="2" t="n"/>
    </row>
    <row r="206" ht="15.75" customHeight="1" s="82">
      <c r="A206" s="2" t="n"/>
      <c r="B206" s="2" t="n"/>
      <c r="C206" s="2" t="n"/>
      <c r="D206" s="2" t="n"/>
    </row>
    <row r="207" ht="15.75" customHeight="1" s="82">
      <c r="A207" s="2" t="n"/>
      <c r="B207" s="2" t="n"/>
      <c r="C207" s="2" t="n"/>
      <c r="D207" s="2" t="n"/>
    </row>
    <row r="208" ht="15.75" customHeight="1" s="82">
      <c r="A208" s="2" t="n"/>
      <c r="B208" s="2" t="n"/>
      <c r="C208" s="2" t="n"/>
      <c r="D208" s="2" t="n"/>
    </row>
    <row r="209" ht="15.75" customHeight="1" s="82">
      <c r="A209" s="2" t="n"/>
      <c r="B209" s="2" t="n"/>
      <c r="C209" s="2" t="n"/>
      <c r="D209" s="2" t="n"/>
    </row>
    <row r="210" ht="15.75" customHeight="1" s="82">
      <c r="A210" s="2" t="n"/>
      <c r="B210" s="2" t="n"/>
      <c r="C210" s="2" t="n"/>
      <c r="D210" s="2" t="n"/>
    </row>
    <row r="211" ht="15.75" customHeight="1" s="82">
      <c r="A211" s="2" t="n"/>
      <c r="B211" s="2" t="n"/>
      <c r="C211" s="2" t="n"/>
      <c r="D211" s="2" t="n"/>
    </row>
    <row r="212" ht="15.75" customHeight="1" s="82">
      <c r="A212" s="2" t="n"/>
      <c r="B212" s="2" t="n"/>
      <c r="C212" s="2" t="n"/>
      <c r="D212" s="2" t="n"/>
    </row>
    <row r="213" ht="15.75" customHeight="1" s="82">
      <c r="A213" s="2" t="n"/>
      <c r="B213" s="2" t="n"/>
      <c r="C213" s="2" t="n"/>
      <c r="D213" s="2" t="n"/>
    </row>
    <row r="214" ht="15.75" customHeight="1" s="82">
      <c r="A214" s="2" t="n"/>
      <c r="B214" s="2" t="n"/>
      <c r="C214" s="2" t="n"/>
      <c r="D214" s="2" t="n"/>
    </row>
    <row r="215" ht="15.75" customHeight="1" s="82">
      <c r="A215" s="2" t="n"/>
      <c r="B215" s="2" t="n"/>
      <c r="C215" s="2" t="n"/>
      <c r="D215" s="2" t="n"/>
    </row>
    <row r="216" ht="15.75" customHeight="1" s="82">
      <c r="A216" s="2" t="n"/>
      <c r="B216" s="2" t="n"/>
      <c r="C216" s="2" t="n"/>
      <c r="D216" s="2" t="n"/>
    </row>
    <row r="217" ht="15.75" customHeight="1" s="82">
      <c r="A217" s="2" t="n"/>
      <c r="B217" s="2" t="n"/>
      <c r="C217" s="2" t="n"/>
      <c r="D217" s="2" t="n"/>
    </row>
    <row r="218" ht="15.75" customHeight="1" s="82">
      <c r="A218" s="2" t="n"/>
      <c r="B218" s="2" t="n"/>
      <c r="C218" s="2" t="n"/>
      <c r="D218" s="2" t="n"/>
    </row>
    <row r="219" ht="15.75" customHeight="1" s="82">
      <c r="A219" s="2" t="n"/>
      <c r="B219" s="2" t="n"/>
      <c r="C219" s="2" t="n"/>
      <c r="D219" s="2" t="n"/>
    </row>
    <row r="220" ht="15.75" customHeight="1" s="82">
      <c r="A220" s="2" t="n"/>
      <c r="B220" s="2" t="n"/>
      <c r="C220" s="2" t="n"/>
      <c r="D220" s="2" t="n"/>
    </row>
    <row r="221" ht="15.75" customHeight="1" s="82">
      <c r="A221" s="2" t="n"/>
      <c r="B221" s="2" t="n"/>
      <c r="C221" s="2" t="n"/>
      <c r="D221" s="2" t="n"/>
    </row>
    <row r="222" ht="15.75" customHeight="1" s="82">
      <c r="A222" s="2" t="n"/>
      <c r="B222" s="2" t="n"/>
      <c r="C222" s="2" t="n"/>
      <c r="D222" s="2" t="n"/>
    </row>
    <row r="223" ht="15.75" customHeight="1" s="82">
      <c r="A223" s="2" t="n"/>
      <c r="B223" s="2" t="n"/>
      <c r="C223" s="2" t="n"/>
      <c r="D223" s="2" t="n"/>
    </row>
    <row r="224" ht="15.75" customHeight="1" s="82">
      <c r="A224" s="2" t="n"/>
      <c r="B224" s="2" t="n"/>
      <c r="C224" s="2" t="n"/>
      <c r="D224" s="2" t="n"/>
    </row>
    <row r="225" ht="15.75" customHeight="1" s="82">
      <c r="A225" s="2" t="n"/>
      <c r="B225" s="2" t="n"/>
      <c r="C225" s="2" t="n"/>
      <c r="D225" s="2" t="n"/>
    </row>
    <row r="226" ht="15.75" customHeight="1" s="82">
      <c r="A226" s="2" t="n"/>
      <c r="B226" s="2" t="n"/>
      <c r="C226" s="2" t="n"/>
      <c r="D226" s="2" t="n"/>
    </row>
    <row r="227" ht="15.75" customHeight="1" s="82">
      <c r="A227" s="2" t="n"/>
      <c r="B227" s="2" t="n"/>
      <c r="C227" s="2" t="n"/>
      <c r="D227" s="2" t="n"/>
    </row>
    <row r="228" ht="15.75" customHeight="1" s="82">
      <c r="A228" s="2" t="n"/>
      <c r="B228" s="2" t="n"/>
      <c r="C228" s="2" t="n"/>
      <c r="D228" s="2" t="n"/>
    </row>
    <row r="229" ht="15.75" customHeight="1" s="82">
      <c r="A229" s="2" t="n"/>
      <c r="B229" s="2" t="n"/>
      <c r="C229" s="2" t="n"/>
      <c r="D229" s="2" t="n"/>
    </row>
    <row r="230" ht="15.75" customHeight="1" s="82">
      <c r="A230" s="2" t="n"/>
      <c r="B230" s="2" t="n"/>
      <c r="C230" s="2" t="n"/>
      <c r="D230" s="2" t="n"/>
    </row>
    <row r="231" ht="15.75" customHeight="1" s="82">
      <c r="A231" s="2" t="n"/>
      <c r="B231" s="2" t="n"/>
      <c r="C231" s="2" t="n"/>
      <c r="D231" s="2" t="n"/>
    </row>
    <row r="232" ht="15.75" customHeight="1" s="82">
      <c r="A232" s="2" t="n"/>
      <c r="B232" s="2" t="n"/>
      <c r="C232" s="2" t="n"/>
      <c r="D232" s="2" t="n"/>
    </row>
    <row r="233" ht="15.75" customHeight="1" s="82">
      <c r="A233" s="2" t="n"/>
      <c r="B233" s="2" t="n"/>
      <c r="C233" s="2" t="n"/>
      <c r="D233" s="2" t="n"/>
    </row>
    <row r="234" ht="15.75" customHeight="1" s="82">
      <c r="A234" s="2" t="n"/>
      <c r="B234" s="2" t="n"/>
      <c r="C234" s="2" t="n"/>
      <c r="D234" s="2" t="n"/>
    </row>
    <row r="235" ht="15.75" customHeight="1" s="82">
      <c r="A235" s="2" t="n"/>
      <c r="B235" s="2" t="n"/>
      <c r="C235" s="2" t="n"/>
      <c r="D235" s="2" t="n"/>
    </row>
    <row r="236" ht="15.75" customHeight="1" s="82">
      <c r="A236" s="2" t="n"/>
      <c r="B236" s="2" t="n"/>
      <c r="C236" s="2" t="n"/>
      <c r="D236" s="2" t="n"/>
    </row>
    <row r="237" ht="15.75" customHeight="1" s="82">
      <c r="A237" s="2" t="n"/>
      <c r="B237" s="2" t="n"/>
      <c r="C237" s="2" t="n"/>
      <c r="D237" s="2" t="n"/>
    </row>
    <row r="238" ht="15.75" customHeight="1" s="82">
      <c r="A238" s="2" t="n"/>
      <c r="B238" s="2" t="n"/>
      <c r="C238" s="2" t="n"/>
      <c r="D238" s="2" t="n"/>
    </row>
    <row r="239" ht="15.75" customHeight="1" s="82">
      <c r="A239" s="2" t="n"/>
      <c r="B239" s="2" t="n"/>
      <c r="C239" s="2" t="n"/>
      <c r="D239" s="2" t="n"/>
    </row>
    <row r="240" ht="15.75" customHeight="1" s="82">
      <c r="A240" s="2" t="n"/>
      <c r="B240" s="2" t="n"/>
      <c r="C240" s="2" t="n"/>
      <c r="D240" s="2" t="n"/>
    </row>
    <row r="241" ht="15.75" customHeight="1" s="82">
      <c r="A241" s="2" t="n"/>
      <c r="B241" s="2" t="n"/>
      <c r="C241" s="2" t="n"/>
      <c r="D241" s="2" t="n"/>
    </row>
    <row r="242" ht="15.75" customHeight="1" s="82">
      <c r="A242" s="2" t="n"/>
      <c r="B242" s="2" t="n"/>
      <c r="C242" s="2" t="n"/>
      <c r="D242" s="2" t="n"/>
    </row>
    <row r="243" ht="15.75" customHeight="1" s="82">
      <c r="A243" s="2" t="n"/>
      <c r="B243" s="2" t="n"/>
      <c r="C243" s="2" t="n"/>
      <c r="D243" s="2" t="n"/>
    </row>
    <row r="244" ht="15.75" customHeight="1" s="82">
      <c r="A244" s="2" t="n"/>
      <c r="B244" s="2" t="n"/>
      <c r="C244" s="2" t="n"/>
      <c r="D244" s="2" t="n"/>
    </row>
    <row r="245" ht="15.75" customHeight="1" s="82">
      <c r="A245" s="2" t="n"/>
      <c r="B245" s="2" t="n"/>
      <c r="C245" s="2" t="n"/>
      <c r="D245" s="2" t="n"/>
    </row>
    <row r="246" ht="15.75" customHeight="1" s="82">
      <c r="A246" s="2" t="n"/>
      <c r="B246" s="2" t="n"/>
      <c r="C246" s="2" t="n"/>
      <c r="D246" s="2" t="n"/>
    </row>
    <row r="247" ht="15.75" customHeight="1" s="82">
      <c r="A247" s="2" t="n"/>
      <c r="B247" s="2" t="n"/>
      <c r="C247" s="2" t="n"/>
      <c r="D247" s="2" t="n"/>
    </row>
    <row r="248" ht="15.75" customHeight="1" s="82">
      <c r="A248" s="2" t="n"/>
      <c r="B248" s="2" t="n"/>
      <c r="C248" s="2" t="n"/>
      <c r="D248" s="2" t="n"/>
    </row>
    <row r="249" ht="15.75" customHeight="1" s="82">
      <c r="A249" s="2" t="n"/>
      <c r="B249" s="2" t="n"/>
      <c r="C249" s="2" t="n"/>
      <c r="D249" s="2" t="n"/>
    </row>
    <row r="250" ht="15.75" customHeight="1" s="82">
      <c r="A250" s="2" t="n"/>
      <c r="B250" s="2" t="n"/>
      <c r="C250" s="2" t="n"/>
      <c r="D250" s="2" t="n"/>
    </row>
    <row r="251" ht="15.75" customHeight="1" s="82">
      <c r="A251" s="2" t="n"/>
      <c r="B251" s="2" t="n"/>
      <c r="C251" s="2" t="n"/>
      <c r="D251" s="2" t="n"/>
    </row>
    <row r="252" ht="15.75" customHeight="1" s="82">
      <c r="A252" s="2" t="n"/>
      <c r="B252" s="2" t="n"/>
      <c r="C252" s="2" t="n"/>
      <c r="D252" s="2" t="n"/>
    </row>
    <row r="253" ht="15.75" customHeight="1" s="82">
      <c r="A253" s="2" t="n"/>
      <c r="B253" s="2" t="n"/>
      <c r="C253" s="2" t="n"/>
      <c r="D253" s="2" t="n"/>
    </row>
    <row r="254" ht="15.75" customHeight="1" s="82">
      <c r="A254" s="2" t="n"/>
      <c r="B254" s="2" t="n"/>
      <c r="C254" s="2" t="n"/>
      <c r="D254" s="2" t="n"/>
    </row>
    <row r="255" ht="15.75" customHeight="1" s="82">
      <c r="A255" s="2" t="n"/>
      <c r="B255" s="2" t="n"/>
      <c r="C255" s="2" t="n"/>
      <c r="D255" s="2" t="n"/>
    </row>
    <row r="256" ht="15.75" customHeight="1" s="82">
      <c r="A256" s="2" t="n"/>
      <c r="B256" s="2" t="n"/>
      <c r="C256" s="2" t="n"/>
      <c r="D256" s="2" t="n"/>
    </row>
    <row r="257" ht="15.75" customHeight="1" s="82">
      <c r="A257" s="2" t="n"/>
      <c r="B257" s="2" t="n"/>
      <c r="C257" s="2" t="n"/>
      <c r="D257" s="2" t="n"/>
    </row>
    <row r="258" ht="15.75" customHeight="1" s="82">
      <c r="A258" s="2" t="n"/>
      <c r="B258" s="2" t="n"/>
      <c r="C258" s="2" t="n"/>
      <c r="D258" s="2" t="n"/>
    </row>
    <row r="259" ht="15.75" customHeight="1" s="82">
      <c r="A259" s="2" t="n"/>
      <c r="B259" s="2" t="n"/>
      <c r="C259" s="2" t="n"/>
      <c r="D259" s="2" t="n"/>
    </row>
    <row r="260" ht="15.75" customHeight="1" s="82">
      <c r="A260" s="2" t="n"/>
      <c r="B260" s="2" t="n"/>
      <c r="C260" s="2" t="n"/>
      <c r="D260" s="2" t="n"/>
    </row>
    <row r="261" ht="15.75" customHeight="1" s="82">
      <c r="A261" s="2" t="n"/>
      <c r="B261" s="2" t="n"/>
      <c r="C261" s="2" t="n"/>
      <c r="D261" s="2" t="n"/>
    </row>
    <row r="262" ht="15.75" customHeight="1" s="82">
      <c r="A262" s="2" t="n"/>
      <c r="B262" s="2" t="n"/>
      <c r="C262" s="2" t="n"/>
      <c r="D262" s="2" t="n"/>
    </row>
    <row r="263" ht="15.75" customHeight="1" s="82">
      <c r="A263" s="2" t="n"/>
      <c r="B263" s="2" t="n"/>
      <c r="C263" s="2" t="n"/>
      <c r="D263" s="2" t="n"/>
    </row>
    <row r="264" ht="15.75" customHeight="1" s="82">
      <c r="A264" s="2" t="n"/>
      <c r="B264" s="2" t="n"/>
      <c r="C264" s="2" t="n"/>
      <c r="D264" s="2" t="n"/>
    </row>
    <row r="265" ht="15.75" customHeight="1" s="82">
      <c r="A265" s="2" t="n"/>
      <c r="B265" s="2" t="n"/>
      <c r="C265" s="2" t="n"/>
      <c r="D265" s="2" t="n"/>
    </row>
    <row r="266" ht="15.75" customHeight="1" s="82">
      <c r="A266" s="2" t="n"/>
      <c r="B266" s="2" t="n"/>
      <c r="C266" s="2" t="n"/>
      <c r="D266" s="2" t="n"/>
    </row>
    <row r="267" ht="15.75" customHeight="1" s="82">
      <c r="A267" s="2" t="n"/>
      <c r="B267" s="2" t="n"/>
      <c r="C267" s="2" t="n"/>
      <c r="D267" s="2" t="n"/>
    </row>
    <row r="268" ht="15.75" customHeight="1" s="82">
      <c r="A268" s="2" t="n"/>
      <c r="B268" s="2" t="n"/>
      <c r="C268" s="2" t="n"/>
      <c r="D268" s="2" t="n"/>
    </row>
    <row r="269" ht="15.75" customHeight="1" s="82">
      <c r="A269" s="2" t="n"/>
      <c r="B269" s="2" t="n"/>
      <c r="C269" s="2" t="n"/>
      <c r="D269" s="2" t="n"/>
    </row>
    <row r="270" ht="15.75" customHeight="1" s="82">
      <c r="A270" s="2" t="n"/>
      <c r="B270" s="2" t="n"/>
      <c r="C270" s="2" t="n"/>
      <c r="D270" s="2" t="n"/>
    </row>
    <row r="271" ht="15.75" customHeight="1" s="82">
      <c r="A271" s="2" t="n"/>
      <c r="B271" s="2" t="n"/>
      <c r="C271" s="2" t="n"/>
      <c r="D271" s="2" t="n"/>
    </row>
    <row r="272" ht="15.75" customHeight="1" s="82">
      <c r="A272" s="2" t="n"/>
      <c r="B272" s="2" t="n"/>
      <c r="C272" s="2" t="n"/>
      <c r="D272" s="2" t="n"/>
    </row>
    <row r="273" ht="15.75" customHeight="1" s="82">
      <c r="A273" s="2" t="n"/>
      <c r="B273" s="2" t="n"/>
      <c r="C273" s="2" t="n"/>
      <c r="D273" s="2" t="n"/>
    </row>
    <row r="274" ht="15.75" customHeight="1" s="82">
      <c r="A274" s="2" t="n"/>
      <c r="B274" s="2" t="n"/>
      <c r="C274" s="2" t="n"/>
      <c r="D274" s="2" t="n"/>
    </row>
    <row r="275" ht="15.75" customHeight="1" s="82">
      <c r="A275" s="2" t="n"/>
      <c r="B275" s="2" t="n"/>
      <c r="C275" s="2" t="n"/>
      <c r="D275" s="2" t="n"/>
    </row>
    <row r="276" ht="15.75" customHeight="1" s="82">
      <c r="A276" s="2" t="n"/>
      <c r="B276" s="2" t="n"/>
      <c r="C276" s="2" t="n"/>
      <c r="D276" s="2" t="n"/>
    </row>
    <row r="277" ht="15.75" customHeight="1" s="82">
      <c r="A277" s="2" t="n"/>
      <c r="B277" s="2" t="n"/>
      <c r="C277" s="2" t="n"/>
      <c r="D277" s="2" t="n"/>
    </row>
    <row r="278" ht="15.75" customHeight="1" s="82">
      <c r="A278" s="2" t="n"/>
      <c r="B278" s="2" t="n"/>
      <c r="C278" s="2" t="n"/>
      <c r="D278" s="2" t="n"/>
    </row>
    <row r="279" ht="15.75" customHeight="1" s="82">
      <c r="A279" s="2" t="n"/>
      <c r="B279" s="2" t="n"/>
      <c r="C279" s="2" t="n"/>
      <c r="D279" s="2" t="n"/>
    </row>
    <row r="280" ht="15.75" customHeight="1" s="82">
      <c r="A280" s="2" t="n"/>
      <c r="B280" s="2" t="n"/>
      <c r="C280" s="2" t="n"/>
      <c r="D280" s="2" t="n"/>
    </row>
    <row r="281" ht="15.75" customHeight="1" s="82">
      <c r="A281" s="2" t="n"/>
      <c r="B281" s="2" t="n"/>
      <c r="C281" s="2" t="n"/>
      <c r="D281" s="2" t="n"/>
    </row>
    <row r="282" ht="15.75" customHeight="1" s="82">
      <c r="A282" s="2" t="n"/>
      <c r="B282" s="2" t="n"/>
      <c r="C282" s="2" t="n"/>
      <c r="D282" s="2" t="n"/>
    </row>
    <row r="283" ht="15.75" customHeight="1" s="82">
      <c r="A283" s="2" t="n"/>
      <c r="B283" s="2" t="n"/>
      <c r="C283" s="2" t="n"/>
      <c r="D283" s="2" t="n"/>
    </row>
    <row r="284" ht="15.75" customHeight="1" s="82">
      <c r="A284" s="2" t="n"/>
      <c r="B284" s="2" t="n"/>
      <c r="C284" s="2" t="n"/>
      <c r="D284" s="2" t="n"/>
    </row>
    <row r="285" ht="15.75" customHeight="1" s="82">
      <c r="A285" s="2" t="n"/>
      <c r="B285" s="2" t="n"/>
      <c r="C285" s="2" t="n"/>
      <c r="D285" s="2" t="n"/>
    </row>
    <row r="286" ht="15.75" customHeight="1" s="82">
      <c r="A286" s="2" t="n"/>
      <c r="B286" s="2" t="n"/>
      <c r="C286" s="2" t="n"/>
      <c r="D286" s="2" t="n"/>
    </row>
    <row r="287" ht="15.75" customHeight="1" s="82">
      <c r="A287" s="2" t="n"/>
      <c r="B287" s="2" t="n"/>
      <c r="C287" s="2" t="n"/>
      <c r="D287" s="2" t="n"/>
    </row>
    <row r="288" ht="15.75" customHeight="1" s="82">
      <c r="A288" s="2" t="n"/>
      <c r="B288" s="2" t="n"/>
      <c r="C288" s="2" t="n"/>
      <c r="D288" s="2" t="n"/>
    </row>
    <row r="289" ht="15.75" customHeight="1" s="82">
      <c r="A289" s="2" t="n"/>
      <c r="B289" s="2" t="n"/>
      <c r="C289" s="2" t="n"/>
      <c r="D289" s="2" t="n"/>
    </row>
    <row r="290" ht="15.75" customHeight="1" s="82">
      <c r="A290" s="2" t="n"/>
      <c r="B290" s="2" t="n"/>
      <c r="C290" s="2" t="n"/>
      <c r="D290" s="2" t="n"/>
    </row>
    <row r="291" ht="15.75" customHeight="1" s="82">
      <c r="A291" s="2" t="n"/>
      <c r="B291" s="2" t="n"/>
      <c r="C291" s="2" t="n"/>
      <c r="D291" s="2" t="n"/>
    </row>
    <row r="292" ht="15.75" customHeight="1" s="82">
      <c r="A292" s="2" t="n"/>
      <c r="B292" s="2" t="n"/>
      <c r="C292" s="2" t="n"/>
      <c r="D292" s="2" t="n"/>
    </row>
    <row r="293" ht="15.75" customHeight="1" s="82">
      <c r="A293" s="2" t="n"/>
      <c r="B293" s="2" t="n"/>
      <c r="C293" s="2" t="n"/>
      <c r="D293" s="2" t="n"/>
    </row>
    <row r="294" ht="15.75" customHeight="1" s="82">
      <c r="A294" s="2" t="n"/>
      <c r="B294" s="2" t="n"/>
      <c r="C294" s="2" t="n"/>
      <c r="D294" s="2" t="n"/>
    </row>
    <row r="295" ht="15.75" customHeight="1" s="82">
      <c r="A295" s="2" t="n"/>
      <c r="B295" s="2" t="n"/>
      <c r="C295" s="2" t="n"/>
      <c r="D295" s="2" t="n"/>
    </row>
    <row r="296" ht="15.75" customHeight="1" s="82">
      <c r="A296" s="2" t="n"/>
      <c r="B296" s="2" t="n"/>
      <c r="C296" s="2" t="n"/>
      <c r="D296" s="2" t="n"/>
    </row>
    <row r="297" ht="15.75" customHeight="1" s="82">
      <c r="A297" s="2" t="n"/>
      <c r="B297" s="2" t="n"/>
      <c r="C297" s="2" t="n"/>
      <c r="D297" s="2" t="n"/>
    </row>
    <row r="298" ht="15.75" customHeight="1" s="82">
      <c r="A298" s="2" t="n"/>
      <c r="B298" s="2" t="n"/>
      <c r="C298" s="2" t="n"/>
      <c r="D298" s="2" t="n"/>
    </row>
    <row r="299" ht="15.75" customHeight="1" s="82">
      <c r="A299" s="2" t="n"/>
      <c r="B299" s="2" t="n"/>
      <c r="C299" s="2" t="n"/>
      <c r="D299" s="2" t="n"/>
    </row>
    <row r="300" ht="15.75" customHeight="1" s="82">
      <c r="A300" s="2" t="n"/>
      <c r="B300" s="2" t="n"/>
      <c r="C300" s="2" t="n"/>
      <c r="D300" s="2" t="n"/>
    </row>
    <row r="301" ht="15.75" customHeight="1" s="82">
      <c r="A301" s="2" t="n"/>
      <c r="B301" s="2" t="n"/>
      <c r="C301" s="2" t="n"/>
      <c r="D301" s="2" t="n"/>
    </row>
    <row r="302" ht="15.75" customHeight="1" s="82">
      <c r="A302" s="2" t="n"/>
      <c r="B302" s="2" t="n"/>
      <c r="C302" s="2" t="n"/>
      <c r="D302" s="2" t="n"/>
    </row>
    <row r="303" ht="15.75" customHeight="1" s="82">
      <c r="A303" s="2" t="n"/>
      <c r="B303" s="2" t="n"/>
      <c r="C303" s="2" t="n"/>
      <c r="D303" s="2" t="n"/>
    </row>
    <row r="304" ht="15.75" customHeight="1" s="82">
      <c r="A304" s="2" t="n"/>
      <c r="B304" s="2" t="n"/>
      <c r="C304" s="2" t="n"/>
      <c r="D304" s="2" t="n"/>
    </row>
    <row r="305" ht="15.75" customHeight="1" s="82">
      <c r="A305" s="2" t="n"/>
      <c r="B305" s="2" t="n"/>
      <c r="C305" s="2" t="n"/>
      <c r="D305" s="2" t="n"/>
    </row>
    <row r="306" ht="15.75" customHeight="1" s="82">
      <c r="A306" s="2" t="n"/>
      <c r="B306" s="2" t="n"/>
      <c r="C306" s="2" t="n"/>
      <c r="D306" s="2" t="n"/>
    </row>
    <row r="307" ht="15.75" customHeight="1" s="82">
      <c r="A307" s="2" t="n"/>
      <c r="B307" s="2" t="n"/>
      <c r="C307" s="2" t="n"/>
      <c r="D307" s="2" t="n"/>
    </row>
    <row r="308" ht="15.75" customHeight="1" s="82">
      <c r="A308" s="2" t="n"/>
      <c r="B308" s="2" t="n"/>
      <c r="C308" s="2" t="n"/>
      <c r="D308" s="2" t="n"/>
    </row>
    <row r="309" ht="15.75" customHeight="1" s="82">
      <c r="A309" s="2" t="n"/>
      <c r="B309" s="2" t="n"/>
      <c r="C309" s="2" t="n"/>
      <c r="D309" s="2" t="n"/>
    </row>
    <row r="310" ht="15.75" customHeight="1" s="82">
      <c r="A310" s="2" t="n"/>
      <c r="B310" s="2" t="n"/>
      <c r="C310" s="2" t="n"/>
      <c r="D310" s="2" t="n"/>
    </row>
    <row r="311" ht="15.75" customHeight="1" s="82">
      <c r="A311" s="2" t="n"/>
      <c r="B311" s="2" t="n"/>
      <c r="C311" s="2" t="n"/>
      <c r="D311" s="2" t="n"/>
    </row>
    <row r="312" ht="15.75" customHeight="1" s="82">
      <c r="A312" s="2" t="n"/>
      <c r="B312" s="2" t="n"/>
      <c r="C312" s="2" t="n"/>
      <c r="D312" s="2" t="n"/>
    </row>
    <row r="313" ht="15.75" customHeight="1" s="82">
      <c r="A313" s="2" t="n"/>
      <c r="B313" s="2" t="n"/>
      <c r="C313" s="2" t="n"/>
      <c r="D313" s="2" t="n"/>
    </row>
    <row r="314" ht="15.75" customHeight="1" s="82">
      <c r="A314" s="2" t="n"/>
      <c r="B314" s="2" t="n"/>
      <c r="C314" s="2" t="n"/>
      <c r="D314" s="2" t="n"/>
    </row>
    <row r="315" ht="15.75" customHeight="1" s="82">
      <c r="A315" s="2" t="n"/>
      <c r="B315" s="2" t="n"/>
      <c r="C315" s="2" t="n"/>
      <c r="D315" s="2" t="n"/>
    </row>
    <row r="316" ht="15.75" customHeight="1" s="82">
      <c r="A316" s="2" t="n"/>
      <c r="B316" s="2" t="n"/>
      <c r="C316" s="2" t="n"/>
      <c r="D316" s="2" t="n"/>
    </row>
    <row r="317" ht="15.75" customHeight="1" s="82">
      <c r="A317" s="2" t="n"/>
      <c r="B317" s="2" t="n"/>
      <c r="C317" s="2" t="n"/>
      <c r="D317" s="2" t="n"/>
    </row>
    <row r="318" ht="15.75" customHeight="1" s="82">
      <c r="A318" s="2" t="n"/>
      <c r="B318" s="2" t="n"/>
      <c r="C318" s="2" t="n"/>
      <c r="D318" s="2" t="n"/>
    </row>
    <row r="319" ht="15.75" customHeight="1" s="82">
      <c r="A319" s="2" t="n"/>
      <c r="B319" s="2" t="n"/>
      <c r="C319" s="2" t="n"/>
      <c r="D319" s="2" t="n"/>
    </row>
    <row r="320" ht="15.75" customHeight="1" s="82">
      <c r="A320" s="2" t="n"/>
      <c r="B320" s="2" t="n"/>
      <c r="C320" s="2" t="n"/>
      <c r="D320" s="2" t="n"/>
    </row>
    <row r="321" ht="15.75" customHeight="1" s="82">
      <c r="A321" s="2" t="n"/>
      <c r="B321" s="2" t="n"/>
      <c r="C321" s="2" t="n"/>
      <c r="D321" s="2" t="n"/>
    </row>
    <row r="322" ht="15.75" customHeight="1" s="82">
      <c r="A322" s="2" t="n"/>
      <c r="B322" s="2" t="n"/>
      <c r="C322" s="2" t="n"/>
      <c r="D322" s="2" t="n"/>
    </row>
    <row r="323" ht="15.75" customHeight="1" s="82">
      <c r="A323" s="2" t="n"/>
      <c r="B323" s="2" t="n"/>
      <c r="C323" s="2" t="n"/>
      <c r="D323" s="2" t="n"/>
    </row>
    <row r="324" ht="15.75" customHeight="1" s="82">
      <c r="A324" s="2" t="n"/>
      <c r="B324" s="2" t="n"/>
      <c r="C324" s="2" t="n"/>
      <c r="D324" s="2" t="n"/>
    </row>
    <row r="325" ht="15.75" customHeight="1" s="82">
      <c r="A325" s="2" t="n"/>
      <c r="B325" s="2" t="n"/>
      <c r="C325" s="2" t="n"/>
      <c r="D325" s="2" t="n"/>
    </row>
    <row r="326" ht="15.75" customHeight="1" s="82">
      <c r="A326" s="2" t="n"/>
      <c r="B326" s="2" t="n"/>
      <c r="C326" s="2" t="n"/>
      <c r="D326" s="2" t="n"/>
    </row>
    <row r="327" ht="15.75" customHeight="1" s="82">
      <c r="A327" s="2" t="n"/>
      <c r="B327" s="2" t="n"/>
      <c r="C327" s="2" t="n"/>
      <c r="D327" s="2" t="n"/>
    </row>
    <row r="328" ht="15.75" customHeight="1" s="82">
      <c r="A328" s="2" t="n"/>
      <c r="B328" s="2" t="n"/>
      <c r="C328" s="2" t="n"/>
      <c r="D328" s="2" t="n"/>
    </row>
    <row r="329" ht="15.75" customHeight="1" s="82">
      <c r="A329" s="2" t="n"/>
      <c r="B329" s="2" t="n"/>
      <c r="C329" s="2" t="n"/>
      <c r="D329" s="2" t="n"/>
    </row>
    <row r="330" ht="15.75" customHeight="1" s="82">
      <c r="A330" s="2" t="n"/>
      <c r="B330" s="2" t="n"/>
      <c r="C330" s="2" t="n"/>
      <c r="D330" s="2" t="n"/>
    </row>
    <row r="331" ht="15.75" customHeight="1" s="82">
      <c r="A331" s="2" t="n"/>
      <c r="B331" s="2" t="n"/>
      <c r="C331" s="2" t="n"/>
      <c r="D331" s="2" t="n"/>
    </row>
    <row r="332" ht="15.75" customHeight="1" s="82">
      <c r="A332" s="2" t="n"/>
      <c r="B332" s="2" t="n"/>
      <c r="C332" s="2" t="n"/>
      <c r="D332" s="2" t="n"/>
    </row>
    <row r="333" ht="15.75" customHeight="1" s="82">
      <c r="A333" s="2" t="n"/>
      <c r="B333" s="2" t="n"/>
      <c r="C333" s="2" t="n"/>
      <c r="D333" s="2" t="n"/>
    </row>
    <row r="334" ht="15.75" customHeight="1" s="82">
      <c r="A334" s="2" t="n"/>
      <c r="B334" s="2" t="n"/>
      <c r="C334" s="2" t="n"/>
      <c r="D334" s="2" t="n"/>
    </row>
    <row r="335" ht="15.75" customHeight="1" s="82">
      <c r="A335" s="2" t="n"/>
      <c r="B335" s="2" t="n"/>
      <c r="C335" s="2" t="n"/>
      <c r="D335" s="2" t="n"/>
    </row>
    <row r="336" ht="15.75" customHeight="1" s="82">
      <c r="A336" s="2" t="n"/>
      <c r="B336" s="2" t="n"/>
      <c r="C336" s="2" t="n"/>
      <c r="D336" s="2" t="n"/>
    </row>
    <row r="337" ht="15.75" customHeight="1" s="82">
      <c r="A337" s="2" t="n"/>
      <c r="B337" s="2" t="n"/>
      <c r="C337" s="2" t="n"/>
      <c r="D337" s="2" t="n"/>
    </row>
    <row r="338" ht="15.75" customHeight="1" s="82">
      <c r="A338" s="2" t="n"/>
      <c r="B338" s="2" t="n"/>
      <c r="C338" s="2" t="n"/>
      <c r="D338" s="2" t="n"/>
    </row>
    <row r="339" ht="15.75" customHeight="1" s="82">
      <c r="A339" s="2" t="n"/>
      <c r="B339" s="2" t="n"/>
      <c r="C339" s="2" t="n"/>
      <c r="D339" s="2" t="n"/>
    </row>
    <row r="340" ht="15.75" customHeight="1" s="82">
      <c r="A340" s="2" t="n"/>
      <c r="B340" s="2" t="n"/>
      <c r="C340" s="2" t="n"/>
      <c r="D340" s="2" t="n"/>
    </row>
    <row r="341" ht="15.75" customHeight="1" s="82">
      <c r="A341" s="2" t="n"/>
      <c r="B341" s="2" t="n"/>
      <c r="C341" s="2" t="n"/>
      <c r="D341" s="2" t="n"/>
    </row>
    <row r="342" ht="15.75" customHeight="1" s="82">
      <c r="A342" s="2" t="n"/>
      <c r="B342" s="2" t="n"/>
      <c r="C342" s="2" t="n"/>
      <c r="D342" s="2" t="n"/>
    </row>
    <row r="343" ht="15.75" customHeight="1" s="82">
      <c r="A343" s="2" t="n"/>
      <c r="B343" s="2" t="n"/>
      <c r="C343" s="2" t="n"/>
      <c r="D343" s="2" t="n"/>
    </row>
    <row r="344" ht="15.75" customHeight="1" s="82">
      <c r="A344" s="2" t="n"/>
      <c r="B344" s="2" t="n"/>
      <c r="C344" s="2" t="n"/>
      <c r="D344" s="2" t="n"/>
    </row>
    <row r="345" ht="15.75" customHeight="1" s="82">
      <c r="A345" s="2" t="n"/>
      <c r="B345" s="2" t="n"/>
      <c r="C345" s="2" t="n"/>
      <c r="D345" s="2" t="n"/>
    </row>
    <row r="346" ht="15.75" customHeight="1" s="82">
      <c r="A346" s="2" t="n"/>
      <c r="B346" s="2" t="n"/>
      <c r="C346" s="2" t="n"/>
      <c r="D346" s="2" t="n"/>
    </row>
    <row r="347" ht="15.75" customHeight="1" s="82">
      <c r="A347" s="2" t="n"/>
      <c r="B347" s="2" t="n"/>
      <c r="C347" s="2" t="n"/>
      <c r="D347" s="2" t="n"/>
    </row>
    <row r="348" ht="15.75" customHeight="1" s="82">
      <c r="A348" s="2" t="n"/>
      <c r="B348" s="2" t="n"/>
      <c r="C348" s="2" t="n"/>
      <c r="D348" s="2" t="n"/>
    </row>
    <row r="349" ht="15.75" customHeight="1" s="82">
      <c r="A349" s="2" t="n"/>
      <c r="B349" s="2" t="n"/>
      <c r="C349" s="2" t="n"/>
      <c r="D349" s="2" t="n"/>
    </row>
    <row r="350" ht="15.75" customHeight="1" s="82">
      <c r="A350" s="2" t="n"/>
      <c r="B350" s="2" t="n"/>
      <c r="C350" s="2" t="n"/>
      <c r="D350" s="2" t="n"/>
    </row>
    <row r="351" ht="15.75" customHeight="1" s="82">
      <c r="A351" s="2" t="n"/>
      <c r="B351" s="2" t="n"/>
      <c r="C351" s="2" t="n"/>
      <c r="D351" s="2" t="n"/>
    </row>
    <row r="352" ht="15.75" customHeight="1" s="82">
      <c r="A352" s="2" t="n"/>
      <c r="B352" s="2" t="n"/>
      <c r="C352" s="2" t="n"/>
      <c r="D352" s="2" t="n"/>
    </row>
    <row r="353" ht="15.75" customHeight="1" s="82">
      <c r="A353" s="2" t="n"/>
      <c r="B353" s="2" t="n"/>
      <c r="C353" s="2" t="n"/>
      <c r="D353" s="2" t="n"/>
    </row>
    <row r="354" ht="15.75" customHeight="1" s="82">
      <c r="A354" s="2" t="n"/>
      <c r="B354" s="2" t="n"/>
      <c r="C354" s="2" t="n"/>
      <c r="D354" s="2" t="n"/>
    </row>
    <row r="355" ht="15.75" customHeight="1" s="82">
      <c r="A355" s="2" t="n"/>
      <c r="B355" s="2" t="n"/>
      <c r="C355" s="2" t="n"/>
      <c r="D355" s="2" t="n"/>
    </row>
    <row r="356" ht="15.75" customHeight="1" s="82">
      <c r="A356" s="2" t="n"/>
      <c r="B356" s="2" t="n"/>
      <c r="C356" s="2" t="n"/>
      <c r="D356" s="2" t="n"/>
    </row>
    <row r="357" ht="15.75" customHeight="1" s="82">
      <c r="A357" s="2" t="n"/>
      <c r="B357" s="2" t="n"/>
      <c r="C357" s="2" t="n"/>
      <c r="D357" s="2" t="n"/>
    </row>
    <row r="358" ht="15.75" customHeight="1" s="82">
      <c r="A358" s="2" t="n"/>
      <c r="B358" s="2" t="n"/>
      <c r="C358" s="2" t="n"/>
      <c r="D358" s="2" t="n"/>
    </row>
    <row r="359" ht="15.75" customHeight="1" s="82">
      <c r="A359" s="2" t="n"/>
      <c r="B359" s="2" t="n"/>
      <c r="C359" s="2" t="n"/>
      <c r="D359" s="2" t="n"/>
    </row>
    <row r="360" ht="15.75" customHeight="1" s="82">
      <c r="A360" s="2" t="n"/>
      <c r="B360" s="2" t="n"/>
      <c r="C360" s="2" t="n"/>
      <c r="D360" s="2" t="n"/>
    </row>
    <row r="361" ht="15.75" customHeight="1" s="82">
      <c r="A361" s="2" t="n"/>
      <c r="B361" s="2" t="n"/>
      <c r="C361" s="2" t="n"/>
      <c r="D361" s="2" t="n"/>
    </row>
    <row r="362" ht="15.75" customHeight="1" s="82">
      <c r="A362" s="2" t="n"/>
      <c r="B362" s="2" t="n"/>
      <c r="C362" s="2" t="n"/>
      <c r="D362" s="2" t="n"/>
    </row>
    <row r="363" ht="15.75" customHeight="1" s="82">
      <c r="A363" s="2" t="n"/>
      <c r="B363" s="2" t="n"/>
      <c r="C363" s="2" t="n"/>
      <c r="D363" s="2" t="n"/>
    </row>
    <row r="364" ht="15.75" customHeight="1" s="82">
      <c r="A364" s="2" t="n"/>
      <c r="B364" s="2" t="n"/>
      <c r="C364" s="2" t="n"/>
      <c r="D364" s="2" t="n"/>
    </row>
    <row r="365" ht="15.75" customHeight="1" s="82">
      <c r="A365" s="2" t="n"/>
      <c r="B365" s="2" t="n"/>
      <c r="C365" s="2" t="n"/>
      <c r="D365" s="2" t="n"/>
    </row>
    <row r="366" ht="15.75" customHeight="1" s="82">
      <c r="A366" s="2" t="n"/>
      <c r="B366" s="2" t="n"/>
      <c r="C366" s="2" t="n"/>
      <c r="D366" s="2" t="n"/>
    </row>
    <row r="367" ht="15.75" customHeight="1" s="82">
      <c r="A367" s="2" t="n"/>
      <c r="B367" s="2" t="n"/>
      <c r="C367" s="2" t="n"/>
      <c r="D367" s="2" t="n"/>
    </row>
    <row r="368" ht="15.75" customHeight="1" s="82">
      <c r="A368" s="2" t="n"/>
      <c r="B368" s="2" t="n"/>
      <c r="C368" s="2" t="n"/>
      <c r="D368" s="2" t="n"/>
    </row>
    <row r="369" ht="15.75" customHeight="1" s="82">
      <c r="A369" s="2" t="n"/>
      <c r="B369" s="2" t="n"/>
      <c r="C369" s="2" t="n"/>
      <c r="D369" s="2" t="n"/>
    </row>
    <row r="370" ht="15.75" customHeight="1" s="82">
      <c r="A370" s="2" t="n"/>
      <c r="B370" s="2" t="n"/>
      <c r="C370" s="2" t="n"/>
      <c r="D370" s="2" t="n"/>
    </row>
    <row r="371" ht="15.75" customHeight="1" s="82">
      <c r="A371" s="2" t="n"/>
      <c r="B371" s="2" t="n"/>
      <c r="C371" s="2" t="n"/>
      <c r="D371" s="2" t="n"/>
    </row>
    <row r="372" ht="15.75" customHeight="1" s="82">
      <c r="A372" s="2" t="n"/>
      <c r="B372" s="2" t="n"/>
      <c r="C372" s="2" t="n"/>
      <c r="D372" s="2" t="n"/>
    </row>
    <row r="373" ht="15.75" customHeight="1" s="82">
      <c r="A373" s="2" t="n"/>
      <c r="B373" s="2" t="n"/>
      <c r="C373" s="2" t="n"/>
      <c r="D373" s="2" t="n"/>
    </row>
    <row r="374" ht="15.75" customHeight="1" s="82">
      <c r="A374" s="2" t="n"/>
      <c r="B374" s="2" t="n"/>
      <c r="C374" s="2" t="n"/>
      <c r="D374" s="2" t="n"/>
    </row>
    <row r="375" ht="15.75" customHeight="1" s="82">
      <c r="A375" s="2" t="n"/>
      <c r="B375" s="2" t="n"/>
      <c r="C375" s="2" t="n"/>
      <c r="D375" s="2" t="n"/>
    </row>
    <row r="376" ht="15.75" customHeight="1" s="82">
      <c r="A376" s="2" t="n"/>
      <c r="B376" s="2" t="n"/>
      <c r="C376" s="2" t="n"/>
      <c r="D376" s="2" t="n"/>
    </row>
    <row r="377" ht="15.75" customHeight="1" s="82">
      <c r="A377" s="2" t="n"/>
      <c r="B377" s="2" t="n"/>
      <c r="C377" s="2" t="n"/>
      <c r="D377" s="2" t="n"/>
    </row>
    <row r="378" ht="15.75" customHeight="1" s="82">
      <c r="A378" s="2" t="n"/>
      <c r="B378" s="2" t="n"/>
      <c r="C378" s="2" t="n"/>
      <c r="D378" s="2" t="n"/>
    </row>
    <row r="379" ht="15.75" customHeight="1" s="82">
      <c r="A379" s="2" t="n"/>
      <c r="B379" s="2" t="n"/>
      <c r="C379" s="2" t="n"/>
      <c r="D379" s="2" t="n"/>
    </row>
    <row r="380" ht="15.75" customHeight="1" s="82">
      <c r="A380" s="2" t="n"/>
      <c r="B380" s="2" t="n"/>
      <c r="C380" s="2" t="n"/>
      <c r="D380" s="2" t="n"/>
    </row>
    <row r="381" ht="15.75" customHeight="1" s="82">
      <c r="A381" s="2" t="n"/>
      <c r="B381" s="2" t="n"/>
      <c r="C381" s="2" t="n"/>
      <c r="D381" s="2" t="n"/>
    </row>
    <row r="382" ht="15.75" customHeight="1" s="82">
      <c r="A382" s="2" t="n"/>
      <c r="B382" s="2" t="n"/>
      <c r="C382" s="2" t="n"/>
      <c r="D382" s="2" t="n"/>
    </row>
    <row r="383" ht="15.75" customHeight="1" s="82">
      <c r="A383" s="2" t="n"/>
      <c r="B383" s="2" t="n"/>
      <c r="C383" s="2" t="n"/>
      <c r="D383" s="2" t="n"/>
    </row>
    <row r="384" ht="15.75" customHeight="1" s="82">
      <c r="A384" s="2" t="n"/>
      <c r="B384" s="2" t="n"/>
      <c r="C384" s="2" t="n"/>
      <c r="D384" s="2" t="n"/>
    </row>
    <row r="385" ht="15.75" customHeight="1" s="82">
      <c r="A385" s="2" t="n"/>
      <c r="B385" s="2" t="n"/>
      <c r="C385" s="2" t="n"/>
      <c r="D385" s="2" t="n"/>
    </row>
    <row r="386" ht="15.75" customHeight="1" s="82">
      <c r="A386" s="2" t="n"/>
      <c r="B386" s="2" t="n"/>
      <c r="C386" s="2" t="n"/>
      <c r="D386" s="2" t="n"/>
    </row>
    <row r="387" ht="15.75" customHeight="1" s="82">
      <c r="A387" s="2" t="n"/>
      <c r="B387" s="2" t="n"/>
      <c r="C387" s="2" t="n"/>
      <c r="D387" s="2" t="n"/>
    </row>
    <row r="388" ht="15.75" customHeight="1" s="82">
      <c r="A388" s="2" t="n"/>
      <c r="B388" s="2" t="n"/>
      <c r="C388" s="2" t="n"/>
      <c r="D388" s="2" t="n"/>
    </row>
    <row r="389" ht="15.75" customHeight="1" s="82">
      <c r="A389" s="2" t="n"/>
      <c r="B389" s="2" t="n"/>
      <c r="C389" s="2" t="n"/>
      <c r="D389" s="2" t="n"/>
    </row>
    <row r="390" ht="15.75" customHeight="1" s="82">
      <c r="A390" s="2" t="n"/>
      <c r="B390" s="2" t="n"/>
      <c r="C390" s="2" t="n"/>
      <c r="D390" s="2" t="n"/>
    </row>
    <row r="391" ht="15.75" customHeight="1" s="82">
      <c r="A391" s="2" t="n"/>
      <c r="B391" s="2" t="n"/>
      <c r="C391" s="2" t="n"/>
      <c r="D391" s="2" t="n"/>
    </row>
    <row r="392" ht="15.75" customHeight="1" s="82">
      <c r="A392" s="2" t="n"/>
      <c r="B392" s="2" t="n"/>
      <c r="C392" s="2" t="n"/>
      <c r="D392" s="2" t="n"/>
    </row>
    <row r="393" ht="15.75" customHeight="1" s="82">
      <c r="A393" s="2" t="n"/>
      <c r="B393" s="2" t="n"/>
      <c r="C393" s="2" t="n"/>
      <c r="D393" s="2" t="n"/>
    </row>
    <row r="394" ht="15.75" customHeight="1" s="82">
      <c r="A394" s="2" t="n"/>
      <c r="B394" s="2" t="n"/>
      <c r="C394" s="2" t="n"/>
      <c r="D394" s="2" t="n"/>
    </row>
    <row r="395" ht="15.75" customHeight="1" s="82">
      <c r="A395" s="2" t="n"/>
      <c r="B395" s="2" t="n"/>
      <c r="C395" s="2" t="n"/>
      <c r="D395" s="2" t="n"/>
    </row>
    <row r="396" ht="15.75" customHeight="1" s="82">
      <c r="A396" s="2" t="n"/>
      <c r="B396" s="2" t="n"/>
      <c r="C396" s="2" t="n"/>
      <c r="D396" s="2" t="n"/>
    </row>
    <row r="397" ht="15.75" customHeight="1" s="82">
      <c r="A397" s="2" t="n"/>
      <c r="B397" s="2" t="n"/>
      <c r="C397" s="2" t="n"/>
      <c r="D397" s="2" t="n"/>
    </row>
    <row r="398" ht="15.75" customHeight="1" s="82">
      <c r="A398" s="2" t="n"/>
      <c r="B398" s="2" t="n"/>
      <c r="C398" s="2" t="n"/>
      <c r="D398" s="2" t="n"/>
    </row>
    <row r="399" ht="15.75" customHeight="1" s="82">
      <c r="A399" s="2" t="n"/>
      <c r="B399" s="2" t="n"/>
      <c r="C399" s="2" t="n"/>
      <c r="D399" s="2" t="n"/>
    </row>
    <row r="400" ht="15.75" customHeight="1" s="82">
      <c r="A400" s="2" t="n"/>
      <c r="B400" s="2" t="n"/>
      <c r="C400" s="2" t="n"/>
      <c r="D400" s="2" t="n"/>
    </row>
    <row r="401" ht="15.75" customHeight="1" s="82">
      <c r="A401" s="2" t="n"/>
      <c r="B401" s="2" t="n"/>
      <c r="C401" s="2" t="n"/>
      <c r="D401" s="2" t="n"/>
    </row>
    <row r="402" ht="15.75" customHeight="1" s="82">
      <c r="A402" s="2" t="n"/>
      <c r="B402" s="2" t="n"/>
      <c r="C402" s="2" t="n"/>
      <c r="D402" s="2" t="n"/>
    </row>
    <row r="403" ht="15.75" customHeight="1" s="82">
      <c r="A403" s="2" t="n"/>
      <c r="B403" s="2" t="n"/>
      <c r="C403" s="2" t="n"/>
      <c r="D403" s="2" t="n"/>
    </row>
    <row r="404" ht="15.75" customHeight="1" s="82">
      <c r="A404" s="2" t="n"/>
      <c r="B404" s="2" t="n"/>
      <c r="C404" s="2" t="n"/>
      <c r="D404" s="2" t="n"/>
    </row>
    <row r="405" ht="15.75" customHeight="1" s="82">
      <c r="A405" s="2" t="n"/>
      <c r="B405" s="2" t="n"/>
      <c r="C405" s="2" t="n"/>
      <c r="D405" s="2" t="n"/>
    </row>
    <row r="406" ht="15.75" customHeight="1" s="82">
      <c r="A406" s="2" t="n"/>
      <c r="B406" s="2" t="n"/>
      <c r="C406" s="2" t="n"/>
      <c r="D406" s="2" t="n"/>
    </row>
    <row r="407" ht="15.75" customHeight="1" s="82">
      <c r="A407" s="2" t="n"/>
      <c r="B407" s="2" t="n"/>
      <c r="C407" s="2" t="n"/>
      <c r="D407" s="2" t="n"/>
    </row>
    <row r="408" ht="15.75" customHeight="1" s="82">
      <c r="A408" s="2" t="n"/>
      <c r="B408" s="2" t="n"/>
      <c r="C408" s="2" t="n"/>
      <c r="D408" s="2" t="n"/>
    </row>
    <row r="409" ht="15.75" customHeight="1" s="82">
      <c r="A409" s="2" t="n"/>
      <c r="B409" s="2" t="n"/>
      <c r="C409" s="2" t="n"/>
      <c r="D409" s="2" t="n"/>
    </row>
    <row r="410" ht="15.75" customHeight="1" s="82">
      <c r="A410" s="2" t="n"/>
      <c r="B410" s="2" t="n"/>
      <c r="C410" s="2" t="n"/>
      <c r="D410" s="2" t="n"/>
    </row>
    <row r="411" ht="15.75" customHeight="1" s="82">
      <c r="A411" s="2" t="n"/>
      <c r="B411" s="2" t="n"/>
      <c r="C411" s="2" t="n"/>
      <c r="D411" s="2" t="n"/>
    </row>
    <row r="412" ht="15.75" customHeight="1" s="82">
      <c r="A412" s="2" t="n"/>
      <c r="B412" s="2" t="n"/>
      <c r="C412" s="2" t="n"/>
      <c r="D412" s="2" t="n"/>
    </row>
    <row r="413" ht="15.75" customHeight="1" s="82">
      <c r="A413" s="2" t="n"/>
      <c r="B413" s="2" t="n"/>
      <c r="C413" s="2" t="n"/>
      <c r="D413" s="2" t="n"/>
    </row>
    <row r="414" ht="15.75" customHeight="1" s="82">
      <c r="A414" s="2" t="n"/>
      <c r="B414" s="2" t="n"/>
      <c r="C414" s="2" t="n"/>
      <c r="D414" s="2" t="n"/>
    </row>
    <row r="415" ht="15.75" customHeight="1" s="82">
      <c r="A415" s="2" t="n"/>
      <c r="B415" s="2" t="n"/>
      <c r="C415" s="2" t="n"/>
      <c r="D415" s="2" t="n"/>
    </row>
    <row r="416" ht="15.75" customHeight="1" s="82">
      <c r="A416" s="2" t="n"/>
      <c r="B416" s="2" t="n"/>
      <c r="C416" s="2" t="n"/>
      <c r="D416" s="2" t="n"/>
    </row>
    <row r="417" ht="15.75" customHeight="1" s="82">
      <c r="A417" s="2" t="n"/>
      <c r="B417" s="2" t="n"/>
      <c r="C417" s="2" t="n"/>
      <c r="D417" s="2" t="n"/>
    </row>
    <row r="418" ht="15.75" customHeight="1" s="82">
      <c r="A418" s="2" t="n"/>
      <c r="B418" s="2" t="n"/>
      <c r="C418" s="2" t="n"/>
      <c r="D418" s="2" t="n"/>
    </row>
    <row r="419" ht="15.75" customHeight="1" s="82">
      <c r="A419" s="2" t="n"/>
      <c r="B419" s="2" t="n"/>
      <c r="C419" s="2" t="n"/>
      <c r="D419" s="2" t="n"/>
    </row>
    <row r="420" ht="15.75" customHeight="1" s="82">
      <c r="A420" s="2" t="n"/>
      <c r="B420" s="2" t="n"/>
      <c r="C420" s="2" t="n"/>
      <c r="D420" s="2" t="n"/>
    </row>
    <row r="421" ht="15.75" customHeight="1" s="82">
      <c r="A421" s="2" t="n"/>
      <c r="B421" s="2" t="n"/>
      <c r="C421" s="2" t="n"/>
      <c r="D421" s="2" t="n"/>
    </row>
    <row r="422" ht="15.75" customHeight="1" s="82">
      <c r="A422" s="2" t="n"/>
      <c r="B422" s="2" t="n"/>
      <c r="C422" s="2" t="n"/>
      <c r="D422" s="2" t="n"/>
    </row>
    <row r="423" ht="15.75" customHeight="1" s="82">
      <c r="A423" s="2" t="n"/>
      <c r="B423" s="2" t="n"/>
      <c r="C423" s="2" t="n"/>
      <c r="D423" s="2" t="n"/>
    </row>
    <row r="424" ht="15.75" customHeight="1" s="82">
      <c r="A424" s="2" t="n"/>
      <c r="B424" s="2" t="n"/>
      <c r="C424" s="2" t="n"/>
      <c r="D424" s="2" t="n"/>
    </row>
    <row r="425" ht="15.75" customHeight="1" s="82">
      <c r="A425" s="2" t="n"/>
      <c r="B425" s="2" t="n"/>
      <c r="C425" s="2" t="n"/>
      <c r="D425" s="2" t="n"/>
    </row>
    <row r="426" ht="15.75" customHeight="1" s="82">
      <c r="A426" s="2" t="n"/>
      <c r="B426" s="2" t="n"/>
      <c r="C426" s="2" t="n"/>
      <c r="D426" s="2" t="n"/>
    </row>
    <row r="427" ht="15.75" customHeight="1" s="82">
      <c r="A427" s="2" t="n"/>
      <c r="B427" s="2" t="n"/>
      <c r="C427" s="2" t="n"/>
      <c r="D427" s="2" t="n"/>
    </row>
    <row r="428" ht="15.75" customHeight="1" s="82">
      <c r="A428" s="2" t="n"/>
      <c r="B428" s="2" t="n"/>
      <c r="C428" s="2" t="n"/>
      <c r="D428" s="2" t="n"/>
    </row>
    <row r="429" ht="15.75" customHeight="1" s="82">
      <c r="A429" s="2" t="n"/>
      <c r="B429" s="2" t="n"/>
      <c r="C429" s="2" t="n"/>
      <c r="D429" s="2" t="n"/>
    </row>
    <row r="430" ht="15.75" customHeight="1" s="82">
      <c r="A430" s="2" t="n"/>
      <c r="B430" s="2" t="n"/>
      <c r="C430" s="2" t="n"/>
      <c r="D430" s="2" t="n"/>
    </row>
    <row r="431" ht="15.75" customHeight="1" s="82">
      <c r="A431" s="2" t="n"/>
      <c r="B431" s="2" t="n"/>
      <c r="C431" s="2" t="n"/>
      <c r="D431" s="2" t="n"/>
    </row>
    <row r="432" ht="15.75" customHeight="1" s="82">
      <c r="A432" s="2" t="n"/>
      <c r="B432" s="2" t="n"/>
      <c r="C432" s="2" t="n"/>
      <c r="D432" s="2" t="n"/>
    </row>
    <row r="433" ht="15.75" customHeight="1" s="82">
      <c r="A433" s="2" t="n"/>
      <c r="B433" s="2" t="n"/>
      <c r="C433" s="2" t="n"/>
      <c r="D433" s="2" t="n"/>
    </row>
    <row r="434" ht="15.75" customHeight="1" s="82">
      <c r="A434" s="2" t="n"/>
      <c r="B434" s="2" t="n"/>
      <c r="C434" s="2" t="n"/>
      <c r="D434" s="2" t="n"/>
    </row>
    <row r="435" ht="15.75" customHeight="1" s="82">
      <c r="A435" s="2" t="n"/>
      <c r="B435" s="2" t="n"/>
      <c r="C435" s="2" t="n"/>
      <c r="D435" s="2" t="n"/>
    </row>
    <row r="436" ht="15.75" customHeight="1" s="82">
      <c r="A436" s="2" t="n"/>
      <c r="B436" s="2" t="n"/>
      <c r="C436" s="2" t="n"/>
      <c r="D436" s="2" t="n"/>
    </row>
    <row r="437" ht="15.75" customHeight="1" s="82">
      <c r="A437" s="2" t="n"/>
      <c r="B437" s="2" t="n"/>
      <c r="C437" s="2" t="n"/>
      <c r="D437" s="2" t="n"/>
    </row>
    <row r="438" ht="15.75" customHeight="1" s="82">
      <c r="A438" s="2" t="n"/>
      <c r="B438" s="2" t="n"/>
      <c r="C438" s="2" t="n"/>
      <c r="D438" s="2" t="n"/>
    </row>
    <row r="439" ht="15.75" customHeight="1" s="82">
      <c r="A439" s="2" t="n"/>
      <c r="B439" s="2" t="n"/>
      <c r="C439" s="2" t="n"/>
      <c r="D439" s="2" t="n"/>
    </row>
    <row r="440" ht="15.75" customHeight="1" s="82">
      <c r="A440" s="2" t="n"/>
      <c r="B440" s="2" t="n"/>
      <c r="C440" s="2" t="n"/>
      <c r="D440" s="2" t="n"/>
    </row>
    <row r="441" ht="15.75" customHeight="1" s="82">
      <c r="A441" s="2" t="n"/>
      <c r="B441" s="2" t="n"/>
      <c r="C441" s="2" t="n"/>
      <c r="D441" s="2" t="n"/>
    </row>
    <row r="442" ht="15.75" customHeight="1" s="82">
      <c r="A442" s="2" t="n"/>
      <c r="B442" s="2" t="n"/>
      <c r="C442" s="2" t="n"/>
      <c r="D442" s="2" t="n"/>
    </row>
    <row r="443" ht="15.75" customHeight="1" s="82">
      <c r="A443" s="2" t="n"/>
      <c r="B443" s="2" t="n"/>
      <c r="C443" s="2" t="n"/>
      <c r="D443" s="2" t="n"/>
    </row>
    <row r="444" ht="15.75" customHeight="1" s="82">
      <c r="A444" s="2" t="n"/>
      <c r="B444" s="2" t="n"/>
      <c r="C444" s="2" t="n"/>
      <c r="D444" s="2" t="n"/>
    </row>
    <row r="445" ht="15.75" customHeight="1" s="82">
      <c r="A445" s="2" t="n"/>
      <c r="B445" s="2" t="n"/>
      <c r="C445" s="2" t="n"/>
      <c r="D445" s="2" t="n"/>
    </row>
    <row r="446" ht="15.75" customHeight="1" s="82">
      <c r="A446" s="2" t="n"/>
      <c r="B446" s="2" t="n"/>
      <c r="C446" s="2" t="n"/>
      <c r="D446" s="2" t="n"/>
    </row>
    <row r="447" ht="15.75" customHeight="1" s="82">
      <c r="A447" s="2" t="n"/>
      <c r="B447" s="2" t="n"/>
      <c r="C447" s="2" t="n"/>
      <c r="D447" s="2" t="n"/>
    </row>
    <row r="448" ht="15.75" customHeight="1" s="82">
      <c r="A448" s="2" t="n"/>
      <c r="B448" s="2" t="n"/>
      <c r="C448" s="2" t="n"/>
      <c r="D448" s="2" t="n"/>
    </row>
    <row r="449" ht="15.75" customHeight="1" s="82">
      <c r="A449" s="2" t="n"/>
      <c r="B449" s="2" t="n"/>
      <c r="C449" s="2" t="n"/>
      <c r="D449" s="2" t="n"/>
    </row>
    <row r="450" ht="15.75" customHeight="1" s="82">
      <c r="A450" s="2" t="n"/>
      <c r="B450" s="2" t="n"/>
      <c r="C450" s="2" t="n"/>
      <c r="D450" s="2" t="n"/>
    </row>
    <row r="451" ht="15.75" customHeight="1" s="82">
      <c r="A451" s="2" t="n"/>
      <c r="B451" s="2" t="n"/>
      <c r="C451" s="2" t="n"/>
      <c r="D451" s="2" t="n"/>
    </row>
    <row r="452" ht="15.75" customHeight="1" s="82">
      <c r="A452" s="2" t="n"/>
      <c r="B452" s="2" t="n"/>
      <c r="C452" s="2" t="n"/>
      <c r="D452" s="2" t="n"/>
    </row>
    <row r="453" ht="15.75" customHeight="1" s="82">
      <c r="A453" s="2" t="n"/>
      <c r="B453" s="2" t="n"/>
      <c r="C453" s="2" t="n"/>
      <c r="D453" s="2" t="n"/>
    </row>
    <row r="454" ht="15.75" customHeight="1" s="82">
      <c r="A454" s="2" t="n"/>
      <c r="B454" s="2" t="n"/>
      <c r="C454" s="2" t="n"/>
      <c r="D454" s="2" t="n"/>
    </row>
    <row r="455" ht="15.75" customHeight="1" s="82">
      <c r="A455" s="2" t="n"/>
      <c r="B455" s="2" t="n"/>
      <c r="C455" s="2" t="n"/>
      <c r="D455" s="2" t="n"/>
    </row>
    <row r="456" ht="15.75" customHeight="1" s="82">
      <c r="A456" s="2" t="n"/>
      <c r="B456" s="2" t="n"/>
      <c r="C456" s="2" t="n"/>
      <c r="D456" s="2" t="n"/>
    </row>
    <row r="457" ht="15.75" customHeight="1" s="82">
      <c r="A457" s="2" t="n"/>
      <c r="B457" s="2" t="n"/>
      <c r="C457" s="2" t="n"/>
      <c r="D457" s="2" t="n"/>
    </row>
    <row r="458" ht="15.75" customHeight="1" s="82">
      <c r="A458" s="2" t="n"/>
      <c r="B458" s="2" t="n"/>
      <c r="C458" s="2" t="n"/>
      <c r="D458" s="2" t="n"/>
    </row>
    <row r="459" ht="15.75" customHeight="1" s="82">
      <c r="A459" s="2" t="n"/>
      <c r="B459" s="2" t="n"/>
      <c r="C459" s="2" t="n"/>
      <c r="D459" s="2" t="n"/>
    </row>
    <row r="460" ht="15.75" customHeight="1" s="82">
      <c r="A460" s="2" t="n"/>
      <c r="B460" s="2" t="n"/>
      <c r="C460" s="2" t="n"/>
      <c r="D460" s="2" t="n"/>
    </row>
    <row r="461" ht="15.75" customHeight="1" s="82">
      <c r="A461" s="2" t="n"/>
      <c r="B461" s="2" t="n"/>
      <c r="C461" s="2" t="n"/>
      <c r="D461" s="2" t="n"/>
    </row>
    <row r="462" ht="15.75" customHeight="1" s="82">
      <c r="A462" s="2" t="n"/>
      <c r="B462" s="2" t="n"/>
      <c r="C462" s="2" t="n"/>
      <c r="D462" s="2" t="n"/>
    </row>
    <row r="463" ht="15.75" customHeight="1" s="82">
      <c r="A463" s="2" t="n"/>
      <c r="B463" s="2" t="n"/>
      <c r="C463" s="2" t="n"/>
      <c r="D463" s="2" t="n"/>
    </row>
    <row r="464" ht="15.75" customHeight="1" s="82">
      <c r="A464" s="2" t="n"/>
      <c r="B464" s="2" t="n"/>
      <c r="C464" s="2" t="n"/>
      <c r="D464" s="2" t="n"/>
    </row>
    <row r="465" ht="15.75" customHeight="1" s="82">
      <c r="A465" s="2" t="n"/>
      <c r="B465" s="2" t="n"/>
      <c r="C465" s="2" t="n"/>
      <c r="D465" s="2" t="n"/>
    </row>
    <row r="466" ht="15.75" customHeight="1" s="82">
      <c r="A466" s="2" t="n"/>
      <c r="B466" s="2" t="n"/>
      <c r="C466" s="2" t="n"/>
      <c r="D466" s="2" t="n"/>
    </row>
    <row r="467" ht="15.75" customHeight="1" s="82">
      <c r="A467" s="2" t="n"/>
      <c r="B467" s="2" t="n"/>
      <c r="C467" s="2" t="n"/>
      <c r="D467" s="2" t="n"/>
    </row>
    <row r="468" ht="15.75" customHeight="1" s="82">
      <c r="A468" s="2" t="n"/>
      <c r="B468" s="2" t="n"/>
      <c r="C468" s="2" t="n"/>
      <c r="D468" s="2" t="n"/>
    </row>
    <row r="469" ht="15.75" customHeight="1" s="82">
      <c r="A469" s="2" t="n"/>
      <c r="B469" s="2" t="n"/>
      <c r="C469" s="2" t="n"/>
      <c r="D469" s="2" t="n"/>
    </row>
    <row r="470" ht="15.75" customHeight="1" s="82">
      <c r="A470" s="2" t="n"/>
      <c r="B470" s="2" t="n"/>
      <c r="C470" s="2" t="n"/>
      <c r="D470" s="2" t="n"/>
    </row>
    <row r="471" ht="15.75" customHeight="1" s="82">
      <c r="A471" s="2" t="n"/>
      <c r="B471" s="2" t="n"/>
      <c r="C471" s="2" t="n"/>
      <c r="D471" s="2" t="n"/>
    </row>
    <row r="472" ht="15.75" customHeight="1" s="82">
      <c r="A472" s="2" t="n"/>
      <c r="B472" s="2" t="n"/>
      <c r="C472" s="2" t="n"/>
      <c r="D472" s="2" t="n"/>
    </row>
    <row r="473" ht="15.75" customHeight="1" s="82">
      <c r="A473" s="2" t="n"/>
      <c r="B473" s="2" t="n"/>
      <c r="C473" s="2" t="n"/>
      <c r="D473" s="2" t="n"/>
    </row>
    <row r="474" ht="15.75" customHeight="1" s="82">
      <c r="A474" s="2" t="n"/>
      <c r="B474" s="2" t="n"/>
      <c r="C474" s="2" t="n"/>
      <c r="D474" s="2" t="n"/>
    </row>
    <row r="475" ht="15.75" customHeight="1" s="82">
      <c r="A475" s="2" t="n"/>
      <c r="B475" s="2" t="n"/>
      <c r="C475" s="2" t="n"/>
      <c r="D475" s="2" t="n"/>
    </row>
    <row r="476" ht="15.75" customHeight="1" s="82">
      <c r="A476" s="2" t="n"/>
      <c r="B476" s="2" t="n"/>
      <c r="C476" s="2" t="n"/>
      <c r="D476" s="2" t="n"/>
    </row>
    <row r="477" ht="15.75" customHeight="1" s="82">
      <c r="A477" s="2" t="n"/>
      <c r="B477" s="2" t="n"/>
      <c r="C477" s="2" t="n"/>
      <c r="D477" s="2" t="n"/>
    </row>
    <row r="478" ht="15.75" customHeight="1" s="82">
      <c r="A478" s="2" t="n"/>
      <c r="B478" s="2" t="n"/>
      <c r="C478" s="2" t="n"/>
      <c r="D478" s="2" t="n"/>
    </row>
    <row r="479" ht="15.75" customHeight="1" s="82">
      <c r="A479" s="2" t="n"/>
      <c r="B479" s="2" t="n"/>
      <c r="C479" s="2" t="n"/>
      <c r="D479" s="2" t="n"/>
    </row>
    <row r="480" ht="15.75" customHeight="1" s="82">
      <c r="A480" s="2" t="n"/>
      <c r="B480" s="2" t="n"/>
      <c r="C480" s="2" t="n"/>
      <c r="D480" s="2" t="n"/>
    </row>
    <row r="481" ht="15.75" customHeight="1" s="82">
      <c r="A481" s="2" t="n"/>
      <c r="B481" s="2" t="n"/>
      <c r="C481" s="2" t="n"/>
      <c r="D481" s="2" t="n"/>
    </row>
    <row r="482" ht="15.75" customHeight="1" s="82">
      <c r="A482" s="2" t="n"/>
      <c r="B482" s="2" t="n"/>
      <c r="C482" s="2" t="n"/>
      <c r="D482" s="2" t="n"/>
    </row>
    <row r="483" ht="15.75" customHeight="1" s="82">
      <c r="A483" s="2" t="n"/>
      <c r="B483" s="2" t="n"/>
      <c r="C483" s="2" t="n"/>
      <c r="D483" s="2" t="n"/>
    </row>
    <row r="484" ht="15.75" customHeight="1" s="82">
      <c r="A484" s="2" t="n"/>
      <c r="B484" s="2" t="n"/>
      <c r="C484" s="2" t="n"/>
      <c r="D484" s="2" t="n"/>
    </row>
    <row r="485" ht="15.75" customHeight="1" s="82">
      <c r="A485" s="2" t="n"/>
      <c r="B485" s="2" t="n"/>
      <c r="C485" s="2" t="n"/>
      <c r="D485" s="2" t="n"/>
    </row>
    <row r="486" ht="15.75" customHeight="1" s="82">
      <c r="A486" s="2" t="n"/>
      <c r="B486" s="2" t="n"/>
      <c r="C486" s="2" t="n"/>
      <c r="D486" s="2" t="n"/>
    </row>
    <row r="487" ht="15.75" customHeight="1" s="82">
      <c r="A487" s="2" t="n"/>
      <c r="B487" s="2" t="n"/>
      <c r="C487" s="2" t="n"/>
      <c r="D487" s="2" t="n"/>
    </row>
    <row r="488" ht="15.75" customHeight="1" s="82">
      <c r="A488" s="2" t="n"/>
      <c r="B488" s="2" t="n"/>
      <c r="C488" s="2" t="n"/>
      <c r="D488" s="2" t="n"/>
    </row>
    <row r="489" ht="15.75" customHeight="1" s="82">
      <c r="A489" s="2" t="n"/>
      <c r="B489" s="2" t="n"/>
      <c r="C489" s="2" t="n"/>
      <c r="D489" s="2" t="n"/>
    </row>
    <row r="490" ht="15.75" customHeight="1" s="82">
      <c r="A490" s="2" t="n"/>
      <c r="B490" s="2" t="n"/>
      <c r="C490" s="2" t="n"/>
      <c r="D490" s="2" t="n"/>
    </row>
    <row r="491" ht="15.75" customHeight="1" s="82">
      <c r="A491" s="2" t="n"/>
      <c r="B491" s="2" t="n"/>
      <c r="C491" s="2" t="n"/>
      <c r="D491" s="2" t="n"/>
    </row>
    <row r="492" ht="15.75" customHeight="1" s="82">
      <c r="A492" s="2" t="n"/>
      <c r="B492" s="2" t="n"/>
      <c r="C492" s="2" t="n"/>
      <c r="D492" s="2" t="n"/>
    </row>
    <row r="493" ht="15.75" customHeight="1" s="82">
      <c r="A493" s="2" t="n"/>
      <c r="B493" s="2" t="n"/>
      <c r="C493" s="2" t="n"/>
      <c r="D493" s="2" t="n"/>
    </row>
    <row r="494" ht="15.75" customHeight="1" s="82">
      <c r="A494" s="2" t="n"/>
      <c r="B494" s="2" t="n"/>
      <c r="C494" s="2" t="n"/>
      <c r="D494" s="2" t="n"/>
    </row>
    <row r="495" ht="15.75" customHeight="1" s="82">
      <c r="A495" s="2" t="n"/>
      <c r="B495" s="2" t="n"/>
      <c r="C495" s="2" t="n"/>
      <c r="D495" s="2" t="n"/>
    </row>
    <row r="496" ht="15.75" customHeight="1" s="82">
      <c r="A496" s="2" t="n"/>
      <c r="B496" s="2" t="n"/>
      <c r="C496" s="2" t="n"/>
      <c r="D496" s="2" t="n"/>
    </row>
    <row r="497" ht="15.75" customHeight="1" s="82">
      <c r="A497" s="2" t="n"/>
      <c r="B497" s="2" t="n"/>
      <c r="C497" s="2" t="n"/>
      <c r="D497" s="2" t="n"/>
    </row>
    <row r="498" ht="15.75" customHeight="1" s="82">
      <c r="A498" s="2" t="n"/>
      <c r="B498" s="2" t="n"/>
      <c r="C498" s="2" t="n"/>
      <c r="D498" s="2" t="n"/>
    </row>
    <row r="499" ht="15.75" customHeight="1" s="82">
      <c r="A499" s="2" t="n"/>
      <c r="B499" s="2" t="n"/>
      <c r="C499" s="2" t="n"/>
      <c r="D499" s="2" t="n"/>
    </row>
    <row r="500" ht="15.75" customHeight="1" s="82">
      <c r="A500" s="2" t="n"/>
      <c r="B500" s="2" t="n"/>
      <c r="C500" s="2" t="n"/>
      <c r="D500" s="2" t="n"/>
    </row>
    <row r="501" ht="15.75" customHeight="1" s="82">
      <c r="A501" s="2" t="n"/>
      <c r="B501" s="2" t="n"/>
      <c r="C501" s="2" t="n"/>
      <c r="D501" s="2" t="n"/>
    </row>
    <row r="502" ht="15.75" customHeight="1" s="82">
      <c r="A502" s="2" t="n"/>
      <c r="B502" s="2" t="n"/>
      <c r="C502" s="2" t="n"/>
      <c r="D502" s="2" t="n"/>
    </row>
    <row r="503" ht="15.75" customHeight="1" s="82">
      <c r="A503" s="2" t="n"/>
      <c r="B503" s="2" t="n"/>
      <c r="C503" s="2" t="n"/>
      <c r="D503" s="2" t="n"/>
    </row>
    <row r="504" ht="15.75" customHeight="1" s="82">
      <c r="A504" s="2" t="n"/>
      <c r="B504" s="2" t="n"/>
      <c r="C504" s="2" t="n"/>
      <c r="D504" s="2" t="n"/>
    </row>
    <row r="505" ht="15.75" customHeight="1" s="82">
      <c r="A505" s="2" t="n"/>
      <c r="B505" s="2" t="n"/>
      <c r="C505" s="2" t="n"/>
      <c r="D505" s="2" t="n"/>
    </row>
    <row r="506" ht="15.75" customHeight="1" s="82">
      <c r="A506" s="2" t="n"/>
      <c r="B506" s="2" t="n"/>
      <c r="C506" s="2" t="n"/>
      <c r="D506" s="2" t="n"/>
    </row>
    <row r="507" ht="15.75" customHeight="1" s="82">
      <c r="A507" s="2" t="n"/>
      <c r="B507" s="2" t="n"/>
      <c r="C507" s="2" t="n"/>
      <c r="D507" s="2" t="n"/>
    </row>
    <row r="508" ht="15.75" customHeight="1" s="82">
      <c r="A508" s="2" t="n"/>
      <c r="B508" s="2" t="n"/>
      <c r="C508" s="2" t="n"/>
      <c r="D508" s="2" t="n"/>
    </row>
    <row r="509" ht="15.75" customHeight="1" s="82">
      <c r="A509" s="2" t="n"/>
      <c r="B509" s="2" t="n"/>
      <c r="C509" s="2" t="n"/>
      <c r="D509" s="2" t="n"/>
    </row>
    <row r="510" ht="15.75" customHeight="1" s="82">
      <c r="A510" s="2" t="n"/>
      <c r="B510" s="2" t="n"/>
      <c r="C510" s="2" t="n"/>
      <c r="D510" s="2" t="n"/>
    </row>
    <row r="511" ht="15.75" customHeight="1" s="82">
      <c r="A511" s="2" t="n"/>
      <c r="B511" s="2" t="n"/>
      <c r="C511" s="2" t="n"/>
      <c r="D511" s="2" t="n"/>
    </row>
    <row r="512" ht="15.75" customHeight="1" s="82">
      <c r="A512" s="2" t="n"/>
      <c r="B512" s="2" t="n"/>
      <c r="C512" s="2" t="n"/>
      <c r="D512" s="2" t="n"/>
    </row>
    <row r="513" ht="15.75" customHeight="1" s="82">
      <c r="A513" s="2" t="n"/>
      <c r="B513" s="2" t="n"/>
      <c r="C513" s="2" t="n"/>
      <c r="D513" s="2" t="n"/>
    </row>
    <row r="514" ht="15.75" customHeight="1" s="82">
      <c r="A514" s="2" t="n"/>
      <c r="B514" s="2" t="n"/>
      <c r="C514" s="2" t="n"/>
      <c r="D514" s="2" t="n"/>
    </row>
    <row r="515" ht="15.75" customHeight="1" s="82">
      <c r="A515" s="2" t="n"/>
      <c r="B515" s="2" t="n"/>
      <c r="C515" s="2" t="n"/>
      <c r="D515" s="2" t="n"/>
    </row>
    <row r="516" ht="15.75" customHeight="1" s="82">
      <c r="A516" s="2" t="n"/>
      <c r="B516" s="2" t="n"/>
      <c r="C516" s="2" t="n"/>
      <c r="D516" s="2" t="n"/>
    </row>
    <row r="517" ht="15.75" customHeight="1" s="82">
      <c r="A517" s="2" t="n"/>
      <c r="B517" s="2" t="n"/>
      <c r="C517" s="2" t="n"/>
      <c r="D517" s="2" t="n"/>
    </row>
    <row r="518" ht="15.75" customHeight="1" s="82">
      <c r="A518" s="2" t="n"/>
      <c r="B518" s="2" t="n"/>
      <c r="C518" s="2" t="n"/>
      <c r="D518" s="2" t="n"/>
    </row>
    <row r="519" ht="15.75" customHeight="1" s="82">
      <c r="A519" s="2" t="n"/>
      <c r="B519" s="2" t="n"/>
      <c r="C519" s="2" t="n"/>
      <c r="D519" s="2" t="n"/>
    </row>
    <row r="520" ht="15.75" customHeight="1" s="82">
      <c r="A520" s="2" t="n"/>
      <c r="B520" s="2" t="n"/>
      <c r="C520" s="2" t="n"/>
      <c r="D520" s="2" t="n"/>
    </row>
    <row r="521" ht="15.75" customHeight="1" s="82">
      <c r="A521" s="2" t="n"/>
      <c r="B521" s="2" t="n"/>
      <c r="C521" s="2" t="n"/>
      <c r="D521" s="2" t="n"/>
    </row>
    <row r="522" ht="15.75" customHeight="1" s="82">
      <c r="A522" s="2" t="n"/>
      <c r="B522" s="2" t="n"/>
      <c r="C522" s="2" t="n"/>
      <c r="D522" s="2" t="n"/>
    </row>
    <row r="523" ht="15.75" customHeight="1" s="82">
      <c r="A523" s="2" t="n"/>
      <c r="B523" s="2" t="n"/>
      <c r="C523" s="2" t="n"/>
      <c r="D523" s="2" t="n"/>
    </row>
    <row r="524" ht="15.75" customHeight="1" s="82">
      <c r="A524" s="2" t="n"/>
      <c r="B524" s="2" t="n"/>
      <c r="C524" s="2" t="n"/>
      <c r="D524" s="2" t="n"/>
    </row>
    <row r="525" ht="15.75" customHeight="1" s="82">
      <c r="A525" s="2" t="n"/>
      <c r="B525" s="2" t="n"/>
      <c r="C525" s="2" t="n"/>
      <c r="D525" s="2" t="n"/>
    </row>
    <row r="526" ht="15.75" customHeight="1" s="82">
      <c r="A526" s="2" t="n"/>
      <c r="B526" s="2" t="n"/>
      <c r="C526" s="2" t="n"/>
      <c r="D526" s="2" t="n"/>
    </row>
    <row r="527" ht="15.75" customHeight="1" s="82">
      <c r="A527" s="2" t="n"/>
      <c r="B527" s="2" t="n"/>
      <c r="C527" s="2" t="n"/>
      <c r="D527" s="2" t="n"/>
    </row>
    <row r="528" ht="15.75" customHeight="1" s="82">
      <c r="A528" s="2" t="n"/>
      <c r="B528" s="2" t="n"/>
      <c r="C528" s="2" t="n"/>
      <c r="D528" s="2" t="n"/>
    </row>
    <row r="529" ht="15.75" customHeight="1" s="82">
      <c r="A529" s="2" t="n"/>
      <c r="B529" s="2" t="n"/>
      <c r="C529" s="2" t="n"/>
      <c r="D529" s="2" t="n"/>
    </row>
    <row r="530" ht="15.75" customHeight="1" s="82">
      <c r="A530" s="2" t="n"/>
      <c r="B530" s="2" t="n"/>
      <c r="C530" s="2" t="n"/>
      <c r="D530" s="2" t="n"/>
    </row>
    <row r="531" ht="15.75" customHeight="1" s="82">
      <c r="A531" s="2" t="n"/>
      <c r="B531" s="2" t="n"/>
      <c r="C531" s="2" t="n"/>
      <c r="D531" s="2" t="n"/>
    </row>
    <row r="532" ht="15.75" customHeight="1" s="82">
      <c r="A532" s="2" t="n"/>
      <c r="B532" s="2" t="n"/>
      <c r="C532" s="2" t="n"/>
      <c r="D532" s="2" t="n"/>
    </row>
    <row r="533" ht="15.75" customHeight="1" s="82">
      <c r="A533" s="2" t="n"/>
      <c r="B533" s="2" t="n"/>
      <c r="C533" s="2" t="n"/>
      <c r="D533" s="2" t="n"/>
    </row>
    <row r="534" ht="15.75" customHeight="1" s="82">
      <c r="A534" s="2" t="n"/>
      <c r="B534" s="2" t="n"/>
      <c r="C534" s="2" t="n"/>
      <c r="D534" s="2" t="n"/>
    </row>
    <row r="535" ht="15.75" customHeight="1" s="82">
      <c r="A535" s="2" t="n"/>
      <c r="B535" s="2" t="n"/>
      <c r="C535" s="2" t="n"/>
      <c r="D535" s="2" t="n"/>
    </row>
    <row r="536" ht="15.75" customHeight="1" s="82">
      <c r="A536" s="2" t="n"/>
      <c r="B536" s="2" t="n"/>
      <c r="C536" s="2" t="n"/>
      <c r="D536" s="2" t="n"/>
    </row>
    <row r="537" ht="15.75" customHeight="1" s="82">
      <c r="A537" s="2" t="n"/>
      <c r="B537" s="2" t="n"/>
      <c r="C537" s="2" t="n"/>
      <c r="D537" s="2" t="n"/>
    </row>
    <row r="538" ht="15.75" customHeight="1" s="82">
      <c r="A538" s="2" t="n"/>
      <c r="B538" s="2" t="n"/>
      <c r="C538" s="2" t="n"/>
      <c r="D538" s="2" t="n"/>
    </row>
    <row r="539" ht="15.75" customHeight="1" s="82">
      <c r="A539" s="2" t="n"/>
      <c r="B539" s="2" t="n"/>
      <c r="C539" s="2" t="n"/>
      <c r="D539" s="2" t="n"/>
    </row>
    <row r="540" ht="15.75" customHeight="1" s="82">
      <c r="A540" s="2" t="n"/>
      <c r="B540" s="2" t="n"/>
      <c r="C540" s="2" t="n"/>
      <c r="D540" s="2" t="n"/>
    </row>
    <row r="541" ht="15.75" customHeight="1" s="82">
      <c r="A541" s="2" t="n"/>
      <c r="B541" s="2" t="n"/>
      <c r="C541" s="2" t="n"/>
      <c r="D541" s="2" t="n"/>
    </row>
    <row r="542" ht="15.75" customHeight="1" s="82">
      <c r="A542" s="2" t="n"/>
      <c r="B542" s="2" t="n"/>
      <c r="C542" s="2" t="n"/>
      <c r="D542" s="2" t="n"/>
    </row>
    <row r="543" ht="15.75" customHeight="1" s="82">
      <c r="A543" s="2" t="n"/>
      <c r="B543" s="2" t="n"/>
      <c r="C543" s="2" t="n"/>
      <c r="D543" s="2" t="n"/>
    </row>
    <row r="544" ht="15.75" customHeight="1" s="82">
      <c r="A544" s="2" t="n"/>
      <c r="B544" s="2" t="n"/>
      <c r="C544" s="2" t="n"/>
      <c r="D544" s="2" t="n"/>
    </row>
    <row r="545" ht="15.75" customHeight="1" s="82">
      <c r="A545" s="2" t="n"/>
      <c r="B545" s="2" t="n"/>
      <c r="C545" s="2" t="n"/>
      <c r="D545" s="2" t="n"/>
    </row>
    <row r="546" ht="15.75" customHeight="1" s="82">
      <c r="A546" s="2" t="n"/>
      <c r="B546" s="2" t="n"/>
      <c r="C546" s="2" t="n"/>
      <c r="D546" s="2" t="n"/>
    </row>
    <row r="547" ht="15.75" customHeight="1" s="82">
      <c r="A547" s="2" t="n"/>
      <c r="B547" s="2" t="n"/>
      <c r="C547" s="2" t="n"/>
      <c r="D547" s="2" t="n"/>
    </row>
    <row r="548" ht="15.75" customHeight="1" s="82">
      <c r="A548" s="2" t="n"/>
      <c r="B548" s="2" t="n"/>
      <c r="C548" s="2" t="n"/>
      <c r="D548" s="2" t="n"/>
    </row>
    <row r="549" ht="15.75" customHeight="1" s="82">
      <c r="A549" s="2" t="n"/>
      <c r="B549" s="2" t="n"/>
      <c r="C549" s="2" t="n"/>
      <c r="D549" s="2" t="n"/>
    </row>
    <row r="550" ht="15.75" customHeight="1" s="82">
      <c r="A550" s="2" t="n"/>
      <c r="B550" s="2" t="n"/>
      <c r="C550" s="2" t="n"/>
      <c r="D550" s="2" t="n"/>
    </row>
    <row r="551" ht="15.75" customHeight="1" s="82">
      <c r="A551" s="2" t="n"/>
      <c r="B551" s="2" t="n"/>
      <c r="C551" s="2" t="n"/>
      <c r="D551" s="2" t="n"/>
    </row>
    <row r="552" ht="15.75" customHeight="1" s="82">
      <c r="A552" s="2" t="n"/>
      <c r="B552" s="2" t="n"/>
      <c r="C552" s="2" t="n"/>
      <c r="D552" s="2" t="n"/>
    </row>
    <row r="553" ht="15.75" customHeight="1" s="82">
      <c r="A553" s="2" t="n"/>
      <c r="B553" s="2" t="n"/>
      <c r="C553" s="2" t="n"/>
      <c r="D553" s="2" t="n"/>
    </row>
    <row r="554" ht="15.75" customHeight="1" s="82">
      <c r="A554" s="2" t="n"/>
      <c r="B554" s="2" t="n"/>
      <c r="C554" s="2" t="n"/>
      <c r="D554" s="2" t="n"/>
    </row>
    <row r="555" ht="15.75" customHeight="1" s="82">
      <c r="A555" s="2" t="n"/>
      <c r="B555" s="2" t="n"/>
      <c r="C555" s="2" t="n"/>
      <c r="D555" s="2" t="n"/>
    </row>
    <row r="556" ht="15.75" customHeight="1" s="82">
      <c r="A556" s="2" t="n"/>
      <c r="B556" s="2" t="n"/>
      <c r="C556" s="2" t="n"/>
      <c r="D556" s="2" t="n"/>
    </row>
    <row r="557" ht="15.75" customHeight="1" s="82">
      <c r="A557" s="2" t="n"/>
      <c r="B557" s="2" t="n"/>
      <c r="C557" s="2" t="n"/>
      <c r="D557" s="2" t="n"/>
    </row>
    <row r="558" ht="15.75" customHeight="1" s="82">
      <c r="A558" s="2" t="n"/>
      <c r="B558" s="2" t="n"/>
      <c r="C558" s="2" t="n"/>
      <c r="D558" s="2" t="n"/>
    </row>
    <row r="559" ht="15.75" customHeight="1" s="82">
      <c r="A559" s="2" t="n"/>
      <c r="B559" s="2" t="n"/>
      <c r="C559" s="2" t="n"/>
      <c r="D559" s="2" t="n"/>
    </row>
    <row r="560" ht="15.75" customHeight="1" s="82">
      <c r="A560" s="2" t="n"/>
      <c r="B560" s="2" t="n"/>
      <c r="C560" s="2" t="n"/>
      <c r="D560" s="2" t="n"/>
    </row>
    <row r="561" ht="15.75" customHeight="1" s="82">
      <c r="A561" s="2" t="n"/>
      <c r="B561" s="2" t="n"/>
      <c r="C561" s="2" t="n"/>
      <c r="D561" s="2" t="n"/>
    </row>
    <row r="562" ht="15.75" customHeight="1" s="82">
      <c r="A562" s="2" t="n"/>
      <c r="B562" s="2" t="n"/>
      <c r="C562" s="2" t="n"/>
      <c r="D562" s="2" t="n"/>
    </row>
    <row r="563" ht="15.75" customHeight="1" s="82">
      <c r="A563" s="2" t="n"/>
      <c r="B563" s="2" t="n"/>
      <c r="C563" s="2" t="n"/>
      <c r="D563" s="2" t="n"/>
    </row>
    <row r="564" ht="15.75" customHeight="1" s="82">
      <c r="A564" s="2" t="n"/>
      <c r="B564" s="2" t="n"/>
      <c r="C564" s="2" t="n"/>
      <c r="D564" s="2" t="n"/>
    </row>
    <row r="565" ht="15.75" customHeight="1" s="82">
      <c r="A565" s="2" t="n"/>
      <c r="B565" s="2" t="n"/>
      <c r="C565" s="2" t="n"/>
      <c r="D565" s="2" t="n"/>
    </row>
    <row r="566" ht="15.75" customHeight="1" s="82">
      <c r="A566" s="2" t="n"/>
      <c r="B566" s="2" t="n"/>
      <c r="C566" s="2" t="n"/>
      <c r="D566" s="2" t="n"/>
    </row>
    <row r="567" ht="15.75" customHeight="1" s="82">
      <c r="A567" s="2" t="n"/>
      <c r="B567" s="2" t="n"/>
      <c r="C567" s="2" t="n"/>
      <c r="D567" s="2" t="n"/>
    </row>
    <row r="568" ht="15.75" customHeight="1" s="82">
      <c r="A568" s="2" t="n"/>
      <c r="B568" s="2" t="n"/>
      <c r="C568" s="2" t="n"/>
      <c r="D568" s="2" t="n"/>
    </row>
    <row r="569" ht="15.75" customHeight="1" s="82">
      <c r="A569" s="2" t="n"/>
      <c r="B569" s="2" t="n"/>
      <c r="C569" s="2" t="n"/>
      <c r="D569" s="2" t="n"/>
    </row>
    <row r="570" ht="15.75" customHeight="1" s="82">
      <c r="A570" s="2" t="n"/>
      <c r="B570" s="2" t="n"/>
      <c r="C570" s="2" t="n"/>
      <c r="D570" s="2" t="n"/>
    </row>
    <row r="571" ht="15.75" customHeight="1" s="82">
      <c r="A571" s="2" t="n"/>
      <c r="B571" s="2" t="n"/>
      <c r="C571" s="2" t="n"/>
      <c r="D571" s="2" t="n"/>
    </row>
    <row r="572" ht="15.75" customHeight="1" s="82">
      <c r="A572" s="2" t="n"/>
      <c r="B572" s="2" t="n"/>
      <c r="C572" s="2" t="n"/>
      <c r="D572" s="2" t="n"/>
    </row>
    <row r="573" ht="15.75" customHeight="1" s="82">
      <c r="A573" s="2" t="n"/>
      <c r="B573" s="2" t="n"/>
      <c r="C573" s="2" t="n"/>
      <c r="D573" s="2" t="n"/>
    </row>
    <row r="574" ht="15.75" customHeight="1" s="82">
      <c r="A574" s="2" t="n"/>
      <c r="B574" s="2" t="n"/>
      <c r="C574" s="2" t="n"/>
      <c r="D574" s="2" t="n"/>
    </row>
    <row r="575" ht="15.75" customHeight="1" s="82">
      <c r="A575" s="2" t="n"/>
      <c r="B575" s="2" t="n"/>
      <c r="C575" s="2" t="n"/>
      <c r="D575" s="2" t="n"/>
    </row>
    <row r="576" ht="15.75" customHeight="1" s="82">
      <c r="A576" s="2" t="n"/>
      <c r="B576" s="2" t="n"/>
      <c r="C576" s="2" t="n"/>
      <c r="D576" s="2" t="n"/>
    </row>
    <row r="577" ht="15.75" customHeight="1" s="82">
      <c r="A577" s="2" t="n"/>
      <c r="B577" s="2" t="n"/>
      <c r="C577" s="2" t="n"/>
      <c r="D577" s="2" t="n"/>
    </row>
    <row r="578" ht="15.75" customHeight="1" s="82">
      <c r="A578" s="2" t="n"/>
      <c r="B578" s="2" t="n"/>
      <c r="C578" s="2" t="n"/>
      <c r="D578" s="2" t="n"/>
    </row>
    <row r="579" ht="15.75" customHeight="1" s="82">
      <c r="A579" s="2" t="n"/>
      <c r="B579" s="2" t="n"/>
      <c r="C579" s="2" t="n"/>
      <c r="D579" s="2" t="n"/>
    </row>
    <row r="580" ht="15.75" customHeight="1" s="82">
      <c r="A580" s="2" t="n"/>
      <c r="B580" s="2" t="n"/>
      <c r="C580" s="2" t="n"/>
      <c r="D580" s="2" t="n"/>
    </row>
    <row r="581" ht="15.75" customHeight="1" s="82">
      <c r="A581" s="2" t="n"/>
      <c r="B581" s="2" t="n"/>
      <c r="C581" s="2" t="n"/>
      <c r="D581" s="2" t="n"/>
    </row>
    <row r="582" ht="15.75" customHeight="1" s="82">
      <c r="A582" s="2" t="n"/>
      <c r="B582" s="2" t="n"/>
      <c r="C582" s="2" t="n"/>
      <c r="D582" s="2" t="n"/>
    </row>
    <row r="583" ht="15.75" customHeight="1" s="82">
      <c r="A583" s="2" t="n"/>
      <c r="B583" s="2" t="n"/>
      <c r="C583" s="2" t="n"/>
      <c r="D583" s="2" t="n"/>
    </row>
    <row r="584" ht="15.75" customHeight="1" s="82">
      <c r="A584" s="2" t="n"/>
      <c r="B584" s="2" t="n"/>
      <c r="C584" s="2" t="n"/>
      <c r="D584" s="2" t="n"/>
    </row>
    <row r="585" ht="15.75" customHeight="1" s="82">
      <c r="A585" s="2" t="n"/>
      <c r="B585" s="2" t="n"/>
      <c r="C585" s="2" t="n"/>
      <c r="D585" s="2" t="n"/>
    </row>
    <row r="586" ht="15.75" customHeight="1" s="82">
      <c r="A586" s="2" t="n"/>
      <c r="B586" s="2" t="n"/>
      <c r="C586" s="2" t="n"/>
      <c r="D586" s="2" t="n"/>
    </row>
    <row r="587" ht="15.75" customHeight="1" s="82">
      <c r="A587" s="2" t="n"/>
      <c r="B587" s="2" t="n"/>
      <c r="C587" s="2" t="n"/>
      <c r="D587" s="2" t="n"/>
    </row>
    <row r="588" ht="15.75" customHeight="1" s="82">
      <c r="A588" s="2" t="n"/>
      <c r="B588" s="2" t="n"/>
      <c r="C588" s="2" t="n"/>
      <c r="D588" s="2" t="n"/>
    </row>
    <row r="589" ht="15.75" customHeight="1" s="82">
      <c r="A589" s="2" t="n"/>
      <c r="B589" s="2" t="n"/>
      <c r="C589" s="2" t="n"/>
      <c r="D589" s="2" t="n"/>
    </row>
    <row r="590" ht="15.75" customHeight="1" s="82">
      <c r="A590" s="2" t="n"/>
      <c r="B590" s="2" t="n"/>
      <c r="C590" s="2" t="n"/>
      <c r="D590" s="2" t="n"/>
    </row>
    <row r="591" ht="15.75" customHeight="1" s="82">
      <c r="A591" s="2" t="n"/>
      <c r="B591" s="2" t="n"/>
      <c r="C591" s="2" t="n"/>
      <c r="D591" s="2" t="n"/>
    </row>
    <row r="592" ht="15.75" customHeight="1" s="82">
      <c r="A592" s="2" t="n"/>
      <c r="B592" s="2" t="n"/>
      <c r="C592" s="2" t="n"/>
      <c r="D592" s="2" t="n"/>
    </row>
    <row r="593" ht="15.75" customHeight="1" s="82">
      <c r="A593" s="2" t="n"/>
      <c r="B593" s="2" t="n"/>
      <c r="C593" s="2" t="n"/>
      <c r="D593" s="2" t="n"/>
    </row>
    <row r="594" ht="15.75" customHeight="1" s="82">
      <c r="A594" s="2" t="n"/>
      <c r="B594" s="2" t="n"/>
      <c r="C594" s="2" t="n"/>
      <c r="D594" s="2" t="n"/>
    </row>
    <row r="595" ht="15.75" customHeight="1" s="82">
      <c r="A595" s="2" t="n"/>
      <c r="B595" s="2" t="n"/>
      <c r="C595" s="2" t="n"/>
      <c r="D595" s="2" t="n"/>
    </row>
    <row r="596" ht="15.75" customHeight="1" s="82">
      <c r="A596" s="2" t="n"/>
      <c r="B596" s="2" t="n"/>
      <c r="C596" s="2" t="n"/>
      <c r="D596" s="2" t="n"/>
    </row>
    <row r="597" ht="15.75" customHeight="1" s="82">
      <c r="A597" s="2" t="n"/>
      <c r="B597" s="2" t="n"/>
      <c r="C597" s="2" t="n"/>
      <c r="D597" s="2" t="n"/>
    </row>
    <row r="598" ht="15.75" customHeight="1" s="82">
      <c r="A598" s="2" t="n"/>
      <c r="B598" s="2" t="n"/>
      <c r="C598" s="2" t="n"/>
      <c r="D598" s="2" t="n"/>
    </row>
    <row r="599" ht="15.75" customHeight="1" s="82">
      <c r="A599" s="2" t="n"/>
      <c r="B599" s="2" t="n"/>
      <c r="C599" s="2" t="n"/>
      <c r="D599" s="2" t="n"/>
    </row>
    <row r="600" ht="15.75" customHeight="1" s="82">
      <c r="A600" s="2" t="n"/>
      <c r="B600" s="2" t="n"/>
      <c r="C600" s="2" t="n"/>
      <c r="D600" s="2" t="n"/>
    </row>
    <row r="601" ht="15.75" customHeight="1" s="82">
      <c r="A601" s="2" t="n"/>
      <c r="B601" s="2" t="n"/>
      <c r="C601" s="2" t="n"/>
      <c r="D601" s="2" t="n"/>
    </row>
    <row r="602" ht="15.75" customHeight="1" s="82">
      <c r="A602" s="2" t="n"/>
      <c r="B602" s="2" t="n"/>
      <c r="C602" s="2" t="n"/>
      <c r="D602" s="2" t="n"/>
    </row>
    <row r="603" ht="15.75" customHeight="1" s="82">
      <c r="A603" s="2" t="n"/>
      <c r="B603" s="2" t="n"/>
      <c r="C603" s="2" t="n"/>
      <c r="D603" s="2" t="n"/>
    </row>
    <row r="604" ht="15.75" customHeight="1" s="82">
      <c r="A604" s="2" t="n"/>
      <c r="B604" s="2" t="n"/>
      <c r="C604" s="2" t="n"/>
      <c r="D604" s="2" t="n"/>
    </row>
    <row r="605" ht="15.75" customHeight="1" s="82">
      <c r="A605" s="2" t="n"/>
      <c r="B605" s="2" t="n"/>
      <c r="C605" s="2" t="n"/>
      <c r="D605" s="2" t="n"/>
    </row>
    <row r="606" ht="15.75" customHeight="1" s="82">
      <c r="A606" s="2" t="n"/>
      <c r="B606" s="2" t="n"/>
      <c r="C606" s="2" t="n"/>
      <c r="D606" s="2" t="n"/>
    </row>
    <row r="607" ht="15.75" customHeight="1" s="82">
      <c r="A607" s="2" t="n"/>
      <c r="B607" s="2" t="n"/>
      <c r="C607" s="2" t="n"/>
      <c r="D607" s="2" t="n"/>
    </row>
    <row r="608" ht="15.75" customHeight="1" s="82">
      <c r="A608" s="2" t="n"/>
      <c r="B608" s="2" t="n"/>
      <c r="C608" s="2" t="n"/>
      <c r="D608" s="2" t="n"/>
    </row>
    <row r="609" ht="15.75" customHeight="1" s="82">
      <c r="A609" s="2" t="n"/>
      <c r="B609" s="2" t="n"/>
      <c r="C609" s="2" t="n"/>
      <c r="D609" s="2" t="n"/>
    </row>
    <row r="610" ht="15.75" customHeight="1" s="82">
      <c r="A610" s="2" t="n"/>
      <c r="B610" s="2" t="n"/>
      <c r="C610" s="2" t="n"/>
      <c r="D610" s="2" t="n"/>
    </row>
    <row r="611" ht="15.75" customHeight="1" s="82">
      <c r="A611" s="2" t="n"/>
      <c r="B611" s="2" t="n"/>
      <c r="C611" s="2" t="n"/>
      <c r="D611" s="2" t="n"/>
    </row>
    <row r="612" ht="15.75" customHeight="1" s="82">
      <c r="A612" s="2" t="n"/>
      <c r="B612" s="2" t="n"/>
      <c r="C612" s="2" t="n"/>
      <c r="D612" s="2" t="n"/>
    </row>
    <row r="613" ht="15.75" customHeight="1" s="82">
      <c r="A613" s="2" t="n"/>
      <c r="B613" s="2" t="n"/>
      <c r="C613" s="2" t="n"/>
      <c r="D613" s="2" t="n"/>
    </row>
    <row r="614" ht="15.75" customHeight="1" s="82">
      <c r="A614" s="2" t="n"/>
      <c r="B614" s="2" t="n"/>
      <c r="C614" s="2" t="n"/>
      <c r="D614" s="2" t="n"/>
    </row>
    <row r="615" ht="15.75" customHeight="1" s="82">
      <c r="A615" s="2" t="n"/>
      <c r="B615" s="2" t="n"/>
      <c r="C615" s="2" t="n"/>
      <c r="D615" s="2" t="n"/>
    </row>
    <row r="616" ht="15.75" customHeight="1" s="82">
      <c r="A616" s="2" t="n"/>
      <c r="B616" s="2" t="n"/>
      <c r="C616" s="2" t="n"/>
      <c r="D616" s="2" t="n"/>
    </row>
    <row r="617" ht="15.75" customHeight="1" s="82">
      <c r="A617" s="2" t="n"/>
      <c r="B617" s="2" t="n"/>
      <c r="C617" s="2" t="n"/>
      <c r="D617" s="2" t="n"/>
    </row>
    <row r="618" ht="15.75" customHeight="1" s="82">
      <c r="A618" s="2" t="n"/>
      <c r="B618" s="2" t="n"/>
      <c r="C618" s="2" t="n"/>
      <c r="D618" s="2" t="n"/>
    </row>
    <row r="619" ht="15.75" customHeight="1" s="82">
      <c r="A619" s="2" t="n"/>
      <c r="B619" s="2" t="n"/>
      <c r="C619" s="2" t="n"/>
      <c r="D619" s="2" t="n"/>
    </row>
    <row r="620" ht="15.75" customHeight="1" s="82">
      <c r="A620" s="2" t="n"/>
      <c r="B620" s="2" t="n"/>
      <c r="C620" s="2" t="n"/>
      <c r="D620" s="2" t="n"/>
    </row>
    <row r="621" ht="15.75" customHeight="1" s="82">
      <c r="A621" s="2" t="n"/>
      <c r="B621" s="2" t="n"/>
      <c r="C621" s="2" t="n"/>
      <c r="D621" s="2" t="n"/>
    </row>
    <row r="622" ht="15.75" customHeight="1" s="82">
      <c r="A622" s="2" t="n"/>
      <c r="B622" s="2" t="n"/>
      <c r="C622" s="2" t="n"/>
      <c r="D622" s="2" t="n"/>
    </row>
    <row r="623" ht="15.75" customHeight="1" s="82">
      <c r="A623" s="2" t="n"/>
      <c r="B623" s="2" t="n"/>
      <c r="C623" s="2" t="n"/>
      <c r="D623" s="2" t="n"/>
    </row>
    <row r="624" ht="15.75" customHeight="1" s="82">
      <c r="A624" s="2" t="n"/>
      <c r="B624" s="2" t="n"/>
      <c r="C624" s="2" t="n"/>
      <c r="D624" s="2" t="n"/>
    </row>
    <row r="625" ht="15.75" customHeight="1" s="82">
      <c r="A625" s="2" t="n"/>
      <c r="B625" s="2" t="n"/>
      <c r="C625" s="2" t="n"/>
      <c r="D625" s="2" t="n"/>
    </row>
    <row r="626" ht="15.75" customHeight="1" s="82">
      <c r="A626" s="2" t="n"/>
      <c r="B626" s="2" t="n"/>
      <c r="C626" s="2" t="n"/>
      <c r="D626" s="2" t="n"/>
    </row>
    <row r="627" ht="15.75" customHeight="1" s="82">
      <c r="A627" s="2" t="n"/>
      <c r="B627" s="2" t="n"/>
      <c r="C627" s="2" t="n"/>
      <c r="D627" s="2" t="n"/>
    </row>
    <row r="628" ht="15.75" customHeight="1" s="82">
      <c r="A628" s="2" t="n"/>
      <c r="B628" s="2" t="n"/>
      <c r="C628" s="2" t="n"/>
      <c r="D628" s="2" t="n"/>
    </row>
    <row r="629" ht="15.75" customHeight="1" s="82">
      <c r="A629" s="2" t="n"/>
      <c r="B629" s="2" t="n"/>
      <c r="C629" s="2" t="n"/>
      <c r="D629" s="2" t="n"/>
    </row>
    <row r="630" ht="15.75" customHeight="1" s="82">
      <c r="A630" s="2" t="n"/>
      <c r="B630" s="2" t="n"/>
      <c r="C630" s="2" t="n"/>
      <c r="D630" s="2" t="n"/>
    </row>
    <row r="631" ht="15.75" customHeight="1" s="82">
      <c r="A631" s="2" t="n"/>
      <c r="B631" s="2" t="n"/>
      <c r="C631" s="2" t="n"/>
      <c r="D631" s="2" t="n"/>
    </row>
    <row r="632" ht="15.75" customHeight="1" s="82">
      <c r="A632" s="2" t="n"/>
      <c r="B632" s="2" t="n"/>
      <c r="C632" s="2" t="n"/>
      <c r="D632" s="2" t="n"/>
    </row>
    <row r="633" ht="15.75" customHeight="1" s="82">
      <c r="A633" s="2" t="n"/>
      <c r="B633" s="2" t="n"/>
      <c r="C633" s="2" t="n"/>
      <c r="D633" s="2" t="n"/>
    </row>
    <row r="634" ht="15.75" customHeight="1" s="82">
      <c r="A634" s="2" t="n"/>
      <c r="B634" s="2" t="n"/>
      <c r="C634" s="2" t="n"/>
      <c r="D634" s="2" t="n"/>
    </row>
    <row r="635" ht="15.75" customHeight="1" s="82">
      <c r="A635" s="2" t="n"/>
      <c r="B635" s="2" t="n"/>
      <c r="C635" s="2" t="n"/>
      <c r="D635" s="2" t="n"/>
    </row>
    <row r="636" ht="15.75" customHeight="1" s="82">
      <c r="A636" s="2" t="n"/>
      <c r="B636" s="2" t="n"/>
      <c r="C636" s="2" t="n"/>
      <c r="D636" s="2" t="n"/>
    </row>
    <row r="637" ht="15.75" customHeight="1" s="82">
      <c r="A637" s="2" t="n"/>
      <c r="B637" s="2" t="n"/>
      <c r="C637" s="2" t="n"/>
      <c r="D637" s="2" t="n"/>
    </row>
    <row r="638" ht="15.75" customHeight="1" s="82">
      <c r="A638" s="2" t="n"/>
      <c r="B638" s="2" t="n"/>
      <c r="C638" s="2" t="n"/>
      <c r="D638" s="2" t="n"/>
    </row>
    <row r="639" ht="15.75" customHeight="1" s="82">
      <c r="A639" s="2" t="n"/>
      <c r="B639" s="2" t="n"/>
      <c r="C639" s="2" t="n"/>
      <c r="D639" s="2" t="n"/>
    </row>
    <row r="640" ht="15.75" customHeight="1" s="82">
      <c r="A640" s="2" t="n"/>
      <c r="B640" s="2" t="n"/>
      <c r="C640" s="2" t="n"/>
      <c r="D640" s="2" t="n"/>
    </row>
    <row r="641" ht="15.75" customHeight="1" s="82">
      <c r="A641" s="2" t="n"/>
      <c r="B641" s="2" t="n"/>
      <c r="C641" s="2" t="n"/>
      <c r="D641" s="2" t="n"/>
    </row>
    <row r="642" ht="15.75" customHeight="1" s="82">
      <c r="A642" s="2" t="n"/>
      <c r="B642" s="2" t="n"/>
      <c r="C642" s="2" t="n"/>
      <c r="D642" s="2" t="n"/>
    </row>
    <row r="643" ht="15.75" customHeight="1" s="82">
      <c r="A643" s="2" t="n"/>
      <c r="B643" s="2" t="n"/>
      <c r="C643" s="2" t="n"/>
      <c r="D643" s="2" t="n"/>
    </row>
    <row r="644" ht="15.75" customHeight="1" s="82">
      <c r="A644" s="2" t="n"/>
      <c r="B644" s="2" t="n"/>
      <c r="C644" s="2" t="n"/>
      <c r="D644" s="2" t="n"/>
    </row>
    <row r="645" ht="15.75" customHeight="1" s="82">
      <c r="A645" s="2" t="n"/>
      <c r="B645" s="2" t="n"/>
      <c r="C645" s="2" t="n"/>
      <c r="D645" s="2" t="n"/>
    </row>
    <row r="646" ht="15.75" customHeight="1" s="82">
      <c r="A646" s="2" t="n"/>
      <c r="B646" s="2" t="n"/>
      <c r="C646" s="2" t="n"/>
      <c r="D646" s="2" t="n"/>
    </row>
    <row r="647" ht="15.75" customHeight="1" s="82">
      <c r="A647" s="2" t="n"/>
      <c r="B647" s="2" t="n"/>
      <c r="C647" s="2" t="n"/>
      <c r="D647" s="2" t="n"/>
    </row>
    <row r="648" ht="15.75" customHeight="1" s="82">
      <c r="A648" s="2" t="n"/>
      <c r="B648" s="2" t="n"/>
      <c r="C648" s="2" t="n"/>
      <c r="D648" s="2" t="n"/>
    </row>
    <row r="649" ht="15.75" customHeight="1" s="82">
      <c r="A649" s="2" t="n"/>
      <c r="B649" s="2" t="n"/>
      <c r="C649" s="2" t="n"/>
      <c r="D649" s="2" t="n"/>
    </row>
    <row r="650" ht="15.75" customHeight="1" s="82">
      <c r="A650" s="2" t="n"/>
      <c r="B650" s="2" t="n"/>
      <c r="C650" s="2" t="n"/>
      <c r="D650" s="2" t="n"/>
    </row>
    <row r="651" ht="15.75" customHeight="1" s="82">
      <c r="A651" s="2" t="n"/>
      <c r="B651" s="2" t="n"/>
      <c r="C651" s="2" t="n"/>
      <c r="D651" s="2" t="n"/>
    </row>
    <row r="652" ht="15.75" customHeight="1" s="82">
      <c r="A652" s="2" t="n"/>
      <c r="B652" s="2" t="n"/>
      <c r="C652" s="2" t="n"/>
      <c r="D652" s="2" t="n"/>
    </row>
    <row r="653" ht="15.75" customHeight="1" s="82">
      <c r="A653" s="2" t="n"/>
      <c r="B653" s="2" t="n"/>
      <c r="C653" s="2" t="n"/>
      <c r="D653" s="2" t="n"/>
    </row>
    <row r="654" ht="15.75" customHeight="1" s="82">
      <c r="A654" s="2" t="n"/>
      <c r="B654" s="2" t="n"/>
      <c r="C654" s="2" t="n"/>
      <c r="D654" s="2" t="n"/>
    </row>
    <row r="655" ht="15.75" customHeight="1" s="82">
      <c r="A655" s="2" t="n"/>
      <c r="B655" s="2" t="n"/>
      <c r="C655" s="2" t="n"/>
      <c r="D655" s="2" t="n"/>
    </row>
    <row r="656" ht="15.75" customHeight="1" s="82">
      <c r="A656" s="2" t="n"/>
      <c r="B656" s="2" t="n"/>
      <c r="C656" s="2" t="n"/>
      <c r="D656" s="2" t="n"/>
    </row>
    <row r="657" ht="15.75" customHeight="1" s="82">
      <c r="A657" s="2" t="n"/>
      <c r="B657" s="2" t="n"/>
      <c r="C657" s="2" t="n"/>
      <c r="D657" s="2" t="n"/>
    </row>
    <row r="658" ht="15.75" customHeight="1" s="82">
      <c r="A658" s="2" t="n"/>
      <c r="B658" s="2" t="n"/>
      <c r="C658" s="2" t="n"/>
      <c r="D658" s="2" t="n"/>
    </row>
    <row r="659" ht="15.75" customHeight="1" s="82">
      <c r="A659" s="2" t="n"/>
      <c r="B659" s="2" t="n"/>
      <c r="C659" s="2" t="n"/>
      <c r="D659" s="2" t="n"/>
    </row>
    <row r="660" ht="15.75" customHeight="1" s="82">
      <c r="A660" s="2" t="n"/>
      <c r="B660" s="2" t="n"/>
      <c r="C660" s="2" t="n"/>
      <c r="D660" s="2" t="n"/>
    </row>
    <row r="661" ht="15.75" customHeight="1" s="82">
      <c r="A661" s="2" t="n"/>
      <c r="B661" s="2" t="n"/>
      <c r="C661" s="2" t="n"/>
      <c r="D661" s="2" t="n"/>
    </row>
    <row r="662" ht="15.75" customHeight="1" s="82">
      <c r="A662" s="2" t="n"/>
      <c r="B662" s="2" t="n"/>
      <c r="C662" s="2" t="n"/>
      <c r="D662" s="2" t="n"/>
    </row>
    <row r="663" ht="15.75" customHeight="1" s="82">
      <c r="A663" s="2" t="n"/>
      <c r="B663" s="2" t="n"/>
      <c r="C663" s="2" t="n"/>
      <c r="D663" s="2" t="n"/>
    </row>
    <row r="664" ht="15.75" customHeight="1" s="82">
      <c r="A664" s="2" t="n"/>
      <c r="B664" s="2" t="n"/>
      <c r="C664" s="2" t="n"/>
      <c r="D664" s="2" t="n"/>
    </row>
    <row r="665" ht="15.75" customHeight="1" s="82">
      <c r="A665" s="2" t="n"/>
      <c r="B665" s="2" t="n"/>
      <c r="C665" s="2" t="n"/>
      <c r="D665" s="2" t="n"/>
    </row>
    <row r="666" ht="15.75" customHeight="1" s="82">
      <c r="A666" s="2" t="n"/>
      <c r="B666" s="2" t="n"/>
      <c r="C666" s="2" t="n"/>
      <c r="D666" s="2" t="n"/>
    </row>
    <row r="667" ht="15.75" customHeight="1" s="82">
      <c r="A667" s="2" t="n"/>
      <c r="B667" s="2" t="n"/>
      <c r="C667" s="2" t="n"/>
      <c r="D667" s="2" t="n"/>
    </row>
    <row r="668" ht="15.75" customHeight="1" s="82">
      <c r="A668" s="2" t="n"/>
      <c r="B668" s="2" t="n"/>
      <c r="C668" s="2" t="n"/>
      <c r="D668" s="2" t="n"/>
    </row>
    <row r="669" ht="15.75" customHeight="1" s="82">
      <c r="A669" s="2" t="n"/>
      <c r="B669" s="2" t="n"/>
      <c r="C669" s="2" t="n"/>
      <c r="D669" s="2" t="n"/>
    </row>
    <row r="670" ht="15.75" customHeight="1" s="82">
      <c r="A670" s="2" t="n"/>
      <c r="B670" s="2" t="n"/>
      <c r="C670" s="2" t="n"/>
      <c r="D670" s="2" t="n"/>
    </row>
    <row r="671" ht="15.75" customHeight="1" s="82">
      <c r="A671" s="2" t="n"/>
      <c r="B671" s="2" t="n"/>
      <c r="C671" s="2" t="n"/>
      <c r="D671" s="2" t="n"/>
    </row>
    <row r="672" ht="15.75" customHeight="1" s="82">
      <c r="A672" s="2" t="n"/>
      <c r="B672" s="2" t="n"/>
      <c r="C672" s="2" t="n"/>
      <c r="D672" s="2" t="n"/>
    </row>
    <row r="673" ht="15.75" customHeight="1" s="82">
      <c r="A673" s="2" t="n"/>
      <c r="B673" s="2" t="n"/>
      <c r="C673" s="2" t="n"/>
      <c r="D673" s="2" t="n"/>
    </row>
    <row r="674" ht="15.75" customHeight="1" s="82">
      <c r="A674" s="2" t="n"/>
      <c r="B674" s="2" t="n"/>
      <c r="C674" s="2" t="n"/>
      <c r="D674" s="2" t="n"/>
    </row>
    <row r="675" ht="15.75" customHeight="1" s="82">
      <c r="A675" s="2" t="n"/>
      <c r="B675" s="2" t="n"/>
      <c r="C675" s="2" t="n"/>
      <c r="D675" s="2" t="n"/>
    </row>
    <row r="676" ht="15.75" customHeight="1" s="82">
      <c r="A676" s="2" t="n"/>
      <c r="B676" s="2" t="n"/>
      <c r="C676" s="2" t="n"/>
      <c r="D676" s="2" t="n"/>
    </row>
    <row r="677" ht="15.75" customHeight="1" s="82">
      <c r="A677" s="2" t="n"/>
      <c r="B677" s="2" t="n"/>
      <c r="C677" s="2" t="n"/>
      <c r="D677" s="2" t="n"/>
    </row>
    <row r="678" ht="15.75" customHeight="1" s="82">
      <c r="A678" s="2" t="n"/>
      <c r="B678" s="2" t="n"/>
      <c r="C678" s="2" t="n"/>
      <c r="D678" s="2" t="n"/>
    </row>
    <row r="679" ht="15.75" customHeight="1" s="82">
      <c r="A679" s="2" t="n"/>
      <c r="B679" s="2" t="n"/>
      <c r="C679" s="2" t="n"/>
      <c r="D679" s="2" t="n"/>
    </row>
    <row r="680" ht="15.75" customHeight="1" s="82">
      <c r="A680" s="2" t="n"/>
      <c r="B680" s="2" t="n"/>
      <c r="C680" s="2" t="n"/>
      <c r="D680" s="2" t="n"/>
    </row>
    <row r="681" ht="15.75" customHeight="1" s="82">
      <c r="A681" s="2" t="n"/>
      <c r="B681" s="2" t="n"/>
      <c r="C681" s="2" t="n"/>
      <c r="D681" s="2" t="n"/>
    </row>
    <row r="682" ht="15.75" customHeight="1" s="82">
      <c r="A682" s="2" t="n"/>
      <c r="B682" s="2" t="n"/>
      <c r="C682" s="2" t="n"/>
      <c r="D682" s="2" t="n"/>
    </row>
    <row r="683" ht="15.75" customHeight="1" s="82">
      <c r="A683" s="2" t="n"/>
      <c r="B683" s="2" t="n"/>
      <c r="C683" s="2" t="n"/>
      <c r="D683" s="2" t="n"/>
    </row>
    <row r="684" ht="15.75" customHeight="1" s="82">
      <c r="A684" s="2" t="n"/>
      <c r="B684" s="2" t="n"/>
      <c r="C684" s="2" t="n"/>
      <c r="D684" s="2" t="n"/>
    </row>
    <row r="685" ht="15.75" customHeight="1" s="82">
      <c r="A685" s="2" t="n"/>
      <c r="B685" s="2" t="n"/>
      <c r="C685" s="2" t="n"/>
      <c r="D685" s="2" t="n"/>
    </row>
    <row r="686" ht="15.75" customHeight="1" s="82">
      <c r="A686" s="2" t="n"/>
      <c r="B686" s="2" t="n"/>
      <c r="C686" s="2" t="n"/>
      <c r="D686" s="2" t="n"/>
    </row>
    <row r="687" ht="15.75" customHeight="1" s="82">
      <c r="A687" s="2" t="n"/>
      <c r="B687" s="2" t="n"/>
      <c r="C687" s="2" t="n"/>
      <c r="D687" s="2" t="n"/>
    </row>
    <row r="688" ht="15.75" customHeight="1" s="82">
      <c r="A688" s="2" t="n"/>
      <c r="B688" s="2" t="n"/>
      <c r="C688" s="2" t="n"/>
      <c r="D688" s="2" t="n"/>
    </row>
    <row r="689" ht="15.75" customHeight="1" s="82">
      <c r="A689" s="2" t="n"/>
      <c r="B689" s="2" t="n"/>
      <c r="C689" s="2" t="n"/>
      <c r="D689" s="2" t="n"/>
    </row>
    <row r="690" ht="15.75" customHeight="1" s="82">
      <c r="A690" s="2" t="n"/>
      <c r="B690" s="2" t="n"/>
      <c r="C690" s="2" t="n"/>
      <c r="D690" s="2" t="n"/>
    </row>
    <row r="691" ht="15.75" customHeight="1" s="82">
      <c r="A691" s="2" t="n"/>
      <c r="B691" s="2" t="n"/>
      <c r="C691" s="2" t="n"/>
      <c r="D691" s="2" t="n"/>
    </row>
    <row r="692" ht="15.75" customHeight="1" s="82">
      <c r="A692" s="2" t="n"/>
      <c r="B692" s="2" t="n"/>
      <c r="C692" s="2" t="n"/>
      <c r="D692" s="2" t="n"/>
    </row>
    <row r="693" ht="15.75" customHeight="1" s="82">
      <c r="A693" s="2" t="n"/>
      <c r="B693" s="2" t="n"/>
      <c r="C693" s="2" t="n"/>
      <c r="D693" s="2" t="n"/>
    </row>
    <row r="694" ht="15.75" customHeight="1" s="82">
      <c r="A694" s="2" t="n"/>
      <c r="B694" s="2" t="n"/>
      <c r="C694" s="2" t="n"/>
      <c r="D694" s="2" t="n"/>
    </row>
    <row r="695" ht="15.75" customHeight="1" s="82">
      <c r="A695" s="2" t="n"/>
      <c r="B695" s="2" t="n"/>
      <c r="C695" s="2" t="n"/>
      <c r="D695" s="2" t="n"/>
    </row>
    <row r="696" ht="15.75" customHeight="1" s="82">
      <c r="A696" s="2" t="n"/>
      <c r="B696" s="2" t="n"/>
      <c r="C696" s="2" t="n"/>
      <c r="D696" s="2" t="n"/>
    </row>
    <row r="697" ht="15.75" customHeight="1" s="82">
      <c r="A697" s="2" t="n"/>
      <c r="B697" s="2" t="n"/>
      <c r="C697" s="2" t="n"/>
      <c r="D697" s="2" t="n"/>
    </row>
    <row r="698" ht="15.75" customHeight="1" s="82">
      <c r="A698" s="2" t="n"/>
      <c r="B698" s="2" t="n"/>
      <c r="C698" s="2" t="n"/>
      <c r="D698" s="2" t="n"/>
    </row>
    <row r="699" ht="15.75" customHeight="1" s="82">
      <c r="A699" s="2" t="n"/>
      <c r="B699" s="2" t="n"/>
      <c r="C699" s="2" t="n"/>
      <c r="D699" s="2" t="n"/>
    </row>
    <row r="700" ht="15.75" customHeight="1" s="82">
      <c r="A700" s="2" t="n"/>
      <c r="B700" s="2" t="n"/>
      <c r="C700" s="2" t="n"/>
      <c r="D700" s="2" t="n"/>
    </row>
    <row r="701" ht="15.75" customHeight="1" s="82">
      <c r="A701" s="2" t="n"/>
      <c r="B701" s="2" t="n"/>
      <c r="C701" s="2" t="n"/>
      <c r="D701" s="2" t="n"/>
    </row>
    <row r="702" ht="15.75" customHeight="1" s="82">
      <c r="A702" s="2" t="n"/>
      <c r="B702" s="2" t="n"/>
      <c r="C702" s="2" t="n"/>
      <c r="D702" s="2" t="n"/>
    </row>
    <row r="703" ht="15.75" customHeight="1" s="82">
      <c r="A703" s="2" t="n"/>
      <c r="B703" s="2" t="n"/>
      <c r="C703" s="2" t="n"/>
      <c r="D703" s="2" t="n"/>
    </row>
    <row r="704" ht="15.75" customHeight="1" s="82">
      <c r="A704" s="2" t="n"/>
      <c r="B704" s="2" t="n"/>
      <c r="C704" s="2" t="n"/>
      <c r="D704" s="2" t="n"/>
    </row>
    <row r="705" ht="15.75" customHeight="1" s="82">
      <c r="A705" s="2" t="n"/>
      <c r="B705" s="2" t="n"/>
      <c r="C705" s="2" t="n"/>
      <c r="D705" s="2" t="n"/>
    </row>
    <row r="706" ht="15.75" customHeight="1" s="82">
      <c r="A706" s="2" t="n"/>
      <c r="B706" s="2" t="n"/>
      <c r="C706" s="2" t="n"/>
      <c r="D706" s="2" t="n"/>
    </row>
    <row r="707" ht="15.75" customHeight="1" s="82">
      <c r="A707" s="2" t="n"/>
      <c r="B707" s="2" t="n"/>
      <c r="C707" s="2" t="n"/>
      <c r="D707" s="2" t="n"/>
    </row>
    <row r="708" ht="15.75" customHeight="1" s="82">
      <c r="A708" s="2" t="n"/>
      <c r="B708" s="2" t="n"/>
      <c r="C708" s="2" t="n"/>
      <c r="D708" s="2" t="n"/>
    </row>
    <row r="709" ht="15.75" customHeight="1" s="82">
      <c r="A709" s="2" t="n"/>
      <c r="B709" s="2" t="n"/>
      <c r="C709" s="2" t="n"/>
      <c r="D709" s="2" t="n"/>
    </row>
    <row r="710" ht="15.75" customHeight="1" s="82">
      <c r="A710" s="2" t="n"/>
      <c r="B710" s="2" t="n"/>
      <c r="C710" s="2" t="n"/>
      <c r="D710" s="2" t="n"/>
    </row>
    <row r="711" ht="15.75" customHeight="1" s="82">
      <c r="A711" s="2" t="n"/>
      <c r="B711" s="2" t="n"/>
      <c r="C711" s="2" t="n"/>
      <c r="D711" s="2" t="n"/>
    </row>
    <row r="712" ht="15.75" customHeight="1" s="82">
      <c r="A712" s="2" t="n"/>
      <c r="B712" s="2" t="n"/>
      <c r="C712" s="2" t="n"/>
      <c r="D712" s="2" t="n"/>
    </row>
    <row r="713" ht="15.75" customHeight="1" s="82">
      <c r="A713" s="2" t="n"/>
      <c r="B713" s="2" t="n"/>
      <c r="C713" s="2" t="n"/>
      <c r="D713" s="2" t="n"/>
    </row>
    <row r="714" ht="15.75" customHeight="1" s="82">
      <c r="A714" s="2" t="n"/>
      <c r="B714" s="2" t="n"/>
      <c r="C714" s="2" t="n"/>
      <c r="D714" s="2" t="n"/>
    </row>
    <row r="715" ht="15.75" customHeight="1" s="82">
      <c r="A715" s="2" t="n"/>
      <c r="B715" s="2" t="n"/>
      <c r="C715" s="2" t="n"/>
      <c r="D715" s="2" t="n"/>
    </row>
    <row r="716" ht="15.75" customHeight="1" s="82">
      <c r="A716" s="2" t="n"/>
      <c r="B716" s="2" t="n"/>
      <c r="C716" s="2" t="n"/>
      <c r="D716" s="2" t="n"/>
    </row>
    <row r="717" ht="15.75" customHeight="1" s="82">
      <c r="A717" s="2" t="n"/>
      <c r="B717" s="2" t="n"/>
      <c r="C717" s="2" t="n"/>
      <c r="D717" s="2" t="n"/>
    </row>
    <row r="718" ht="15.75" customHeight="1" s="82">
      <c r="A718" s="2" t="n"/>
      <c r="B718" s="2" t="n"/>
      <c r="C718" s="2" t="n"/>
      <c r="D718" s="2" t="n"/>
    </row>
    <row r="719" ht="15.75" customHeight="1" s="82">
      <c r="A719" s="2" t="n"/>
      <c r="B719" s="2" t="n"/>
      <c r="C719" s="2" t="n"/>
      <c r="D719" s="2" t="n"/>
    </row>
    <row r="720" ht="15.75" customHeight="1" s="82">
      <c r="A720" s="2" t="n"/>
      <c r="B720" s="2" t="n"/>
      <c r="C720" s="2" t="n"/>
      <c r="D720" s="2" t="n"/>
    </row>
    <row r="721" ht="15.75" customHeight="1" s="82">
      <c r="A721" s="2" t="n"/>
      <c r="B721" s="2" t="n"/>
      <c r="C721" s="2" t="n"/>
      <c r="D721" s="2" t="n"/>
    </row>
    <row r="722" ht="15.75" customHeight="1" s="82">
      <c r="A722" s="2" t="n"/>
      <c r="B722" s="2" t="n"/>
      <c r="C722" s="2" t="n"/>
      <c r="D722" s="2" t="n"/>
    </row>
    <row r="723" ht="15.75" customHeight="1" s="82">
      <c r="A723" s="2" t="n"/>
      <c r="B723" s="2" t="n"/>
      <c r="C723" s="2" t="n"/>
      <c r="D723" s="2" t="n"/>
    </row>
    <row r="724" ht="15.75" customHeight="1" s="82">
      <c r="A724" s="2" t="n"/>
      <c r="B724" s="2" t="n"/>
      <c r="C724" s="2" t="n"/>
      <c r="D724" s="2" t="n"/>
    </row>
    <row r="725" ht="15.75" customHeight="1" s="82">
      <c r="A725" s="2" t="n"/>
      <c r="B725" s="2" t="n"/>
      <c r="C725" s="2" t="n"/>
      <c r="D725" s="2" t="n"/>
    </row>
    <row r="726" ht="15.75" customHeight="1" s="82">
      <c r="A726" s="2" t="n"/>
      <c r="B726" s="2" t="n"/>
      <c r="C726" s="2" t="n"/>
      <c r="D726" s="2" t="n"/>
    </row>
    <row r="727" ht="15.75" customHeight="1" s="82">
      <c r="A727" s="2" t="n"/>
      <c r="B727" s="2" t="n"/>
      <c r="C727" s="2" t="n"/>
      <c r="D727" s="2" t="n"/>
    </row>
    <row r="728" ht="15.75" customHeight="1" s="82">
      <c r="A728" s="2" t="n"/>
      <c r="B728" s="2" t="n"/>
      <c r="C728" s="2" t="n"/>
      <c r="D728" s="2" t="n"/>
    </row>
    <row r="729" ht="15.75" customHeight="1" s="82">
      <c r="A729" s="2" t="n"/>
      <c r="B729" s="2" t="n"/>
      <c r="C729" s="2" t="n"/>
      <c r="D729" s="2" t="n"/>
    </row>
    <row r="730" ht="15.75" customHeight="1" s="82">
      <c r="A730" s="2" t="n"/>
      <c r="B730" s="2" t="n"/>
      <c r="C730" s="2" t="n"/>
      <c r="D730" s="2" t="n"/>
    </row>
    <row r="731" ht="15.75" customHeight="1" s="82">
      <c r="A731" s="2" t="n"/>
      <c r="B731" s="2" t="n"/>
      <c r="C731" s="2" t="n"/>
      <c r="D731" s="2" t="n"/>
    </row>
    <row r="732" ht="15.75" customHeight="1" s="82">
      <c r="A732" s="2" t="n"/>
      <c r="B732" s="2" t="n"/>
      <c r="C732" s="2" t="n"/>
      <c r="D732" s="2" t="n"/>
    </row>
    <row r="733" ht="15.75" customHeight="1" s="82">
      <c r="A733" s="2" t="n"/>
      <c r="B733" s="2" t="n"/>
      <c r="C733" s="2" t="n"/>
      <c r="D733" s="2" t="n"/>
    </row>
    <row r="734" ht="15.75" customHeight="1" s="82">
      <c r="A734" s="2" t="n"/>
      <c r="B734" s="2" t="n"/>
      <c r="C734" s="2" t="n"/>
      <c r="D734" s="2" t="n"/>
    </row>
    <row r="735" ht="15.75" customHeight="1" s="82">
      <c r="A735" s="2" t="n"/>
      <c r="B735" s="2" t="n"/>
      <c r="C735" s="2" t="n"/>
      <c r="D735" s="2" t="n"/>
    </row>
    <row r="736" ht="15.75" customHeight="1" s="82">
      <c r="A736" s="2" t="n"/>
      <c r="B736" s="2" t="n"/>
      <c r="C736" s="2" t="n"/>
      <c r="D736" s="2" t="n"/>
    </row>
    <row r="737" ht="15.75" customHeight="1" s="82">
      <c r="A737" s="2" t="n"/>
      <c r="B737" s="2" t="n"/>
      <c r="C737" s="2" t="n"/>
      <c r="D737" s="2" t="n"/>
    </row>
    <row r="738" ht="15.75" customHeight="1" s="82">
      <c r="A738" s="2" t="n"/>
      <c r="B738" s="2" t="n"/>
      <c r="C738" s="2" t="n"/>
      <c r="D738" s="2" t="n"/>
    </row>
    <row r="739" ht="15.75" customHeight="1" s="82">
      <c r="A739" s="2" t="n"/>
      <c r="B739" s="2" t="n"/>
      <c r="C739" s="2" t="n"/>
      <c r="D739" s="2" t="n"/>
    </row>
    <row r="740" ht="15.75" customHeight="1" s="82">
      <c r="A740" s="2" t="n"/>
      <c r="B740" s="2" t="n"/>
      <c r="C740" s="2" t="n"/>
      <c r="D740" s="2" t="n"/>
    </row>
    <row r="741" ht="15.75" customHeight="1" s="82">
      <c r="A741" s="2" t="n"/>
      <c r="B741" s="2" t="n"/>
      <c r="C741" s="2" t="n"/>
      <c r="D741" s="2" t="n"/>
    </row>
    <row r="742" ht="15.75" customHeight="1" s="82">
      <c r="A742" s="2" t="n"/>
      <c r="B742" s="2" t="n"/>
      <c r="C742" s="2" t="n"/>
      <c r="D742" s="2" t="n"/>
    </row>
    <row r="743" ht="15.75" customHeight="1" s="82">
      <c r="A743" s="2" t="n"/>
      <c r="B743" s="2" t="n"/>
      <c r="C743" s="2" t="n"/>
      <c r="D743" s="2" t="n"/>
    </row>
    <row r="744" ht="15.75" customHeight="1" s="82">
      <c r="A744" s="2" t="n"/>
      <c r="B744" s="2" t="n"/>
      <c r="C744" s="2" t="n"/>
      <c r="D744" s="2" t="n"/>
    </row>
    <row r="745" ht="15.75" customHeight="1" s="82">
      <c r="A745" s="2" t="n"/>
      <c r="B745" s="2" t="n"/>
      <c r="C745" s="2" t="n"/>
      <c r="D745" s="2" t="n"/>
    </row>
    <row r="746" ht="15.75" customHeight="1" s="82">
      <c r="A746" s="2" t="n"/>
      <c r="B746" s="2" t="n"/>
      <c r="C746" s="2" t="n"/>
      <c r="D746" s="2" t="n"/>
    </row>
    <row r="747" ht="15.75" customHeight="1" s="82">
      <c r="A747" s="2" t="n"/>
      <c r="B747" s="2" t="n"/>
      <c r="C747" s="2" t="n"/>
      <c r="D747" s="2" t="n"/>
    </row>
    <row r="748" ht="15.75" customHeight="1" s="82">
      <c r="A748" s="2" t="n"/>
      <c r="B748" s="2" t="n"/>
      <c r="C748" s="2" t="n"/>
      <c r="D748" s="2" t="n"/>
    </row>
    <row r="749" ht="15.75" customHeight="1" s="82">
      <c r="A749" s="2" t="n"/>
      <c r="B749" s="2" t="n"/>
      <c r="C749" s="2" t="n"/>
      <c r="D749" s="2" t="n"/>
    </row>
    <row r="750" ht="15.75" customHeight="1" s="82">
      <c r="A750" s="2" t="n"/>
      <c r="B750" s="2" t="n"/>
      <c r="C750" s="2" t="n"/>
      <c r="D750" s="2" t="n"/>
    </row>
    <row r="751" ht="15.75" customHeight="1" s="82">
      <c r="A751" s="2" t="n"/>
      <c r="B751" s="2" t="n"/>
      <c r="C751" s="2" t="n"/>
      <c r="D751" s="2" t="n"/>
    </row>
    <row r="752" ht="15.75" customHeight="1" s="82">
      <c r="A752" s="2" t="n"/>
      <c r="B752" s="2" t="n"/>
      <c r="C752" s="2" t="n"/>
      <c r="D752" s="2" t="n"/>
    </row>
    <row r="753" ht="15.75" customHeight="1" s="82">
      <c r="A753" s="2" t="n"/>
      <c r="B753" s="2" t="n"/>
      <c r="C753" s="2" t="n"/>
      <c r="D753" s="2" t="n"/>
    </row>
    <row r="754" ht="15.75" customHeight="1" s="82">
      <c r="A754" s="2" t="n"/>
      <c r="B754" s="2" t="n"/>
      <c r="C754" s="2" t="n"/>
      <c r="D754" s="2" t="n"/>
    </row>
    <row r="755" ht="15.75" customHeight="1" s="82">
      <c r="A755" s="2" t="n"/>
      <c r="B755" s="2" t="n"/>
      <c r="C755" s="2" t="n"/>
      <c r="D755" s="2" t="n"/>
    </row>
    <row r="756" ht="15.75" customHeight="1" s="82">
      <c r="A756" s="2" t="n"/>
      <c r="B756" s="2" t="n"/>
      <c r="C756" s="2" t="n"/>
      <c r="D756" s="2" t="n"/>
    </row>
    <row r="757" ht="15.75" customHeight="1" s="82">
      <c r="A757" s="2" t="n"/>
      <c r="B757" s="2" t="n"/>
      <c r="C757" s="2" t="n"/>
      <c r="D757" s="2" t="n"/>
    </row>
    <row r="758" ht="15.75" customHeight="1" s="82">
      <c r="A758" s="2" t="n"/>
      <c r="B758" s="2" t="n"/>
      <c r="C758" s="2" t="n"/>
      <c r="D758" s="2" t="n"/>
    </row>
    <row r="759" ht="15.75" customHeight="1" s="82">
      <c r="A759" s="2" t="n"/>
      <c r="B759" s="2" t="n"/>
      <c r="C759" s="2" t="n"/>
      <c r="D759" s="2" t="n"/>
    </row>
    <row r="760" ht="15.75" customHeight="1" s="82">
      <c r="A760" s="2" t="n"/>
      <c r="B760" s="2" t="n"/>
      <c r="C760" s="2" t="n"/>
      <c r="D760" s="2" t="n"/>
    </row>
    <row r="761" ht="15.75" customHeight="1" s="82">
      <c r="A761" s="2" t="n"/>
      <c r="B761" s="2" t="n"/>
      <c r="C761" s="2" t="n"/>
      <c r="D761" s="2" t="n"/>
    </row>
    <row r="762" ht="15.75" customHeight="1" s="82">
      <c r="A762" s="2" t="n"/>
      <c r="B762" s="2" t="n"/>
      <c r="C762" s="2" t="n"/>
      <c r="D762" s="2" t="n"/>
    </row>
    <row r="763" ht="15.75" customHeight="1" s="82">
      <c r="A763" s="2" t="n"/>
      <c r="B763" s="2" t="n"/>
      <c r="C763" s="2" t="n"/>
      <c r="D763" s="2" t="n"/>
    </row>
    <row r="764" ht="15.75" customHeight="1" s="82">
      <c r="A764" s="2" t="n"/>
      <c r="B764" s="2" t="n"/>
      <c r="C764" s="2" t="n"/>
      <c r="D764" s="2" t="n"/>
    </row>
    <row r="765" ht="15.75" customHeight="1" s="82">
      <c r="A765" s="2" t="n"/>
      <c r="B765" s="2" t="n"/>
      <c r="C765" s="2" t="n"/>
      <c r="D765" s="2" t="n"/>
    </row>
    <row r="766" ht="15.75" customHeight="1" s="82">
      <c r="A766" s="2" t="n"/>
      <c r="B766" s="2" t="n"/>
      <c r="C766" s="2" t="n"/>
      <c r="D766" s="2" t="n"/>
    </row>
    <row r="767" ht="15.75" customHeight="1" s="82">
      <c r="A767" s="2" t="n"/>
      <c r="B767" s="2" t="n"/>
      <c r="C767" s="2" t="n"/>
      <c r="D767" s="2" t="n"/>
    </row>
    <row r="768" ht="15.75" customHeight="1" s="82">
      <c r="A768" s="2" t="n"/>
      <c r="B768" s="2" t="n"/>
      <c r="C768" s="2" t="n"/>
      <c r="D768" s="2" t="n"/>
    </row>
    <row r="769" ht="15.75" customHeight="1" s="82">
      <c r="A769" s="2" t="n"/>
      <c r="B769" s="2" t="n"/>
      <c r="C769" s="2" t="n"/>
      <c r="D769" s="2" t="n"/>
    </row>
    <row r="770" ht="15.75" customHeight="1" s="82">
      <c r="A770" s="2" t="n"/>
      <c r="B770" s="2" t="n"/>
      <c r="C770" s="2" t="n"/>
      <c r="D770" s="2" t="n"/>
    </row>
    <row r="771" ht="15.75" customHeight="1" s="82">
      <c r="A771" s="2" t="n"/>
      <c r="B771" s="2" t="n"/>
      <c r="C771" s="2" t="n"/>
      <c r="D771" s="2" t="n"/>
    </row>
    <row r="772" ht="15.75" customHeight="1" s="82">
      <c r="A772" s="2" t="n"/>
      <c r="B772" s="2" t="n"/>
      <c r="C772" s="2" t="n"/>
      <c r="D772" s="2" t="n"/>
    </row>
    <row r="773" ht="15.75" customHeight="1" s="82">
      <c r="A773" s="2" t="n"/>
      <c r="B773" s="2" t="n"/>
      <c r="C773" s="2" t="n"/>
      <c r="D773" s="2" t="n"/>
    </row>
    <row r="774" ht="15.75" customHeight="1" s="82">
      <c r="A774" s="2" t="n"/>
      <c r="B774" s="2" t="n"/>
      <c r="C774" s="2" t="n"/>
      <c r="D774" s="2" t="n"/>
    </row>
    <row r="775" ht="15.75" customHeight="1" s="82">
      <c r="A775" s="2" t="n"/>
      <c r="B775" s="2" t="n"/>
      <c r="C775" s="2" t="n"/>
      <c r="D775" s="2" t="n"/>
    </row>
    <row r="776" ht="15.75" customHeight="1" s="82">
      <c r="A776" s="2" t="n"/>
      <c r="B776" s="2" t="n"/>
      <c r="C776" s="2" t="n"/>
      <c r="D776" s="2" t="n"/>
    </row>
    <row r="777" ht="15.75" customHeight="1" s="82">
      <c r="A777" s="2" t="n"/>
      <c r="B777" s="2" t="n"/>
      <c r="C777" s="2" t="n"/>
      <c r="D777" s="2" t="n"/>
    </row>
    <row r="778" ht="15.75" customHeight="1" s="82">
      <c r="A778" s="2" t="n"/>
      <c r="B778" s="2" t="n"/>
      <c r="C778" s="2" t="n"/>
      <c r="D778" s="2" t="n"/>
    </row>
    <row r="779" ht="15.75" customHeight="1" s="82">
      <c r="A779" s="2" t="n"/>
      <c r="B779" s="2" t="n"/>
      <c r="C779" s="2" t="n"/>
      <c r="D779" s="2" t="n"/>
    </row>
    <row r="780" ht="15.75" customHeight="1" s="82">
      <c r="A780" s="2" t="n"/>
      <c r="B780" s="2" t="n"/>
      <c r="C780" s="2" t="n"/>
      <c r="D780" s="2" t="n"/>
    </row>
    <row r="781" ht="15.75" customHeight="1" s="82">
      <c r="A781" s="2" t="n"/>
      <c r="B781" s="2" t="n"/>
      <c r="C781" s="2" t="n"/>
      <c r="D781" s="2" t="n"/>
    </row>
    <row r="782" ht="15.75" customHeight="1" s="82">
      <c r="A782" s="2" t="n"/>
      <c r="B782" s="2" t="n"/>
      <c r="C782" s="2" t="n"/>
      <c r="D782" s="2" t="n"/>
    </row>
    <row r="783" ht="15.75" customHeight="1" s="82">
      <c r="A783" s="2" t="n"/>
      <c r="B783" s="2" t="n"/>
      <c r="C783" s="2" t="n"/>
      <c r="D783" s="2" t="n"/>
    </row>
    <row r="784" ht="15.75" customHeight="1" s="82">
      <c r="A784" s="2" t="n"/>
      <c r="B784" s="2" t="n"/>
      <c r="C784" s="2" t="n"/>
      <c r="D784" s="2" t="n"/>
    </row>
    <row r="785" ht="15.75" customHeight="1" s="82">
      <c r="A785" s="2" t="n"/>
      <c r="B785" s="2" t="n"/>
      <c r="C785" s="2" t="n"/>
      <c r="D785" s="2" t="n"/>
    </row>
    <row r="786" ht="15.75" customHeight="1" s="82">
      <c r="A786" s="2" t="n"/>
      <c r="B786" s="2" t="n"/>
      <c r="C786" s="2" t="n"/>
      <c r="D786" s="2" t="n"/>
    </row>
    <row r="787" ht="15.75" customHeight="1" s="82">
      <c r="A787" s="2" t="n"/>
      <c r="B787" s="2" t="n"/>
      <c r="C787" s="2" t="n"/>
      <c r="D787" s="2" t="n"/>
    </row>
    <row r="788" ht="15.75" customHeight="1" s="82">
      <c r="A788" s="2" t="n"/>
      <c r="B788" s="2" t="n"/>
      <c r="C788" s="2" t="n"/>
      <c r="D788" s="2" t="n"/>
    </row>
    <row r="789" ht="15.75" customHeight="1" s="82">
      <c r="A789" s="2" t="n"/>
      <c r="B789" s="2" t="n"/>
      <c r="C789" s="2" t="n"/>
      <c r="D789" s="2" t="n"/>
    </row>
    <row r="790" ht="15.75" customHeight="1" s="82">
      <c r="A790" s="2" t="n"/>
      <c r="B790" s="2" t="n"/>
      <c r="C790" s="2" t="n"/>
      <c r="D790" s="2" t="n"/>
    </row>
    <row r="791" ht="15.75" customHeight="1" s="82">
      <c r="A791" s="2" t="n"/>
      <c r="B791" s="2" t="n"/>
      <c r="C791" s="2" t="n"/>
      <c r="D791" s="2" t="n"/>
    </row>
    <row r="792" ht="15.75" customHeight="1" s="82">
      <c r="A792" s="2" t="n"/>
      <c r="B792" s="2" t="n"/>
      <c r="C792" s="2" t="n"/>
      <c r="D792" s="2" t="n"/>
    </row>
    <row r="793" ht="15.75" customHeight="1" s="82">
      <c r="A793" s="2" t="n"/>
      <c r="B793" s="2" t="n"/>
      <c r="C793" s="2" t="n"/>
      <c r="D793" s="2" t="n"/>
    </row>
    <row r="794" ht="15.75" customHeight="1" s="82">
      <c r="A794" s="2" t="n"/>
      <c r="B794" s="2" t="n"/>
      <c r="C794" s="2" t="n"/>
      <c r="D794" s="2" t="n"/>
    </row>
    <row r="795" ht="15.75" customHeight="1" s="82">
      <c r="A795" s="2" t="n"/>
      <c r="B795" s="2" t="n"/>
      <c r="C795" s="2" t="n"/>
      <c r="D795" s="2" t="n"/>
    </row>
    <row r="796" ht="15.75" customHeight="1" s="82">
      <c r="A796" s="2" t="n"/>
      <c r="B796" s="2" t="n"/>
      <c r="C796" s="2" t="n"/>
      <c r="D796" s="2" t="n"/>
    </row>
    <row r="797" ht="15.75" customHeight="1" s="82">
      <c r="A797" s="2" t="n"/>
      <c r="B797" s="2" t="n"/>
      <c r="C797" s="2" t="n"/>
      <c r="D797" s="2" t="n"/>
    </row>
    <row r="798" ht="15.75" customHeight="1" s="82">
      <c r="A798" s="2" t="n"/>
      <c r="B798" s="2" t="n"/>
      <c r="C798" s="2" t="n"/>
      <c r="D798" s="2" t="n"/>
    </row>
    <row r="799" ht="15.75" customHeight="1" s="82">
      <c r="A799" s="2" t="n"/>
      <c r="B799" s="2" t="n"/>
      <c r="C799" s="2" t="n"/>
      <c r="D799" s="2" t="n"/>
    </row>
    <row r="800" ht="15.75" customHeight="1" s="82">
      <c r="A800" s="2" t="n"/>
      <c r="B800" s="2" t="n"/>
      <c r="C800" s="2" t="n"/>
      <c r="D800" s="2" t="n"/>
    </row>
    <row r="801" ht="15.75" customHeight="1" s="82">
      <c r="A801" s="2" t="n"/>
      <c r="B801" s="2" t="n"/>
      <c r="C801" s="2" t="n"/>
      <c r="D801" s="2" t="n"/>
    </row>
    <row r="802" ht="15.75" customHeight="1" s="82">
      <c r="A802" s="2" t="n"/>
      <c r="B802" s="2" t="n"/>
      <c r="C802" s="2" t="n"/>
      <c r="D802" s="2" t="n"/>
    </row>
    <row r="803" ht="15.75" customHeight="1" s="82">
      <c r="A803" s="2" t="n"/>
      <c r="B803" s="2" t="n"/>
      <c r="C803" s="2" t="n"/>
      <c r="D803" s="2" t="n"/>
    </row>
    <row r="804" ht="15.75" customHeight="1" s="82">
      <c r="A804" s="2" t="n"/>
      <c r="B804" s="2" t="n"/>
      <c r="C804" s="2" t="n"/>
      <c r="D804" s="2" t="n"/>
    </row>
    <row r="805" ht="15.75" customHeight="1" s="82">
      <c r="A805" s="2" t="n"/>
      <c r="B805" s="2" t="n"/>
      <c r="C805" s="2" t="n"/>
      <c r="D805" s="2" t="n"/>
    </row>
    <row r="806" ht="15.75" customHeight="1" s="82">
      <c r="A806" s="2" t="n"/>
      <c r="B806" s="2" t="n"/>
      <c r="C806" s="2" t="n"/>
      <c r="D806" s="2" t="n"/>
    </row>
    <row r="807" ht="15.75" customHeight="1" s="82">
      <c r="A807" s="2" t="n"/>
      <c r="B807" s="2" t="n"/>
      <c r="C807" s="2" t="n"/>
      <c r="D807" s="2" t="n"/>
    </row>
    <row r="808" ht="15.75" customHeight="1" s="82">
      <c r="A808" s="2" t="n"/>
      <c r="B808" s="2" t="n"/>
      <c r="C808" s="2" t="n"/>
      <c r="D808" s="2" t="n"/>
    </row>
    <row r="809" ht="15.75" customHeight="1" s="82">
      <c r="A809" s="2" t="n"/>
      <c r="B809" s="2" t="n"/>
      <c r="C809" s="2" t="n"/>
      <c r="D809" s="2" t="n"/>
    </row>
    <row r="810" ht="15.75" customHeight="1" s="82">
      <c r="A810" s="2" t="n"/>
      <c r="B810" s="2" t="n"/>
      <c r="C810" s="2" t="n"/>
      <c r="D810" s="2" t="n"/>
    </row>
    <row r="811" ht="15.75" customHeight="1" s="82">
      <c r="A811" s="2" t="n"/>
      <c r="B811" s="2" t="n"/>
      <c r="C811" s="2" t="n"/>
      <c r="D811" s="2" t="n"/>
    </row>
    <row r="812" ht="15.75" customHeight="1" s="82">
      <c r="A812" s="2" t="n"/>
      <c r="B812" s="2" t="n"/>
      <c r="C812" s="2" t="n"/>
      <c r="D812" s="2" t="n"/>
    </row>
    <row r="813" ht="15.75" customHeight="1" s="82">
      <c r="A813" s="2" t="n"/>
      <c r="B813" s="2" t="n"/>
      <c r="C813" s="2" t="n"/>
      <c r="D813" s="2" t="n"/>
    </row>
    <row r="814" ht="15.75" customHeight="1" s="82">
      <c r="A814" s="2" t="n"/>
      <c r="B814" s="2" t="n"/>
      <c r="C814" s="2" t="n"/>
      <c r="D814" s="2" t="n"/>
    </row>
    <row r="815" ht="15.75" customHeight="1" s="82">
      <c r="A815" s="2" t="n"/>
      <c r="B815" s="2" t="n"/>
      <c r="C815" s="2" t="n"/>
      <c r="D815" s="2" t="n"/>
    </row>
    <row r="816" ht="15.75" customHeight="1" s="82">
      <c r="A816" s="2" t="n"/>
      <c r="B816" s="2" t="n"/>
      <c r="C816" s="2" t="n"/>
      <c r="D816" s="2" t="n"/>
    </row>
    <row r="817" ht="15.75" customHeight="1" s="82">
      <c r="A817" s="2" t="n"/>
      <c r="B817" s="2" t="n"/>
      <c r="C817" s="2" t="n"/>
      <c r="D817" s="2" t="n"/>
    </row>
    <row r="818" ht="15.75" customHeight="1" s="82">
      <c r="A818" s="2" t="n"/>
      <c r="B818" s="2" t="n"/>
      <c r="C818" s="2" t="n"/>
      <c r="D818" s="2" t="n"/>
    </row>
    <row r="819" ht="15.75" customHeight="1" s="82">
      <c r="A819" s="2" t="n"/>
      <c r="B819" s="2" t="n"/>
      <c r="C819" s="2" t="n"/>
      <c r="D819" s="2" t="n"/>
    </row>
    <row r="820" ht="15.75" customHeight="1" s="82">
      <c r="A820" s="2" t="n"/>
      <c r="B820" s="2" t="n"/>
      <c r="C820" s="2" t="n"/>
      <c r="D820" s="2" t="n"/>
    </row>
    <row r="821" ht="15.75" customHeight="1" s="82">
      <c r="A821" s="2" t="n"/>
      <c r="B821" s="2" t="n"/>
      <c r="C821" s="2" t="n"/>
      <c r="D821" s="2" t="n"/>
    </row>
    <row r="822" ht="15.75" customHeight="1" s="82">
      <c r="A822" s="2" t="n"/>
      <c r="B822" s="2" t="n"/>
      <c r="C822" s="2" t="n"/>
      <c r="D822" s="2" t="n"/>
    </row>
    <row r="823" ht="15.75" customHeight="1" s="82">
      <c r="A823" s="2" t="n"/>
      <c r="B823" s="2" t="n"/>
      <c r="C823" s="2" t="n"/>
      <c r="D823" s="2" t="n"/>
    </row>
    <row r="824" ht="15.75" customHeight="1" s="82">
      <c r="A824" s="2" t="n"/>
      <c r="B824" s="2" t="n"/>
      <c r="C824" s="2" t="n"/>
      <c r="D824" s="2" t="n"/>
    </row>
    <row r="825" ht="15.75" customHeight="1" s="82">
      <c r="A825" s="2" t="n"/>
      <c r="B825" s="2" t="n"/>
      <c r="C825" s="2" t="n"/>
      <c r="D825" s="2" t="n"/>
    </row>
    <row r="826" ht="15.75" customHeight="1" s="82">
      <c r="A826" s="2" t="n"/>
      <c r="B826" s="2" t="n"/>
      <c r="C826" s="2" t="n"/>
      <c r="D826" s="2" t="n"/>
    </row>
    <row r="827" ht="15.75" customHeight="1" s="82">
      <c r="A827" s="2" t="n"/>
      <c r="B827" s="2" t="n"/>
      <c r="C827" s="2" t="n"/>
      <c r="D827" s="2" t="n"/>
    </row>
    <row r="828" ht="15.75" customHeight="1" s="82">
      <c r="A828" s="2" t="n"/>
      <c r="B828" s="2" t="n"/>
      <c r="C828" s="2" t="n"/>
      <c r="D828" s="2" t="n"/>
    </row>
    <row r="829" ht="15.75" customHeight="1" s="82">
      <c r="A829" s="2" t="n"/>
      <c r="B829" s="2" t="n"/>
      <c r="C829" s="2" t="n"/>
      <c r="D829" s="2" t="n"/>
    </row>
    <row r="830" ht="15.75" customHeight="1" s="82">
      <c r="A830" s="2" t="n"/>
      <c r="B830" s="2" t="n"/>
      <c r="C830" s="2" t="n"/>
      <c r="D830" s="2" t="n"/>
    </row>
    <row r="831" ht="15.75" customHeight="1" s="82">
      <c r="A831" s="2" t="n"/>
      <c r="B831" s="2" t="n"/>
      <c r="C831" s="2" t="n"/>
      <c r="D831" s="2" t="n"/>
    </row>
    <row r="832" ht="15.75" customHeight="1" s="82">
      <c r="A832" s="2" t="n"/>
      <c r="B832" s="2" t="n"/>
      <c r="C832" s="2" t="n"/>
      <c r="D832" s="2" t="n"/>
    </row>
    <row r="833" ht="15.75" customHeight="1" s="82">
      <c r="A833" s="2" t="n"/>
      <c r="B833" s="2" t="n"/>
      <c r="C833" s="2" t="n"/>
      <c r="D833" s="2" t="n"/>
    </row>
    <row r="834" ht="15.75" customHeight="1" s="82">
      <c r="A834" s="2" t="n"/>
      <c r="B834" s="2" t="n"/>
      <c r="C834" s="2" t="n"/>
      <c r="D834" s="2" t="n"/>
    </row>
    <row r="835" ht="15.75" customHeight="1" s="82">
      <c r="A835" s="2" t="n"/>
      <c r="B835" s="2" t="n"/>
      <c r="C835" s="2" t="n"/>
      <c r="D835" s="2" t="n"/>
    </row>
    <row r="836" ht="15.75" customHeight="1" s="82">
      <c r="A836" s="2" t="n"/>
      <c r="B836" s="2" t="n"/>
      <c r="C836" s="2" t="n"/>
      <c r="D836" s="2" t="n"/>
    </row>
    <row r="837" ht="15.75" customHeight="1" s="82">
      <c r="A837" s="2" t="n"/>
      <c r="B837" s="2" t="n"/>
      <c r="C837" s="2" t="n"/>
      <c r="D837" s="2" t="n"/>
    </row>
    <row r="838" ht="15.75" customHeight="1" s="82">
      <c r="A838" s="2" t="n"/>
      <c r="B838" s="2" t="n"/>
      <c r="C838" s="2" t="n"/>
      <c r="D838" s="2" t="n"/>
    </row>
    <row r="839" ht="15.75" customHeight="1" s="82">
      <c r="A839" s="2" t="n"/>
      <c r="B839" s="2" t="n"/>
      <c r="C839" s="2" t="n"/>
      <c r="D839" s="2" t="n"/>
    </row>
    <row r="840" ht="15.75" customHeight="1" s="82">
      <c r="A840" s="2" t="n"/>
      <c r="B840" s="2" t="n"/>
      <c r="C840" s="2" t="n"/>
      <c r="D840" s="2" t="n"/>
    </row>
    <row r="841" ht="15.75" customHeight="1" s="82">
      <c r="A841" s="2" t="n"/>
      <c r="B841" s="2" t="n"/>
      <c r="C841" s="2" t="n"/>
      <c r="D841" s="2" t="n"/>
    </row>
    <row r="842" ht="15.75" customHeight="1" s="82">
      <c r="A842" s="2" t="n"/>
      <c r="B842" s="2" t="n"/>
      <c r="C842" s="2" t="n"/>
      <c r="D842" s="2" t="n"/>
    </row>
    <row r="843" ht="15.75" customHeight="1" s="82">
      <c r="A843" s="2" t="n"/>
      <c r="B843" s="2" t="n"/>
      <c r="C843" s="2" t="n"/>
      <c r="D843" s="2" t="n"/>
    </row>
    <row r="844" ht="15.75" customHeight="1" s="82">
      <c r="A844" s="2" t="n"/>
      <c r="B844" s="2" t="n"/>
      <c r="C844" s="2" t="n"/>
      <c r="D844" s="2" t="n"/>
    </row>
    <row r="845" ht="15.75" customHeight="1" s="82">
      <c r="A845" s="2" t="n"/>
      <c r="B845" s="2" t="n"/>
      <c r="C845" s="2" t="n"/>
      <c r="D845" s="2" t="n"/>
    </row>
    <row r="846" ht="15.75" customHeight="1" s="82">
      <c r="A846" s="2" t="n"/>
      <c r="B846" s="2" t="n"/>
      <c r="C846" s="2" t="n"/>
      <c r="D846" s="2" t="n"/>
    </row>
    <row r="847" ht="15.75" customHeight="1" s="82">
      <c r="A847" s="2" t="n"/>
      <c r="B847" s="2" t="n"/>
      <c r="C847" s="2" t="n"/>
      <c r="D847" s="2" t="n"/>
    </row>
    <row r="848" ht="15.75" customHeight="1" s="82">
      <c r="A848" s="2" t="n"/>
      <c r="B848" s="2" t="n"/>
      <c r="C848" s="2" t="n"/>
      <c r="D848" s="2" t="n"/>
    </row>
    <row r="849" ht="15.75" customHeight="1" s="82">
      <c r="A849" s="2" t="n"/>
      <c r="B849" s="2" t="n"/>
      <c r="C849" s="2" t="n"/>
      <c r="D849" s="2" t="n"/>
    </row>
    <row r="850" ht="15.75" customHeight="1" s="82">
      <c r="A850" s="2" t="n"/>
      <c r="B850" s="2" t="n"/>
      <c r="C850" s="2" t="n"/>
      <c r="D850" s="2" t="n"/>
    </row>
    <row r="851" ht="15.75" customHeight="1" s="82">
      <c r="A851" s="2" t="n"/>
      <c r="B851" s="2" t="n"/>
      <c r="C851" s="2" t="n"/>
      <c r="D851" s="2" t="n"/>
    </row>
    <row r="852" ht="15.75" customHeight="1" s="82">
      <c r="A852" s="2" t="n"/>
      <c r="B852" s="2" t="n"/>
      <c r="C852" s="2" t="n"/>
      <c r="D852" s="2" t="n"/>
    </row>
    <row r="853" ht="15.75" customHeight="1" s="82">
      <c r="A853" s="2" t="n"/>
      <c r="B853" s="2" t="n"/>
      <c r="C853" s="2" t="n"/>
      <c r="D853" s="2" t="n"/>
    </row>
    <row r="854" ht="15.75" customHeight="1" s="82">
      <c r="A854" s="2" t="n"/>
      <c r="B854" s="2" t="n"/>
      <c r="C854" s="2" t="n"/>
      <c r="D854" s="2" t="n"/>
    </row>
    <row r="855" ht="15.75" customHeight="1" s="82">
      <c r="A855" s="2" t="n"/>
      <c r="B855" s="2" t="n"/>
      <c r="C855" s="2" t="n"/>
      <c r="D855" s="2" t="n"/>
    </row>
    <row r="856" ht="15.75" customHeight="1" s="82">
      <c r="A856" s="2" t="n"/>
      <c r="B856" s="2" t="n"/>
      <c r="C856" s="2" t="n"/>
      <c r="D856" s="2" t="n"/>
    </row>
    <row r="857" ht="15.75" customHeight="1" s="82">
      <c r="A857" s="2" t="n"/>
      <c r="B857" s="2" t="n"/>
      <c r="C857" s="2" t="n"/>
      <c r="D857" s="2" t="n"/>
    </row>
    <row r="858" ht="15.75" customHeight="1" s="82">
      <c r="A858" s="2" t="n"/>
      <c r="B858" s="2" t="n"/>
      <c r="C858" s="2" t="n"/>
      <c r="D858" s="2" t="n"/>
    </row>
    <row r="859" ht="15.75" customHeight="1" s="82">
      <c r="A859" s="2" t="n"/>
      <c r="B859" s="2" t="n"/>
      <c r="C859" s="2" t="n"/>
      <c r="D859" s="2" t="n"/>
    </row>
    <row r="860" ht="15.75" customHeight="1" s="82">
      <c r="A860" s="2" t="n"/>
      <c r="B860" s="2" t="n"/>
      <c r="C860" s="2" t="n"/>
      <c r="D860" s="2" t="n"/>
    </row>
    <row r="861" ht="15.75" customHeight="1" s="82">
      <c r="A861" s="2" t="n"/>
      <c r="B861" s="2" t="n"/>
      <c r="C861" s="2" t="n"/>
      <c r="D861" s="2" t="n"/>
    </row>
    <row r="862" ht="15.75" customHeight="1" s="82">
      <c r="A862" s="2" t="n"/>
      <c r="B862" s="2" t="n"/>
      <c r="C862" s="2" t="n"/>
      <c r="D862" s="2" t="n"/>
    </row>
    <row r="863" ht="15.75" customHeight="1" s="82">
      <c r="A863" s="2" t="n"/>
      <c r="B863" s="2" t="n"/>
      <c r="C863" s="2" t="n"/>
      <c r="D863" s="2" t="n"/>
    </row>
    <row r="864" ht="15.75" customHeight="1" s="82">
      <c r="A864" s="2" t="n"/>
      <c r="B864" s="2" t="n"/>
      <c r="C864" s="2" t="n"/>
      <c r="D864" s="2" t="n"/>
    </row>
    <row r="865" ht="15.75" customHeight="1" s="82">
      <c r="A865" s="2" t="n"/>
      <c r="B865" s="2" t="n"/>
      <c r="C865" s="2" t="n"/>
      <c r="D865" s="2" t="n"/>
    </row>
    <row r="866" ht="15.75" customHeight="1" s="82">
      <c r="A866" s="2" t="n"/>
      <c r="B866" s="2" t="n"/>
      <c r="C866" s="2" t="n"/>
      <c r="D866" s="2" t="n"/>
    </row>
    <row r="867" ht="15.75" customHeight="1" s="82">
      <c r="A867" s="2" t="n"/>
      <c r="B867" s="2" t="n"/>
      <c r="C867" s="2" t="n"/>
      <c r="D867" s="2" t="n"/>
    </row>
    <row r="868" ht="15.75" customHeight="1" s="82">
      <c r="A868" s="2" t="n"/>
      <c r="B868" s="2" t="n"/>
      <c r="C868" s="2" t="n"/>
      <c r="D868" s="2" t="n"/>
    </row>
    <row r="869" ht="15.75" customHeight="1" s="82">
      <c r="A869" s="2" t="n"/>
      <c r="B869" s="2" t="n"/>
      <c r="C869" s="2" t="n"/>
      <c r="D869" s="2" t="n"/>
    </row>
    <row r="870" ht="15.75" customHeight="1" s="82">
      <c r="A870" s="2" t="n"/>
      <c r="B870" s="2" t="n"/>
      <c r="C870" s="2" t="n"/>
      <c r="D870" s="2" t="n"/>
    </row>
    <row r="871" ht="15.75" customHeight="1" s="82">
      <c r="A871" s="2" t="n"/>
      <c r="B871" s="2" t="n"/>
      <c r="C871" s="2" t="n"/>
      <c r="D871" s="2" t="n"/>
    </row>
    <row r="872" ht="15.75" customHeight="1" s="82">
      <c r="A872" s="2" t="n"/>
      <c r="B872" s="2" t="n"/>
      <c r="C872" s="2" t="n"/>
      <c r="D872" s="2" t="n"/>
    </row>
    <row r="873" ht="15.75" customHeight="1" s="82">
      <c r="A873" s="2" t="n"/>
      <c r="B873" s="2" t="n"/>
      <c r="C873" s="2" t="n"/>
      <c r="D873" s="2" t="n"/>
    </row>
    <row r="874" ht="15.75" customHeight="1" s="82">
      <c r="A874" s="2" t="n"/>
      <c r="B874" s="2" t="n"/>
      <c r="C874" s="2" t="n"/>
      <c r="D874" s="2" t="n"/>
    </row>
    <row r="875" ht="15.75" customHeight="1" s="82">
      <c r="A875" s="2" t="n"/>
      <c r="B875" s="2" t="n"/>
      <c r="C875" s="2" t="n"/>
      <c r="D875" s="2" t="n"/>
    </row>
    <row r="876" ht="15.75" customHeight="1" s="82">
      <c r="A876" s="2" t="n"/>
      <c r="B876" s="2" t="n"/>
      <c r="C876" s="2" t="n"/>
      <c r="D876" s="2" t="n"/>
    </row>
    <row r="877" ht="15.75" customHeight="1" s="82">
      <c r="A877" s="2" t="n"/>
      <c r="B877" s="2" t="n"/>
      <c r="C877" s="2" t="n"/>
      <c r="D877" s="2" t="n"/>
    </row>
    <row r="878" ht="15.75" customHeight="1" s="82">
      <c r="A878" s="2" t="n"/>
      <c r="B878" s="2" t="n"/>
      <c r="C878" s="2" t="n"/>
      <c r="D878" s="2" t="n"/>
    </row>
    <row r="879" ht="15.75" customHeight="1" s="82">
      <c r="A879" s="2" t="n"/>
      <c r="B879" s="2" t="n"/>
      <c r="C879" s="2" t="n"/>
      <c r="D879" s="2" t="n"/>
    </row>
    <row r="880" ht="15.75" customHeight="1" s="82">
      <c r="A880" s="2" t="n"/>
      <c r="B880" s="2" t="n"/>
      <c r="C880" s="2" t="n"/>
      <c r="D880" s="2" t="n"/>
    </row>
    <row r="881" ht="15.75" customHeight="1" s="82">
      <c r="A881" s="2" t="n"/>
      <c r="B881" s="2" t="n"/>
      <c r="C881" s="2" t="n"/>
      <c r="D881" s="2" t="n"/>
    </row>
    <row r="882" ht="15.75" customHeight="1" s="82">
      <c r="A882" s="2" t="n"/>
      <c r="B882" s="2" t="n"/>
      <c r="C882" s="2" t="n"/>
      <c r="D882" s="2" t="n"/>
    </row>
    <row r="883" ht="15.75" customHeight="1" s="82">
      <c r="A883" s="2" t="n"/>
      <c r="B883" s="2" t="n"/>
      <c r="C883" s="2" t="n"/>
      <c r="D883" s="2" t="n"/>
    </row>
    <row r="884" ht="15.75" customHeight="1" s="82">
      <c r="A884" s="2" t="n"/>
      <c r="B884" s="2" t="n"/>
      <c r="C884" s="2" t="n"/>
      <c r="D884" s="2" t="n"/>
    </row>
    <row r="885" ht="15.75" customHeight="1" s="82">
      <c r="A885" s="2" t="n"/>
      <c r="B885" s="2" t="n"/>
      <c r="C885" s="2" t="n"/>
      <c r="D885" s="2" t="n"/>
    </row>
    <row r="886" ht="15.75" customHeight="1" s="82">
      <c r="A886" s="2" t="n"/>
      <c r="B886" s="2" t="n"/>
      <c r="C886" s="2" t="n"/>
      <c r="D886" s="2" t="n"/>
    </row>
    <row r="887" ht="15.75" customHeight="1" s="82">
      <c r="A887" s="2" t="n"/>
      <c r="B887" s="2" t="n"/>
      <c r="C887" s="2" t="n"/>
      <c r="D887" s="2" t="n"/>
    </row>
    <row r="888" ht="15.75" customHeight="1" s="82">
      <c r="A888" s="2" t="n"/>
      <c r="B888" s="2" t="n"/>
      <c r="C888" s="2" t="n"/>
      <c r="D888" s="2" t="n"/>
    </row>
    <row r="889" ht="15.75" customHeight="1" s="82">
      <c r="A889" s="2" t="n"/>
      <c r="B889" s="2" t="n"/>
      <c r="C889" s="2" t="n"/>
      <c r="D889" s="2" t="n"/>
    </row>
    <row r="890" ht="15.75" customHeight="1" s="82">
      <c r="A890" s="2" t="n"/>
      <c r="B890" s="2" t="n"/>
      <c r="C890" s="2" t="n"/>
      <c r="D890" s="2" t="n"/>
    </row>
    <row r="891" ht="15.75" customHeight="1" s="82">
      <c r="A891" s="2" t="n"/>
      <c r="B891" s="2" t="n"/>
      <c r="C891" s="2" t="n"/>
      <c r="D891" s="2" t="n"/>
    </row>
    <row r="892" ht="15.75" customHeight="1" s="82">
      <c r="A892" s="2" t="n"/>
      <c r="B892" s="2" t="n"/>
      <c r="C892" s="2" t="n"/>
      <c r="D892" s="2" t="n"/>
    </row>
    <row r="893" ht="15.75" customHeight="1" s="82">
      <c r="A893" s="2" t="n"/>
      <c r="B893" s="2" t="n"/>
      <c r="C893" s="2" t="n"/>
      <c r="D893" s="2" t="n"/>
    </row>
    <row r="894" ht="15.75" customHeight="1" s="82">
      <c r="A894" s="2" t="n"/>
      <c r="B894" s="2" t="n"/>
      <c r="C894" s="2" t="n"/>
      <c r="D894" s="2" t="n"/>
    </row>
    <row r="895" ht="15.75" customHeight="1" s="82">
      <c r="A895" s="2" t="n"/>
      <c r="B895" s="2" t="n"/>
      <c r="C895" s="2" t="n"/>
      <c r="D895" s="2" t="n"/>
    </row>
    <row r="896" ht="15.75" customHeight="1" s="82">
      <c r="A896" s="2" t="n"/>
      <c r="B896" s="2" t="n"/>
      <c r="C896" s="2" t="n"/>
      <c r="D896" s="2" t="n"/>
    </row>
    <row r="897" ht="15.75" customHeight="1" s="82">
      <c r="A897" s="2" t="n"/>
      <c r="B897" s="2" t="n"/>
      <c r="C897" s="2" t="n"/>
      <c r="D897" s="2" t="n"/>
    </row>
    <row r="898" ht="15.75" customHeight="1" s="82">
      <c r="A898" s="2" t="n"/>
      <c r="B898" s="2" t="n"/>
      <c r="C898" s="2" t="n"/>
      <c r="D898" s="2" t="n"/>
    </row>
    <row r="899" ht="15.75" customHeight="1" s="82">
      <c r="A899" s="2" t="n"/>
      <c r="B899" s="2" t="n"/>
      <c r="C899" s="2" t="n"/>
      <c r="D899" s="2" t="n"/>
    </row>
    <row r="900" ht="15.75" customHeight="1" s="82">
      <c r="A900" s="2" t="n"/>
      <c r="B900" s="2" t="n"/>
      <c r="C900" s="2" t="n"/>
      <c r="D900" s="2" t="n"/>
    </row>
    <row r="901" ht="15.75" customHeight="1" s="82">
      <c r="A901" s="2" t="n"/>
      <c r="B901" s="2" t="n"/>
      <c r="C901" s="2" t="n"/>
      <c r="D901" s="2" t="n"/>
    </row>
    <row r="902" ht="15.75" customHeight="1" s="82">
      <c r="A902" s="2" t="n"/>
      <c r="B902" s="2" t="n"/>
      <c r="C902" s="2" t="n"/>
      <c r="D902" s="2" t="n"/>
    </row>
    <row r="903" ht="15.75" customHeight="1" s="82">
      <c r="A903" s="2" t="n"/>
      <c r="B903" s="2" t="n"/>
      <c r="C903" s="2" t="n"/>
      <c r="D903" s="2" t="n"/>
    </row>
    <row r="904" ht="15.75" customHeight="1" s="82">
      <c r="A904" s="2" t="n"/>
      <c r="B904" s="2" t="n"/>
      <c r="C904" s="2" t="n"/>
      <c r="D904" s="2" t="n"/>
    </row>
    <row r="905" ht="15.75" customHeight="1" s="82">
      <c r="A905" s="2" t="n"/>
      <c r="B905" s="2" t="n"/>
      <c r="C905" s="2" t="n"/>
      <c r="D905" s="2" t="n"/>
    </row>
    <row r="906" ht="15.75" customHeight="1" s="82">
      <c r="A906" s="2" t="n"/>
      <c r="B906" s="2" t="n"/>
      <c r="C906" s="2" t="n"/>
      <c r="D906" s="2" t="n"/>
    </row>
    <row r="907" ht="15.75" customHeight="1" s="82">
      <c r="A907" s="2" t="n"/>
      <c r="B907" s="2" t="n"/>
      <c r="C907" s="2" t="n"/>
      <c r="D907" s="2" t="n"/>
    </row>
    <row r="908" ht="15.75" customHeight="1" s="82">
      <c r="A908" s="2" t="n"/>
      <c r="B908" s="2" t="n"/>
      <c r="C908" s="2" t="n"/>
      <c r="D908" s="2" t="n"/>
    </row>
    <row r="909" ht="15.75" customHeight="1" s="82">
      <c r="A909" s="2" t="n"/>
      <c r="B909" s="2" t="n"/>
      <c r="C909" s="2" t="n"/>
      <c r="D909" s="2" t="n"/>
    </row>
    <row r="910" ht="15.75" customHeight="1" s="82">
      <c r="A910" s="2" t="n"/>
      <c r="B910" s="2" t="n"/>
      <c r="C910" s="2" t="n"/>
      <c r="D910" s="2" t="n"/>
    </row>
    <row r="911" ht="15.75" customHeight="1" s="82">
      <c r="A911" s="2" t="n"/>
      <c r="B911" s="2" t="n"/>
      <c r="C911" s="2" t="n"/>
      <c r="D911" s="2" t="n"/>
    </row>
    <row r="912" ht="15.75" customHeight="1" s="82">
      <c r="A912" s="2" t="n"/>
      <c r="B912" s="2" t="n"/>
      <c r="C912" s="2" t="n"/>
      <c r="D912" s="2" t="n"/>
    </row>
    <row r="913" ht="15.75" customHeight="1" s="82">
      <c r="A913" s="2" t="n"/>
      <c r="B913" s="2" t="n"/>
      <c r="C913" s="2" t="n"/>
      <c r="D913" s="2" t="n"/>
    </row>
    <row r="914" ht="15.75" customHeight="1" s="82">
      <c r="A914" s="2" t="n"/>
      <c r="B914" s="2" t="n"/>
      <c r="C914" s="2" t="n"/>
      <c r="D914" s="2" t="n"/>
    </row>
    <row r="915" ht="15.75" customHeight="1" s="82">
      <c r="A915" s="2" t="n"/>
      <c r="B915" s="2" t="n"/>
      <c r="C915" s="2" t="n"/>
      <c r="D915" s="2" t="n"/>
    </row>
    <row r="916" ht="15.75" customHeight="1" s="82">
      <c r="A916" s="2" t="n"/>
      <c r="B916" s="2" t="n"/>
      <c r="C916" s="2" t="n"/>
      <c r="D916" s="2" t="n"/>
    </row>
    <row r="917" ht="15.75" customHeight="1" s="82">
      <c r="A917" s="2" t="n"/>
      <c r="B917" s="2" t="n"/>
      <c r="C917" s="2" t="n"/>
      <c r="D917" s="2" t="n"/>
    </row>
    <row r="918" ht="15.75" customHeight="1" s="82">
      <c r="A918" s="2" t="n"/>
      <c r="B918" s="2" t="n"/>
      <c r="C918" s="2" t="n"/>
      <c r="D918" s="2" t="n"/>
    </row>
    <row r="919" ht="15.75" customHeight="1" s="82">
      <c r="A919" s="2" t="n"/>
      <c r="B919" s="2" t="n"/>
      <c r="C919" s="2" t="n"/>
      <c r="D919" s="2" t="n"/>
    </row>
    <row r="920" ht="15.75" customHeight="1" s="82">
      <c r="A920" s="2" t="n"/>
      <c r="B920" s="2" t="n"/>
      <c r="C920" s="2" t="n"/>
      <c r="D920" s="2" t="n"/>
    </row>
    <row r="921" ht="15.75" customHeight="1" s="82">
      <c r="A921" s="2" t="n"/>
      <c r="B921" s="2" t="n"/>
      <c r="C921" s="2" t="n"/>
      <c r="D921" s="2" t="n"/>
    </row>
    <row r="922" ht="15.75" customHeight="1" s="82">
      <c r="A922" s="2" t="n"/>
      <c r="B922" s="2" t="n"/>
      <c r="C922" s="2" t="n"/>
      <c r="D922" s="2" t="n"/>
    </row>
    <row r="923" ht="15.75" customHeight="1" s="82">
      <c r="A923" s="2" t="n"/>
      <c r="B923" s="2" t="n"/>
      <c r="C923" s="2" t="n"/>
      <c r="D923" s="2" t="n"/>
    </row>
    <row r="924" ht="15.75" customHeight="1" s="82">
      <c r="A924" s="2" t="n"/>
      <c r="B924" s="2" t="n"/>
      <c r="C924" s="2" t="n"/>
      <c r="D924" s="2" t="n"/>
    </row>
    <row r="925" ht="15.75" customHeight="1" s="82">
      <c r="A925" s="2" t="n"/>
      <c r="B925" s="2" t="n"/>
      <c r="C925" s="2" t="n"/>
      <c r="D925" s="2" t="n"/>
    </row>
    <row r="926" ht="15.75" customHeight="1" s="82">
      <c r="A926" s="2" t="n"/>
      <c r="B926" s="2" t="n"/>
      <c r="C926" s="2" t="n"/>
      <c r="D926" s="2" t="n"/>
    </row>
    <row r="927" ht="15.75" customHeight="1" s="82">
      <c r="A927" s="2" t="n"/>
      <c r="B927" s="2" t="n"/>
      <c r="C927" s="2" t="n"/>
      <c r="D927" s="2" t="n"/>
    </row>
    <row r="928" ht="15.75" customHeight="1" s="82">
      <c r="A928" s="2" t="n"/>
      <c r="B928" s="2" t="n"/>
      <c r="C928" s="2" t="n"/>
      <c r="D928" s="2" t="n"/>
    </row>
    <row r="929" ht="15.75" customHeight="1" s="82">
      <c r="A929" s="2" t="n"/>
      <c r="B929" s="2" t="n"/>
      <c r="C929" s="2" t="n"/>
      <c r="D929" s="2" t="n"/>
    </row>
    <row r="930" ht="15.75" customHeight="1" s="82">
      <c r="A930" s="2" t="n"/>
      <c r="B930" s="2" t="n"/>
      <c r="C930" s="2" t="n"/>
      <c r="D930" s="2" t="n"/>
    </row>
    <row r="931" ht="15.75" customHeight="1" s="82">
      <c r="A931" s="2" t="n"/>
      <c r="B931" s="2" t="n"/>
      <c r="C931" s="2" t="n"/>
      <c r="D931" s="2" t="n"/>
    </row>
    <row r="932" ht="15.75" customHeight="1" s="82">
      <c r="A932" s="2" t="n"/>
      <c r="B932" s="2" t="n"/>
      <c r="C932" s="2" t="n"/>
      <c r="D932" s="2" t="n"/>
    </row>
    <row r="933" ht="15.75" customHeight="1" s="82">
      <c r="A933" s="2" t="n"/>
      <c r="B933" s="2" t="n"/>
      <c r="C933" s="2" t="n"/>
      <c r="D933" s="2" t="n"/>
    </row>
    <row r="934" ht="15.75" customHeight="1" s="82">
      <c r="A934" s="2" t="n"/>
      <c r="B934" s="2" t="n"/>
      <c r="C934" s="2" t="n"/>
      <c r="D934" s="2" t="n"/>
    </row>
    <row r="935" ht="15.75" customHeight="1" s="82">
      <c r="A935" s="2" t="n"/>
      <c r="B935" s="2" t="n"/>
      <c r="C935" s="2" t="n"/>
      <c r="D935" s="2" t="n"/>
    </row>
    <row r="936" ht="15.75" customHeight="1" s="82">
      <c r="A936" s="2" t="n"/>
      <c r="B936" s="2" t="n"/>
      <c r="C936" s="2" t="n"/>
      <c r="D936" s="2" t="n"/>
    </row>
    <row r="937" ht="15.75" customHeight="1" s="82">
      <c r="A937" s="2" t="n"/>
      <c r="B937" s="2" t="n"/>
      <c r="C937" s="2" t="n"/>
      <c r="D937" s="2" t="n"/>
    </row>
    <row r="938" ht="15.75" customHeight="1" s="82">
      <c r="A938" s="2" t="n"/>
      <c r="B938" s="2" t="n"/>
      <c r="C938" s="2" t="n"/>
      <c r="D938" s="2" t="n"/>
    </row>
    <row r="939" ht="15.75" customHeight="1" s="82">
      <c r="A939" s="2" t="n"/>
      <c r="B939" s="2" t="n"/>
      <c r="C939" s="2" t="n"/>
      <c r="D939" s="2" t="n"/>
    </row>
    <row r="940" ht="15.75" customHeight="1" s="82">
      <c r="A940" s="2" t="n"/>
      <c r="B940" s="2" t="n"/>
      <c r="C940" s="2" t="n"/>
      <c r="D940" s="2" t="n"/>
    </row>
    <row r="941" ht="15.75" customHeight="1" s="82">
      <c r="A941" s="2" t="n"/>
      <c r="B941" s="2" t="n"/>
      <c r="C941" s="2" t="n"/>
      <c r="D941" s="2" t="n"/>
    </row>
    <row r="942" ht="15.75" customHeight="1" s="82">
      <c r="A942" s="2" t="n"/>
      <c r="B942" s="2" t="n"/>
      <c r="C942" s="2" t="n"/>
      <c r="D942" s="2" t="n"/>
    </row>
    <row r="943" ht="15.75" customHeight="1" s="82">
      <c r="A943" s="2" t="n"/>
      <c r="B943" s="2" t="n"/>
      <c r="C943" s="2" t="n"/>
      <c r="D943" s="2" t="n"/>
    </row>
    <row r="944" ht="15.75" customHeight="1" s="82">
      <c r="A944" s="2" t="n"/>
      <c r="B944" s="2" t="n"/>
      <c r="C944" s="2" t="n"/>
      <c r="D944" s="2" t="n"/>
    </row>
    <row r="945" ht="15.75" customHeight="1" s="82">
      <c r="A945" s="2" t="n"/>
      <c r="B945" s="2" t="n"/>
      <c r="C945" s="2" t="n"/>
      <c r="D945" s="2" t="n"/>
    </row>
    <row r="946" ht="15.75" customHeight="1" s="82">
      <c r="A946" s="2" t="n"/>
      <c r="B946" s="2" t="n"/>
      <c r="C946" s="2" t="n"/>
      <c r="D946" s="2" t="n"/>
    </row>
    <row r="947" ht="15.75" customHeight="1" s="82">
      <c r="A947" s="2" t="n"/>
      <c r="B947" s="2" t="n"/>
      <c r="C947" s="2" t="n"/>
      <c r="D947" s="2" t="n"/>
    </row>
    <row r="948" ht="15.75" customHeight="1" s="82">
      <c r="A948" s="2" t="n"/>
      <c r="B948" s="2" t="n"/>
      <c r="C948" s="2" t="n"/>
      <c r="D948" s="2" t="n"/>
    </row>
    <row r="949" ht="15.75" customHeight="1" s="82">
      <c r="A949" s="2" t="n"/>
      <c r="B949" s="2" t="n"/>
      <c r="C949" s="2" t="n"/>
      <c r="D949" s="2" t="n"/>
    </row>
    <row r="950" ht="15.75" customHeight="1" s="82">
      <c r="A950" s="2" t="n"/>
      <c r="B950" s="2" t="n"/>
      <c r="C950" s="2" t="n"/>
      <c r="D950" s="2" t="n"/>
    </row>
    <row r="951" ht="15.75" customHeight="1" s="82">
      <c r="A951" s="2" t="n"/>
      <c r="B951" s="2" t="n"/>
      <c r="C951" s="2" t="n"/>
      <c r="D951" s="2" t="n"/>
    </row>
    <row r="952" ht="15.75" customHeight="1" s="82">
      <c r="A952" s="2" t="n"/>
      <c r="B952" s="2" t="n"/>
      <c r="C952" s="2" t="n"/>
      <c r="D952" s="2" t="n"/>
    </row>
    <row r="953" ht="15.75" customHeight="1" s="82">
      <c r="A953" s="2" t="n"/>
      <c r="B953" s="2" t="n"/>
      <c r="C953" s="2" t="n"/>
      <c r="D953" s="2" t="n"/>
    </row>
    <row r="954" ht="15.75" customHeight="1" s="82">
      <c r="A954" s="2" t="n"/>
      <c r="B954" s="2" t="n"/>
      <c r="C954" s="2" t="n"/>
      <c r="D954" s="2" t="n"/>
    </row>
    <row r="955" ht="15.75" customHeight="1" s="82">
      <c r="A955" s="2" t="n"/>
      <c r="B955" s="2" t="n"/>
      <c r="C955" s="2" t="n"/>
      <c r="D955" s="2" t="n"/>
    </row>
    <row r="956" ht="15.75" customHeight="1" s="82">
      <c r="A956" s="2" t="n"/>
      <c r="B956" s="2" t="n"/>
      <c r="C956" s="2" t="n"/>
      <c r="D956" s="2" t="n"/>
    </row>
    <row r="957" ht="15.75" customHeight="1" s="82">
      <c r="A957" s="2" t="n"/>
      <c r="B957" s="2" t="n"/>
      <c r="C957" s="2" t="n"/>
      <c r="D957" s="2" t="n"/>
    </row>
    <row r="958" ht="15.75" customHeight="1" s="82">
      <c r="A958" s="2" t="n"/>
      <c r="B958" s="2" t="n"/>
      <c r="C958" s="2" t="n"/>
      <c r="D958" s="2" t="n"/>
    </row>
    <row r="959" ht="15.75" customHeight="1" s="82">
      <c r="A959" s="2" t="n"/>
      <c r="B959" s="2" t="n"/>
      <c r="C959" s="2" t="n"/>
      <c r="D959" s="2" t="n"/>
    </row>
    <row r="960" ht="15.75" customHeight="1" s="82">
      <c r="A960" s="2" t="n"/>
      <c r="B960" s="2" t="n"/>
      <c r="C960" s="2" t="n"/>
      <c r="D960" s="2" t="n"/>
    </row>
    <row r="961" ht="15.75" customHeight="1" s="82">
      <c r="A961" s="2" t="n"/>
      <c r="B961" s="2" t="n"/>
      <c r="C961" s="2" t="n"/>
      <c r="D961" s="2" t="n"/>
    </row>
    <row r="962" ht="15.75" customHeight="1" s="82">
      <c r="A962" s="2" t="n"/>
      <c r="B962" s="2" t="n"/>
      <c r="C962" s="2" t="n"/>
      <c r="D962" s="2" t="n"/>
    </row>
    <row r="963" ht="15.75" customHeight="1" s="82">
      <c r="A963" s="2" t="n"/>
      <c r="B963" s="2" t="n"/>
      <c r="C963" s="2" t="n"/>
      <c r="D963" s="2" t="n"/>
    </row>
    <row r="964" ht="15.75" customHeight="1" s="82">
      <c r="A964" s="2" t="n"/>
      <c r="B964" s="2" t="n"/>
      <c r="C964" s="2" t="n"/>
      <c r="D964" s="2" t="n"/>
    </row>
    <row r="965" ht="15.75" customHeight="1" s="82">
      <c r="A965" s="2" t="n"/>
      <c r="B965" s="2" t="n"/>
      <c r="C965" s="2" t="n"/>
      <c r="D965" s="2" t="n"/>
    </row>
    <row r="966" ht="15.75" customHeight="1" s="82">
      <c r="A966" s="2" t="n"/>
      <c r="B966" s="2" t="n"/>
      <c r="C966" s="2" t="n"/>
      <c r="D966" s="2" t="n"/>
    </row>
    <row r="967" ht="15.75" customHeight="1" s="82">
      <c r="A967" s="2" t="n"/>
      <c r="B967" s="2" t="n"/>
      <c r="C967" s="2" t="n"/>
      <c r="D967" s="2" t="n"/>
    </row>
    <row r="968" ht="15.75" customHeight="1" s="82">
      <c r="A968" s="2" t="n"/>
      <c r="B968" s="2" t="n"/>
      <c r="C968" s="2" t="n"/>
      <c r="D968" s="2" t="n"/>
    </row>
    <row r="969" ht="15.75" customHeight="1" s="82">
      <c r="A969" s="2" t="n"/>
      <c r="B969" s="2" t="n"/>
      <c r="C969" s="2" t="n"/>
      <c r="D969" s="2" t="n"/>
    </row>
    <row r="970" ht="15.75" customHeight="1" s="82">
      <c r="A970" s="2" t="n"/>
      <c r="B970" s="2" t="n"/>
      <c r="C970" s="2" t="n"/>
      <c r="D970" s="2" t="n"/>
    </row>
    <row r="971" ht="15.75" customHeight="1" s="82">
      <c r="A971" s="2" t="n"/>
      <c r="B971" s="2" t="n"/>
      <c r="C971" s="2" t="n"/>
      <c r="D971" s="2" t="n"/>
    </row>
    <row r="972" ht="15.75" customHeight="1" s="82">
      <c r="A972" s="2" t="n"/>
      <c r="B972" s="2" t="n"/>
      <c r="C972" s="2" t="n"/>
      <c r="D972" s="2" t="n"/>
    </row>
    <row r="973" ht="15.75" customHeight="1" s="82">
      <c r="A973" s="2" t="n"/>
      <c r="B973" s="2" t="n"/>
      <c r="C973" s="2" t="n"/>
      <c r="D973" s="2" t="n"/>
    </row>
    <row r="974" ht="15.75" customHeight="1" s="82">
      <c r="A974" s="2" t="n"/>
      <c r="B974" s="2" t="n"/>
      <c r="C974" s="2" t="n"/>
      <c r="D974" s="2" t="n"/>
    </row>
    <row r="975" ht="15.75" customHeight="1" s="82">
      <c r="A975" s="2" t="n"/>
      <c r="B975" s="2" t="n"/>
      <c r="C975" s="2" t="n"/>
      <c r="D975" s="2" t="n"/>
    </row>
    <row r="976" ht="15.75" customHeight="1" s="82">
      <c r="A976" s="2" t="n"/>
      <c r="B976" s="2" t="n"/>
      <c r="C976" s="2" t="n"/>
      <c r="D976" s="2" t="n"/>
    </row>
    <row r="977" ht="15.75" customHeight="1" s="82">
      <c r="A977" s="2" t="n"/>
      <c r="B977" s="2" t="n"/>
      <c r="C977" s="2" t="n"/>
      <c r="D977" s="2" t="n"/>
    </row>
    <row r="978" ht="15.75" customHeight="1" s="82">
      <c r="A978" s="2" t="n"/>
      <c r="B978" s="2" t="n"/>
      <c r="C978" s="2" t="n"/>
      <c r="D978" s="2" t="n"/>
    </row>
    <row r="979" ht="15.75" customHeight="1" s="82">
      <c r="A979" s="2" t="n"/>
      <c r="B979" s="2" t="n"/>
      <c r="C979" s="2" t="n"/>
      <c r="D979" s="2" t="n"/>
    </row>
    <row r="980" ht="15.75" customHeight="1" s="82">
      <c r="A980" s="2" t="n"/>
      <c r="B980" s="2" t="n"/>
      <c r="C980" s="2" t="n"/>
      <c r="D980" s="2" t="n"/>
    </row>
    <row r="981" ht="15.75" customHeight="1" s="82">
      <c r="A981" s="2" t="n"/>
      <c r="B981" s="2" t="n"/>
      <c r="C981" s="2" t="n"/>
      <c r="D981" s="2" t="n"/>
    </row>
    <row r="982" ht="15.75" customHeight="1" s="82">
      <c r="A982" s="2" t="n"/>
      <c r="B982" s="2" t="n"/>
      <c r="C982" s="2" t="n"/>
      <c r="D982" s="2" t="n"/>
    </row>
    <row r="983" ht="15.75" customHeight="1" s="82">
      <c r="A983" s="2" t="n"/>
      <c r="B983" s="2" t="n"/>
      <c r="C983" s="2" t="n"/>
      <c r="D983" s="2" t="n"/>
    </row>
    <row r="984" ht="15.75" customHeight="1" s="82">
      <c r="A984" s="2" t="n"/>
      <c r="B984" s="2" t="n"/>
      <c r="C984" s="2" t="n"/>
      <c r="D984" s="2" t="n"/>
    </row>
    <row r="985" ht="15.75" customHeight="1" s="82">
      <c r="A985" s="2" t="n"/>
      <c r="B985" s="2" t="n"/>
      <c r="C985" s="2" t="n"/>
      <c r="D985" s="2" t="n"/>
    </row>
    <row r="986" ht="15.75" customHeight="1" s="82">
      <c r="A986" s="2" t="n"/>
      <c r="B986" s="2" t="n"/>
      <c r="C986" s="2" t="n"/>
      <c r="D986" s="2" t="n"/>
    </row>
    <row r="987" ht="15.75" customHeight="1" s="82">
      <c r="A987" s="2" t="n"/>
      <c r="B987" s="2" t="n"/>
      <c r="C987" s="2" t="n"/>
      <c r="D987" s="2" t="n"/>
    </row>
    <row r="988" ht="15.75" customHeight="1" s="82">
      <c r="A988" s="2" t="n"/>
      <c r="B988" s="2" t="n"/>
      <c r="C988" s="2" t="n"/>
      <c r="D988" s="2" t="n"/>
    </row>
    <row r="989" ht="15.75" customHeight="1" s="82">
      <c r="A989" s="2" t="n"/>
      <c r="B989" s="2" t="n"/>
      <c r="C989" s="2" t="n"/>
      <c r="D989" s="2" t="n"/>
    </row>
    <row r="990" ht="15.75" customHeight="1" s="82">
      <c r="A990" s="2" t="n"/>
      <c r="B990" s="2" t="n"/>
      <c r="C990" s="2" t="n"/>
      <c r="D990" s="2" t="n"/>
    </row>
    <row r="991" ht="15.75" customHeight="1" s="82">
      <c r="A991" s="2" t="n"/>
      <c r="B991" s="2" t="n"/>
      <c r="C991" s="2" t="n"/>
      <c r="D991" s="2" t="n"/>
    </row>
    <row r="992" ht="15.75" customHeight="1" s="82">
      <c r="A992" s="2" t="n"/>
      <c r="B992" s="2" t="n"/>
      <c r="C992" s="2" t="n"/>
      <c r="D992" s="2" t="n"/>
    </row>
    <row r="993" ht="15.75" customHeight="1" s="82">
      <c r="A993" s="2" t="n"/>
      <c r="B993" s="2" t="n"/>
      <c r="C993" s="2" t="n"/>
      <c r="D993" s="2" t="n"/>
    </row>
    <row r="994" ht="15.75" customHeight="1" s="82">
      <c r="A994" s="2" t="n"/>
      <c r="B994" s="2" t="n"/>
      <c r="C994" s="2" t="n"/>
      <c r="D994" s="2" t="n"/>
    </row>
    <row r="995" ht="15.75" customHeight="1" s="82">
      <c r="A995" s="2" t="n"/>
      <c r="B995" s="2" t="n"/>
      <c r="C995" s="2" t="n"/>
      <c r="D995" s="2" t="n"/>
    </row>
    <row r="996" ht="15.75" customHeight="1" s="82">
      <c r="A996" s="2" t="n"/>
      <c r="B996" s="2" t="n"/>
      <c r="C996" s="2" t="n"/>
      <c r="D996" s="2" t="n"/>
    </row>
    <row r="997" ht="15.75" customHeight="1" s="82">
      <c r="A997" s="2" t="n"/>
      <c r="B997" s="2" t="n"/>
      <c r="C997" s="2" t="n"/>
      <c r="D997" s="2" t="n"/>
    </row>
    <row r="998" ht="15.75" customHeight="1" s="82">
      <c r="A998" s="2" t="n"/>
      <c r="B998" s="2" t="n"/>
      <c r="C998" s="2" t="n"/>
      <c r="D998" s="2" t="n"/>
    </row>
    <row r="999" ht="15.75" customHeight="1" s="82">
      <c r="A999" s="2" t="n"/>
      <c r="B999" s="2" t="n"/>
      <c r="C999" s="2" t="n"/>
      <c r="D999" s="2" t="n"/>
    </row>
    <row r="1000" ht="15.75" customHeight="1" s="82">
      <c r="A1000" s="2" t="n"/>
      <c r="B1000" s="2" t="n"/>
      <c r="C1000" s="2" t="n"/>
      <c r="D1000" s="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Robbie</dc:creator>
  <dcterms:created xmlns:dcterms="http://purl.org/dc/terms/" xmlns:xsi="http://www.w3.org/2001/XMLSchema-instance" xsi:type="dcterms:W3CDTF">2016-02-26T23:43:24Z</dcterms:created>
  <dcterms:modified xmlns:dcterms="http://purl.org/dc/terms/" xmlns:xsi="http://www.w3.org/2001/XMLSchema-instance" xsi:type="dcterms:W3CDTF">2021-04-22T00:02:41Z</dcterms:modified>
  <cp:lastModifiedBy>Nathan Iyer</cp:lastModifiedBy>
</cp:coreProperties>
</file>