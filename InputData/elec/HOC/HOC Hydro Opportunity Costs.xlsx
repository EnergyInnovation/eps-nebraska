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E\elec\HOC\"/>
    </mc:Choice>
  </mc:AlternateContent>
  <xr:revisionPtr revIDLastSave="0" documentId="8_{2459C731-0874-4BF0-A169-BEF09CFFA72C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custom state value" sheetId="2" r:id="rId2"/>
    <sheet name="HO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2" i="3" s="1"/>
</calcChain>
</file>

<file path=xl/sharedStrings.xml><?xml version="1.0" encoding="utf-8"?>
<sst xmlns="http://schemas.openxmlformats.org/spreadsheetml/2006/main" count="217" uniqueCount="163">
  <si>
    <t>Folder Name</t>
  </si>
  <si>
    <t>BEST MATCH</t>
  </si>
  <si>
    <t>tuning note (latest pass wins; 2026-08-24 WA 40 -&gt; 55 for the 2026 gas dispatch cliff, superseding the 08-14 keep-at-40; 2026-08-13/14 start-year dispatch calibration; 2026-08-12 post-EIaE-anchor re-pin; 2026-08-11 VT guarantee-ramp decision; 2026-07-28 re-pin on the post-SYSHECF-regen basis; earlier: 2026-07-22 923ER-2025 re-tune, 2026-07-17 48-state sweep -- see state-data-forecast qc/hoc_tune_* CSVs)</t>
  </si>
  <si>
    <t>AL</t>
  </si>
  <si>
    <t>re-pinned 2026-08-24 (hydro crowd-out campaign): 23.0 -&gt; 62, PAIRED with a 2025-only BGDPbES hydro pin of 1.0 (Keys I:J table in the BGDPbES workbook). At the old HOC, 2026-29 hydro ran +121% vs the EIA-923 2025 target on flat capacity once the 2025-only coal/gas guarantees expired, crowding fossil out of merit. With pin+HOC: 2025 hydro -0.0% vs target, 2026-29 hydro -11.2% (0.9 out-year floor region), fossil restored to merit, max retail move 5.9% vs climate-0824. Probes in scratchpad tune_campaign_results.jsonl; evidence docs/findings/bau-fossil-dispatch-cliffs-2026-08-24.md.</t>
  </si>
  <si>
    <t>AR</t>
  </si>
  <si>
    <t>re-pinned 2026-08-24 (hydro crowd-out campaign): 21.15 -&gt; 62, PAIRED with a 2025-only BGDPbES hydro pin of 1.0 (Keys I:J table in the BGDPbES workbook). At the old HOC, 2026-29 hydro ran +56% vs the EIA-923 2025 target on flat capacity once the 2025-only coal/gas guarantees expired, crowding fossil out of merit. With pin+HOC: 2025 hydro +0.0% vs target, 2026-29 hydro -11.4% (0.9 out-year floor region), fossil restored to merit, max retail move 2.1% vs climate-0824. Probes in scratchpad tune_campaign_results.jsonl; evidence docs/findings/bau-fossil-dispatch-cliffs-2026-08-24.md.</t>
  </si>
  <si>
    <t>AZ</t>
  </si>
  <si>
    <t>re-pinned 2026-08-24 (hydro crowd-out campaign): 21.55 -&gt; 62, PAIRED with a 2025-only BGDPbES hydro pin of 1.0 (Keys I:J table in the BGDPbES workbook). At the old HOC, 2026-29 hydro ran +174% vs the EIA-923 2025 target on flat capacity once the 2025-only coal/gas guarantees expired, crowding fossil out of merit. With pin+HOC: 2025 hydro -0.0% vs target, 2026-29 hydro -5.0% (0.9 out-year floor region), fossil restored to merit, max retail move 2.9% vs climate-0824. Probes in scratchpad tune_campaign_results.jsonl; evidence docs/findings/bau-fossil-dispatch-cliffs-2026-08-24.md.</t>
  </si>
  <si>
    <t>CA</t>
  </si>
  <si>
    <t>re-pinned 2026-08-24 (hydro crowd-out campaign): 37.54 -&gt; 62, PAIRED with a 2025-only BGDPbES hydro pin of 1.0 (Keys I:J table in the BGDPbES workbook). At the old HOC, 2026-29 hydro ran +70% vs the EIA-923 2025 target on flat capacity once the 2025-only coal/gas guarantees expired, crowding fossil out of merit. With pin+HOC: 2025 hydro +0.0% vs target, 2026-29 hydro -6.3% (0.9 out-year floor region), fossil restored to merit, max retail move 1.7% vs climate-0824. Probes in scratchpad tune_campaign_results.jsonl; evidence docs/findings/bau-fossil-dispatch-cliffs-2026-08-24.md.</t>
  </si>
  <si>
    <t>CO</t>
  </si>
  <si>
    <t>re-pinned 2026-08-24 (hydro crowd-out campaign): 26.31 -&gt; 62, PAIRED with a 2025-only BGDPbES hydro pin of 1.0 (Keys I:J table in the BGDPbES workbook). At the old HOC, 2026-29 hydro ran +39% vs the EIA-923 2025 target on flat capacity once the 2025-only coal/gas guarantees expired, crowding fossil out of merit. With pin+HOC: 2025 hydro -0.0% vs target, 2026-29 hydro -10.4% (0.9 out-year floor region), fossil restored to merit, max retail move 1.0% vs climate-0824. Probes in scratchpad tune_campaign_results.jsonl; evidence docs/findings/bau-fossil-dispatch-cliffs-2026-08-24.md.</t>
  </si>
  <si>
    <t>CT</t>
  </si>
  <si>
    <t>re-tuned 2026-07-22 to 923ER-2025 hydro gen (basis switch from mean(24,25)); converged +2.5%</t>
  </si>
  <si>
    <t>DE</t>
  </si>
  <si>
    <t>no meaningful hydro</t>
  </si>
  <si>
    <t>FL</t>
  </si>
  <si>
    <t>re-tuned 2026-07-22 to 923ER-2025 hydro gen (basis switch from mean(24,25)); converged +0.7%</t>
  </si>
  <si>
    <t>GA</t>
  </si>
  <si>
    <t>re-pinned 2026-08-24 (hydro crowd-out campaign): 34.125 -&gt; 62, PAIRED with a 2025-only BGDPbES hydro pin of 1.0 (Keys I:J table in the BGDPbES workbook). At the old HOC, 2026-29 hydro ran +160% vs the EIA-923 2025 target on flat capacity once the 2025-only coal/gas guarantees expired, crowding fossil out of merit. With pin+HOC: 2025 hydro +0.0% vs target, 2026-29 hydro -6.2% (0.9 out-year floor region), fossil restored to merit, max retail move 1.8% vs climate-0824. Probes in scratchpad tune_campaign_results.jsonl; evidence docs/findings/bau-fossil-dispatch-cliffs-2026-08-24.md.</t>
  </si>
  <si>
    <t>IA</t>
  </si>
  <si>
    <t>re-tuned 2026-07-22 to 923ER-2025 hydro gen (basis switch from mean(24,25)); converged +2.6%</t>
  </si>
  <si>
    <t>ID</t>
  </si>
  <si>
    <t>re-pinned 2026-08-13: 80.00 (cap) -&gt; 35.00, PAIRED with BGDPbES[hydro] 1.0 -&gt; 0.90 for cap compliance. The 1.0 guarantee was LOAD-BEARING, not decorative: removing it alone took hydro +1.94% -&gt; -7.18%. Lowering HOC recovers it to +1.30%. Price gate PASS (3.09%, but measured against the pre-retune BAU.tsv -- re-check on the sweep).</t>
  </si>
  <si>
    <t>IL</t>
  </si>
  <si>
    <t>tuned 2026-07-17 pass 2 (post-BRPSDbS-update): nearest plateau -11% rel but 0.01 TWh abs (32 MW fleet) -- accept</t>
  </si>
  <si>
    <t>IN</t>
  </si>
  <si>
    <t>re-tuned 2026-07-22 to 923ER-2025 hydro gen (basis switch from mean(24,25)); converged +0.3%</t>
  </si>
  <si>
    <t>KS</t>
  </si>
  <si>
    <t>KY</t>
  </si>
  <si>
    <t>re-pinned 2026-08-24 (hydro crowd-out campaign): 24.0 -&gt; 62, PAIRED with a 2025-only BGDPbES hydro pin of 1.0 (Keys I:J table in the BGDPbES workbook). At the old HOC, 2026-29 hydro ran +19% vs the EIA-923 2025 target on flat capacity once the 2025-only coal/gas guarantees expired, crowding fossil out of merit. With pin+HOC: 2025 hydro -0.0% vs target, 2026-29 hydro -13.1% (0.9 out-year floor region), fossil restored to merit, max retail move 0.8% vs climate-0824. Probes in scratchpad tune_campaign_results.jsonl; evidence docs/findings/bau-fossil-dispatch-cliffs-2026-08-24.md.</t>
  </si>
  <si>
    <t>LA</t>
  </si>
  <si>
    <t>re-pinned 2026-07-28 on post-SYSHECF-regen basis: 24.57 -&gt; 19.96, converged +2.1% (closes the -9% calibration flag)</t>
  </si>
  <si>
    <t>MA</t>
  </si>
  <si>
    <t>tuned 2026-07-17 pass 2: pinned at availability floor +4.9% (0.04 TWh) at $80 cap; was +72% before BRPSDbS update</t>
  </si>
  <si>
    <t>MD</t>
  </si>
  <si>
    <t>re-tuned 2026-07-22 to 923ER-2025 hydro gen (basis switch from mean(24,25)); converged -2.8%</t>
  </si>
  <si>
    <t>ME</t>
  </si>
  <si>
    <t>re-pinned 2026-07-28: 32.52 -&gt; 56.26, converged -1.2% (was deferred pending BRPSDbS in July)</t>
  </si>
  <si>
    <t>MI</t>
  </si>
  <si>
    <t>already within 3% at this value (2026-07-17 check)</t>
  </si>
  <si>
    <t>MN</t>
  </si>
  <si>
    <t>re-pinned 2026-08-24 (hydro crowd-out campaign): 21.6 -&gt; 62, PAIRED with a 2025-only BGDPbES hydro pin of 1.0 (Keys I:J table in the BGDPbES workbook). At the old HOC, 2026-29 hydro ran +71% vs the EIA-923 2025 target on flat capacity once the 2025-only coal/gas guarantees expired, crowding fossil out of merit. With pin+HOC: 2025 hydro -0.0% vs target, 2026-29 hydro +5.5% (0.9 out-year floor region), fossil restored to merit, max retail move 0.7% vs climate-0824. Probes in scratchpad tune_campaign_results.jsonl; evidence docs/findings/bau-fossil-dispatch-cliffs-2026-08-24.md.</t>
  </si>
  <si>
    <t>MO</t>
  </si>
  <si>
    <t>tuned 2026-07-17 pass 2: converged -2.9%</t>
  </si>
  <si>
    <t>MS</t>
  </si>
  <si>
    <t>MT</t>
  </si>
  <si>
    <t>re-pinned 2026-07-28: 37.54 -&gt; 40.19, converged -0.4%</t>
  </si>
  <si>
    <t>NC</t>
  </si>
  <si>
    <t>re-pinned 2026-08-24 (hydro crowd-out campaign): 44.0 -&gt; 62, PAIRED with a 2025-only BGDPbES hydro pin of 1.0 (Keys I:J table in the BGDPbES workbook). At the old HOC, 2026-29 hydro ran +35% vs the EIA-923 2025 target on flat capacity once the 2025-only coal/gas guarantees expired, crowding fossil out of merit. With pin+HOC: 2025 hydro +0.0% vs target, 2026-29 hydro -1.2% (0.9 out-year floor region), fossil restored to merit, max retail move 1.1% vs climate-0824. Probes in scratchpad tune_campaign_results.jsonl; evidence docs/findings/bau-fossil-dispatch-cliffs-2026-08-24.md.</t>
  </si>
  <si>
    <t>ND</t>
  </si>
  <si>
    <t>tuned 2026-07-17 to mean(EIA-2024, 923ER-2025) hydro gen; converged -0.5%</t>
  </si>
  <si>
    <t>NE</t>
  </si>
  <si>
    <t>tuned 2026-07-17 to mean(EIA-2024, 923ER-2025) hydro gen; converged 0.0%</t>
  </si>
  <si>
    <t>NH</t>
  </si>
  <si>
    <t>re-pinned 2026-08-14 on the climate-0813 basis: 30.00 -&gt; 40.00, hydro +6.53% -&gt; -0.83% (1.169 -&gt; 1.089 TWh vs 1.098 EIA-923 2025 ER). Price gate PASS (worst 0.36%, industry 2045). SUPERSEDES the 08-13 value of 30, which was tuned when MCF still capped NH hydro; once that cap stopped binding, hydro ran up on economics and 30 became too cheap.</t>
  </si>
  <si>
    <t>NJ</t>
  </si>
  <si>
    <t>NM</t>
  </si>
  <si>
    <t>NV</t>
  </si>
  <si>
    <t>re-pinned 2026-08-24 (hydro crowd-out campaign): 26.05 -&gt; 45, NO guarantee change -- NV's existing 0.9 floor already equals its EIA-923 target exactly (expected 2.089 x 0.9 = 1.880), so only HOC moves. At 26.05 NV hydro ran +205% vs target over 2026-29 (Hoover crowding out gas); at 45: 2025 hydro -0.0%, 2026-29 -5.4%, fossil restored. Max retail move 9.3% -- the largest in the campaign, and it is the CORRECTION of the artificially hydro-cheap baseline dispatch, not a distortion; 45 beats 62 on both balance and price.</t>
  </si>
  <si>
    <t>NY</t>
  </si>
  <si>
    <t>2026-08-13: 80 -&gt; 40 by Olivia decision ("keep it in the middle and we will live with the imbalance"). NY hydro is NOT tunable to benchmark: the merit-order cliff sits between HOC 30 and 40. At 40 hydro is -9.9% with a +20.1% trajectory peak and the price gate PASSING at 1.91%; at 29 hydro reaches -1.07% but runs 85% implied CF for a decade (+37.6% peak, 2031) and the price gate FAILS at 19.3%. The 2025-useful range and the sane-trajectory range do not overlap. Accepted gap; real fixes are a year-varying HOC (model change) or the Nov 2026 demand re-anchor.</t>
  </si>
  <si>
    <t>OH</t>
  </si>
  <si>
    <t>2026-07-22 re-check vs 923ER-2025: within 3% at current value (-2.6%), unchanged</t>
  </si>
  <si>
    <t>OK</t>
  </si>
  <si>
    <t>re-pinned 2026-08-24 (hydro crowd-out campaign): 22.1944 -&gt; 62, PAIRED with a 2025-only BGDPbES hydro pin of 1.0 (Keys I:J table in the BGDPbES workbook). At the old HOC, 2026-29 hydro ran +81% vs the EIA-923 2025 target on flat capacity once the 2025-only coal/gas guarantees expired, crowding fossil out of merit. With pin+HOC: 2025 hydro +0.0% vs target, 2026-29 hydro -17.4% (0.9 out-year floor region), fossil restored to merit, max retail move 1.6% vs climate-0824. Probes in scratchpad tune_campaign_results.jsonl; evidence docs/findings/bau-fossil-dispatch-cliffs-2026-08-24.md.</t>
  </si>
  <si>
    <t>OR</t>
  </si>
  <si>
    <t>re-pinned 2026-08-24: 25.9 -&gt; 62 (Olivia decision, same day as the campaign), PAIRED with a 2025-only BGDPbES hydro pin of 0.9707 (=target/expected 29.564). Bare HOC raises had failed (32/38/45: retail +18.6/39.9/41.2% with start-year hydro -6/-7%); the pin+62 config instead holds hydro flat at its real ~27-28 TWh in every year, glides gas per HB 2021 (21.5 -&gt; 12.9 by 2030 -&gt; ~0 by 2040, no 2026 cliff), builds MORE wind/solar by 2030 (14.1/12.0 vs 10.2/7.8 TWh -- CES compliance off phantom hydro), and leaves 2025-26 retail unchanged. Accepted price cost: 2028-29 retail +7-13%; 2030-50 residential +23-37% lands INSIDE the waiver-corrected band (the old baseline was registered 19-36% LOW there -- settled-do-not-refix); industrial (+55-62%) likely overshoots its band -- watch it in the B6 price review. Decomposition in docs/findings/bau-fossil-dispatch-cliffs-2026-08-24.md (Oregon section).</t>
  </si>
  <si>
    <t>PA</t>
  </si>
  <si>
    <t>pass 2 (2026-07-17): HOC inert (2.71 TWh at 45 and at 80); floor +3.0% (tolerance boundary) -- acceptable</t>
  </si>
  <si>
    <t>RI</t>
  </si>
  <si>
    <t>SC</t>
  </si>
  <si>
    <t>round-2 re-pin 2026-07-29: 35 -&gt; 32.81, -2.9% (July "target below 0.9 floor" structural case now simply tunable on the new SYSHECF basis)</t>
  </si>
  <si>
    <t>SD</t>
  </si>
  <si>
    <t>re-pinned 2026-08-24 (hydro crowd-out campaign): 25.0 -&gt; 62, PAIRED with a 2025-only BGDPbES hydro pin of 0.9917 (Keys I:J table in the BGDPbES workbook). At the old HOC, 2026-29 hydro ran +40% vs the EIA-923 2025 target on flat capacity once the 2025-only coal/gas guarantees expired, crowding fossil out of merit. With pin+HOC: 2025 hydro -0.5% vs target, 2026-29 hydro -17.3% (0.9 out-year floor region), fossil restored to merit, max retail move 1.9% vs climate-0824. Probes in scratchpad tune_campaign_results.jsonl; evidence docs/findings/bau-fossil-dispatch-cliffs-2026-08-24.md. SD-specific: wind/solar 2025 dip -3.7%/-4.4% (mildest displacement in the campaign; SD is 25% hydro), and the out-year floor uses the standing 0.75 exception, hence the deeper 2026-29 dip.</t>
  </si>
  <si>
    <t>TN</t>
  </si>
  <si>
    <t>re-pinned 2026-08-13: 35.00 -&gt; 30.00, hydro -4.86% -&gt; -1.65% (8.411 -&gt; 8.694 TWh vs 8.840). Price gate PASS (1.31%). Trajectory peak rises +13.9% -&gt; +37.9% vs start year -- within gate but worth watching.</t>
  </si>
  <si>
    <t>TX</t>
  </si>
  <si>
    <t>re-tuned 2026-07-22 to 923ER-2025 hydro gen (basis switch from mean(24,25)); converged +2.3%</t>
  </si>
  <si>
    <t>UT</t>
  </si>
  <si>
    <t>re-tuned 2026-07-22 to 923ER-2025 hydro gen (basis switch from mean(24,25)); converged -2.4%</t>
  </si>
  <si>
    <t>VA</t>
  </si>
  <si>
    <t>round-2 re-pin 2026-07-29: 54 -&gt; 50.63, -3.4% plateau near-miss (+3.4%/-3.4% straddle; within the 5% goal)</t>
  </si>
  <si>
    <t>VT</t>
  </si>
  <si>
    <t>2026-08-11: kept at 80 by TESTED decision during the VT hydro-guarantee calibration. Current vintage collapses VT hydro post-2025 in BAU AND ClimateAmbition (oversupply from must-take builds; wholesale ~$0-9/MWh by 2030) -- fixed by a BGDPbES[hydro] ramp 0 -&gt; 0.9 over 2026-30, NOT by HOC: HOC 35 was probed and moved zero dispatch anywhere while cutting 2025 wholesale -15% (hydro is the 2025 residual supplier, so its $80 bid is part of the start-year price calibration). The 07-28 vintage-exempt classification of the 2025 level stands. Evidence: docs/findings/vt-hydro-guarantee-ramp-2026-08-11.md; qc/diag-tabs-2026-08-11/vt-hydro-guarantee/.</t>
  </si>
  <si>
    <t>WA</t>
  </si>
  <si>
    <t>re-pinned 2026-08-24: 40 -&gt; 55 (Olivia) to fix the 2026 BAU gas dispatch cliff. At 40, WA NGCC cost crosses HOC in 2026 ($37.15 -&gt; $43.37, then $44-52 through 2050; the $44.23/t carbon price adds ~$16/MWh), so hydro under-prices gas in every hour once the 2025-only BGDPbES guarantees expire: hydro 64.4 -&gt; 78.5 TWh on flat 21.5 GW, gas 15.6 -&gt; 3.2 TWh. At 55 the cliff becomes a CETA-shaped glide (gas 11.5 / 9.1 / 5.3 TWh in 2026/30/35) and the NGCC fleet stops retiring by 2032. Costs, measured vs the HOC-40 run on the current (08-24) tree: 2025 gas +11.6% (17.46 vs 15.64 observed), 2025 hydro -3.2% (62.36 vs 64.44), retail +0.0% in 2025-26 rising to peak +7.7% resid / +15.8% industrial around 2035. SUPERSEDES the 08-14 "keep 40, prices beat hydro" decision -- its +27.5%-at-48 price penalty does not reproduce on the current tree (capacity-market fix, CSC reseed and BGDPbES zeroing all landed since). Truly flat gas needs ~66 (full plateau separation) at roughly double the price impact; 55 is the balanced pick. Evidence: docs/findings/bau-fossil-dispatch-cliffs-2026-08-24.md; probes run-all/WA/HOCP*.tab. CONFIRMED by the same-day campaign: probes at 50/52 sit on the same smooth frontier (50: hydro -3.2%, gas26 9.4 TWh; 52: -3.4%, 10.4) with no knee, and 55 has the better 2026-29 balance (+6.1% vs +10.8% at 50) at near-equal 2025 error. WA gets NO 2025 hydro pin: guaranteed hydro displaces must-take wind in hydro-dominant states (tested: g=1.0 wind -48%, g=0.897 wind -41%).</t>
  </si>
  <si>
    <t>WI</t>
  </si>
  <si>
    <t>re-pinned 2026-08-24 (hydro crowd-out campaign): 21.8156 -&gt; 62, PAIRED with a 2025-only BGDPbES hydro pin of 1.0 (Keys I:J table in the BGDPbES workbook). At the old HOC, 2026-29 hydro ran +50% vs the EIA-923 2025 target on flat capacity once the 2025-only coal/gas guarantees expired, crowding fossil out of merit. With pin+HOC: 2025 hydro -0.0% vs target, 2026-29 hydro -9.6% (0.9 out-year floor region), fossil restored to merit, max retail move 0.6% vs climate-0824. Probes in scratchpad tune_campaign_results.jsonl; evidence docs/findings/bau-fossil-dispatch-cliffs-2026-08-24.md.</t>
  </si>
  <si>
    <t>WV</t>
  </si>
  <si>
    <t>tuned 2026-07-17 to mean(EIA-2024, 923ER-2025) hydro gen; nearest plateau +3.1%</t>
  </si>
  <si>
    <t>WY</t>
  </si>
  <si>
    <t>re-pinned 2026-07-28 AFTER the IiCFfNPdtTI re-base landed (wind boost 0.421 -&gt; 0.366): 32 -&gt; 35, converged -2.4%</t>
  </si>
  <si>
    <t>HOC Hydro Opportunity Cost</t>
  </si>
  <si>
    <t>Alabama</t>
  </si>
  <si>
    <t>Alaska</t>
  </si>
  <si>
    <t>AK</t>
  </si>
  <si>
    <t xml:space="preserve">Sources: </t>
  </si>
  <si>
    <t>(None needed. Calibrated variable.)</t>
  </si>
  <si>
    <t>Arizona</t>
  </si>
  <si>
    <t>Arkansas</t>
  </si>
  <si>
    <t>Notes:</t>
  </si>
  <si>
    <t>This variable estimates an opportunity cost for hydropower</t>
  </si>
  <si>
    <t>California</t>
  </si>
  <si>
    <t>so it can participate in market based dispatch. Since hydropower</t>
  </si>
  <si>
    <t>Colorado</t>
  </si>
  <si>
    <t xml:space="preserve">has no fuel or variable costs, it bids based on opportunity costs, </t>
  </si>
  <si>
    <t>Connecticut</t>
  </si>
  <si>
    <t>such as refilling the reservoir or foregone recreational revenue.</t>
  </si>
  <si>
    <t>Delaware</t>
  </si>
  <si>
    <t>We estimate an opportunity cost that aligns modeled hydro dispatch</t>
  </si>
  <si>
    <t>Florida</t>
  </si>
  <si>
    <t>with real world disptach.</t>
  </si>
  <si>
    <t>Georgia</t>
  </si>
  <si>
    <t>2026-07-17: per-state values tuned so EPS 2025 hydro generation matches mean(EIA 2024, EIA-923 2025 ER) within ~3% (bisection on HOC, US_ClimateAmbition first model year). Column C on the custom-state-value tab preserves prior values; column D carries per-state status. Deferred/pinned states documented in state-data-forecast qc/HOC_hydro_dispatch_tuning_2026-07-17.md. DRAFT for staff review.</t>
  </si>
  <si>
    <t>Hawaii</t>
  </si>
  <si>
    <t>HI</t>
  </si>
  <si>
    <t>2026-07-28: re-pin on the post-07-27-SYSHECF/SHELF-regen basis (10 states). LA/MT/ME changed; WA/NY/OR/ID/TN confirmed; CA plateau near-miss kept; VT not dispatch-tunable (structural memo in state-data-forecast qc/). Driver: qc/_tune_hoc_0728.py; target 923ER-2025 hydro, tol 3%, HOC in [0,80].</t>
  </si>
  <si>
    <t>Idaho</t>
  </si>
  <si>
    <t>2026-08-11: VT kept at 80 by tested decision -- the post-2025 hydro dispatch collapse (BAU and ClimateAmbition) is fixed by a BGDPbES[hydro] guarantee ramp 0 -&gt; 0.9 over 2026-30 (see the BGDPbES workbook), not by HOC; an HOC-35 probe moved zero dispatch and cut 2025 wholesale -15%. Evidence: docs/findings/vt-hydro-guarantee-ramp-2026-08-11.md.</t>
  </si>
  <si>
    <t>Illinois</t>
  </si>
  <si>
    <t>2026-08-12: post-EIaE-anchor re-pin (TODOS C0e), measured on run climate-0812 -- the first sweep carrying both the EIaE 2025 net-trade anchor and the 100 MWh dispatch quantum. Scoped by materiality: WA was the only state whose hydro gap was worth a run (-17.3%, 11% of WA generation), and it is now +0.9% at HOC 40. Six states are floor-pinned at exactly 0.900x their EIA-923 target (MI NH PA NY KS NM) and are a BGDPbES[hydro] question, not an HOC one -- confirmed by probing NY, whose value is unchanged. Every other state measured under the 5% materiality gate and was deliberately not tuned. Driver: qc/_tune_hoc_0812.py; verification: qc/_verify_hoc_state.py.</t>
  </si>
  <si>
    <t>Indiana</t>
  </si>
  <si>
    <t>2026-08-24: hydro crowd-out campaign (Olivia architecture: 2025-only BGDPbES hydro pin at target/expected + HOC raised so 2026-29 dispatch is economic; ~32 BAU probe runs). 13 states pinned + HOC 62 (AL AZ AR CA CO GA KY MN NC OK SD WI at pin 1.0 / SD 0.9917 -- start-year hydro -0.0% each, SD -0.5%, no wind/solar displacement except SD -4%; OR at pin 0.9707 by Olivia decision same day -- volumes right everywhere, 2028-29 retail +7-13% accepted, 2030-50 residential inside the waiver-corrected band); NV HOC 45 with NO pin (its 0.9 floor already equals target); WA 40 -&gt; 55 compromise (no pin possible: guaranteed hydro displaces WA wind, tested -41%; supersedes the 08-14 keep-at-40 whose price penalty does not reproduce on the current tree). Old HOCs had let 2026-29 hydro run +19% to +205% vs EIA targets once the 2025-only coal/gas guarantees expired, crowding fossil out of merit fleet-wide. Pins live in the BGDPbES workbook Keys I:J table. Evidence: docs/findings/bau-fossil-dispatch-cliffs-2026-08-24.md.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</si>
  <si>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</si>
  <si>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</si>
  <si>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</si>
  <si>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</si>
  <si>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</si>
  <si>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</si>
  <si>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</si>
  <si>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</si>
  <si>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</si>
  <si>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</si>
  <si>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</si>
  <si>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</si>
  <si>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</si>
  <si>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</si>
  <si>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</si>
  <si>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</si>
  <si>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</si>
  <si>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</si>
  <si>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</si>
  <si>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</si>
  <si>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</si>
  <si>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</si>
  <si>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</si>
  <si>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</si>
  <si>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</si>
  <si>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</si>
  <si>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</si>
  <si>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</si>
  <si>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</si>
  <si>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</si>
  <si>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</si>
  <si>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</si>
  <si>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</si>
  <si>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</si>
  <si>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</si>
  <si>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</si>
  <si>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$/(MW*hr)</t>
  </si>
  <si>
    <t>Opportunity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</si>
</sst>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14" fontId="2" fillId="0" borderId="0" xfId="0" applyNumberFormat="1" applyFont="1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workbookViewId="0">
      <selection activeCell="B2" sqref="B2"/>
    </sheetView>
  </sheetViews>
  <sheetFormatPr defaultRowHeight="15" x14ac:dyDescent="0.25"/>
  <sheetData>
    <row r="1" spans="1:12" x14ac:dyDescent="0.25">
      <c r="A1" s="1" t="s">
        <v>94</v>
      </c>
      <c r="B1" s="2" t="s">
        <v>137</v>
      </c>
      <c r="C1" s="3">
        <v>46258</v>
      </c>
      <c r="D1" s="4"/>
      <c r="E1" s="4"/>
      <c r="F1" s="4"/>
      <c r="G1" s="4"/>
      <c r="H1" s="4"/>
      <c r="I1" s="4"/>
      <c r="J1" s="4"/>
      <c r="K1" s="2" t="s">
        <v>95</v>
      </c>
      <c r="L1" s="2" t="s">
        <v>3</v>
      </c>
    </row>
    <row r="2" spans="1:12" x14ac:dyDescent="0.25">
      <c r="B2" s="4" t="str">
        <f>LOOKUP(B1,K1:L50,L1:L50)</f>
        <v>NE</v>
      </c>
      <c r="C2" s="4"/>
      <c r="D2" s="4"/>
      <c r="E2" s="4"/>
      <c r="F2" s="4"/>
      <c r="G2" s="4"/>
      <c r="H2" s="4"/>
      <c r="I2" s="4"/>
      <c r="J2" s="4"/>
      <c r="K2" s="2" t="s">
        <v>96</v>
      </c>
      <c r="L2" s="2" t="s">
        <v>97</v>
      </c>
    </row>
    <row r="3" spans="1:12" x14ac:dyDescent="0.25">
      <c r="A3" s="1" t="s">
        <v>98</v>
      </c>
      <c r="B3" t="s">
        <v>99</v>
      </c>
      <c r="K3" s="2" t="s">
        <v>100</v>
      </c>
      <c r="L3" s="2" t="s">
        <v>7</v>
      </c>
    </row>
    <row r="4" spans="1:12" x14ac:dyDescent="0.25">
      <c r="K4" s="2" t="s">
        <v>101</v>
      </c>
      <c r="L4" s="2" t="s">
        <v>5</v>
      </c>
    </row>
    <row r="5" spans="1:12" x14ac:dyDescent="0.25">
      <c r="A5" s="1" t="s">
        <v>102</v>
      </c>
      <c r="B5" t="s">
        <v>103</v>
      </c>
      <c r="K5" s="2" t="s">
        <v>104</v>
      </c>
      <c r="L5" s="2" t="s">
        <v>9</v>
      </c>
    </row>
    <row r="6" spans="1:12" x14ac:dyDescent="0.25">
      <c r="B6" t="s">
        <v>105</v>
      </c>
      <c r="K6" s="2" t="s">
        <v>106</v>
      </c>
      <c r="L6" s="2" t="s">
        <v>11</v>
      </c>
    </row>
    <row r="7" spans="1:12" x14ac:dyDescent="0.25">
      <c r="B7" t="s">
        <v>107</v>
      </c>
      <c r="K7" s="2" t="s">
        <v>108</v>
      </c>
      <c r="L7" s="2" t="s">
        <v>13</v>
      </c>
    </row>
    <row r="8" spans="1:12" x14ac:dyDescent="0.25">
      <c r="B8" t="s">
        <v>109</v>
      </c>
      <c r="K8" s="2" t="s">
        <v>110</v>
      </c>
      <c r="L8" s="2" t="s">
        <v>15</v>
      </c>
    </row>
    <row r="9" spans="1:12" x14ac:dyDescent="0.25">
      <c r="B9" t="s">
        <v>111</v>
      </c>
      <c r="K9" s="2" t="s">
        <v>112</v>
      </c>
      <c r="L9" s="2" t="s">
        <v>17</v>
      </c>
    </row>
    <row r="10" spans="1:12" x14ac:dyDescent="0.25">
      <c r="B10" t="s">
        <v>113</v>
      </c>
      <c r="K10" s="2" t="s">
        <v>114</v>
      </c>
      <c r="L10" s="2" t="s">
        <v>19</v>
      </c>
    </row>
    <row r="11" spans="1:12" x14ac:dyDescent="0.25">
      <c r="B11" t="s">
        <v>115</v>
      </c>
      <c r="K11" s="2" t="s">
        <v>116</v>
      </c>
      <c r="L11" s="2" t="s">
        <v>117</v>
      </c>
    </row>
    <row r="12" spans="1:12" x14ac:dyDescent="0.25">
      <c r="B12" t="s">
        <v>118</v>
      </c>
      <c r="K12" s="2" t="s">
        <v>119</v>
      </c>
      <c r="L12" s="2" t="s">
        <v>23</v>
      </c>
    </row>
    <row r="13" spans="1:12" x14ac:dyDescent="0.25">
      <c r="B13" t="s">
        <v>120</v>
      </c>
      <c r="K13" s="2" t="s">
        <v>121</v>
      </c>
      <c r="L13" s="2" t="s">
        <v>25</v>
      </c>
    </row>
    <row r="14" spans="1:12" x14ac:dyDescent="0.25">
      <c r="B14" t="s">
        <v>122</v>
      </c>
      <c r="K14" s="2" t="s">
        <v>123</v>
      </c>
      <c r="L14" s="2" t="s">
        <v>27</v>
      </c>
    </row>
    <row r="15" spans="1:12" x14ac:dyDescent="0.25">
      <c r="B15" t="s">
        <v>124</v>
      </c>
      <c r="K15" s="2" t="s">
        <v>125</v>
      </c>
      <c r="L15" s="2" t="s">
        <v>21</v>
      </c>
    </row>
    <row r="16" spans="1:12" x14ac:dyDescent="0.25">
      <c r="K16" s="2" t="s">
        <v>126</v>
      </c>
      <c r="L16" s="2" t="s">
        <v>29</v>
      </c>
    </row>
    <row r="17" spans="11:12" x14ac:dyDescent="0.25">
      <c r="K17" s="2" t="s">
        <v>127</v>
      </c>
      <c r="L17" s="2" t="s">
        <v>30</v>
      </c>
    </row>
    <row r="18" spans="11:12" x14ac:dyDescent="0.25">
      <c r="K18" s="2" t="s">
        <v>128</v>
      </c>
      <c r="L18" s="2" t="s">
        <v>32</v>
      </c>
    </row>
    <row r="19" spans="11:12" x14ac:dyDescent="0.25">
      <c r="K19" s="2" t="s">
        <v>129</v>
      </c>
      <c r="L19" s="2" t="s">
        <v>38</v>
      </c>
    </row>
    <row r="20" spans="11:12" x14ac:dyDescent="0.25">
      <c r="K20" s="2" t="s">
        <v>130</v>
      </c>
      <c r="L20" s="2" t="s">
        <v>36</v>
      </c>
    </row>
    <row r="21" spans="11:12" x14ac:dyDescent="0.25">
      <c r="K21" s="2" t="s">
        <v>131</v>
      </c>
      <c r="L21" s="2" t="s">
        <v>34</v>
      </c>
    </row>
    <row r="22" spans="11:12" x14ac:dyDescent="0.25">
      <c r="K22" s="2" t="s">
        <v>132</v>
      </c>
      <c r="L22" s="2" t="s">
        <v>40</v>
      </c>
    </row>
    <row r="23" spans="11:12" x14ac:dyDescent="0.25">
      <c r="K23" s="2" t="s">
        <v>133</v>
      </c>
      <c r="L23" s="2" t="s">
        <v>42</v>
      </c>
    </row>
    <row r="24" spans="11:12" x14ac:dyDescent="0.25">
      <c r="K24" s="2" t="s">
        <v>134</v>
      </c>
      <c r="L24" s="2" t="s">
        <v>46</v>
      </c>
    </row>
    <row r="25" spans="11:12" x14ac:dyDescent="0.25">
      <c r="K25" s="2" t="s">
        <v>135</v>
      </c>
      <c r="L25" s="2" t="s">
        <v>44</v>
      </c>
    </row>
    <row r="26" spans="11:12" x14ac:dyDescent="0.25">
      <c r="K26" s="2" t="s">
        <v>136</v>
      </c>
      <c r="L26" s="2" t="s">
        <v>47</v>
      </c>
    </row>
    <row r="27" spans="11:12" x14ac:dyDescent="0.25">
      <c r="K27" s="2" t="s">
        <v>137</v>
      </c>
      <c r="L27" s="2" t="s">
        <v>53</v>
      </c>
    </row>
    <row r="28" spans="11:12" x14ac:dyDescent="0.25">
      <c r="K28" s="2" t="s">
        <v>138</v>
      </c>
      <c r="L28" s="2" t="s">
        <v>59</v>
      </c>
    </row>
    <row r="29" spans="11:12" x14ac:dyDescent="0.25">
      <c r="K29" s="2" t="s">
        <v>139</v>
      </c>
      <c r="L29" s="2" t="s">
        <v>55</v>
      </c>
    </row>
    <row r="30" spans="11:12" x14ac:dyDescent="0.25">
      <c r="K30" s="2" t="s">
        <v>140</v>
      </c>
      <c r="L30" s="2" t="s">
        <v>57</v>
      </c>
    </row>
    <row r="31" spans="11:12" x14ac:dyDescent="0.25">
      <c r="K31" s="2" t="s">
        <v>141</v>
      </c>
      <c r="L31" s="2" t="s">
        <v>58</v>
      </c>
    </row>
    <row r="32" spans="11:12" x14ac:dyDescent="0.25">
      <c r="K32" s="2" t="s">
        <v>142</v>
      </c>
      <c r="L32" s="2" t="s">
        <v>61</v>
      </c>
    </row>
    <row r="33" spans="11:12" x14ac:dyDescent="0.25">
      <c r="K33" s="2" t="s">
        <v>143</v>
      </c>
      <c r="L33" s="2" t="s">
        <v>49</v>
      </c>
    </row>
    <row r="34" spans="11:12" x14ac:dyDescent="0.25">
      <c r="K34" s="2" t="s">
        <v>144</v>
      </c>
      <c r="L34" s="2" t="s">
        <v>51</v>
      </c>
    </row>
    <row r="35" spans="11:12" x14ac:dyDescent="0.25">
      <c r="K35" s="2" t="s">
        <v>145</v>
      </c>
      <c r="L35" s="2" t="s">
        <v>63</v>
      </c>
    </row>
    <row r="36" spans="11:12" x14ac:dyDescent="0.25">
      <c r="K36" s="2" t="s">
        <v>146</v>
      </c>
      <c r="L36" s="2" t="s">
        <v>65</v>
      </c>
    </row>
    <row r="37" spans="11:12" x14ac:dyDescent="0.25">
      <c r="K37" s="2" t="s">
        <v>147</v>
      </c>
      <c r="L37" s="2" t="s">
        <v>67</v>
      </c>
    </row>
    <row r="38" spans="11:12" x14ac:dyDescent="0.25">
      <c r="K38" s="2" t="s">
        <v>148</v>
      </c>
      <c r="L38" s="2" t="s">
        <v>69</v>
      </c>
    </row>
    <row r="39" spans="11:12" x14ac:dyDescent="0.25">
      <c r="K39" s="2" t="s">
        <v>149</v>
      </c>
      <c r="L39" s="2" t="s">
        <v>71</v>
      </c>
    </row>
    <row r="40" spans="11:12" x14ac:dyDescent="0.25">
      <c r="K40" s="2" t="s">
        <v>150</v>
      </c>
      <c r="L40" s="2" t="s">
        <v>72</v>
      </c>
    </row>
    <row r="41" spans="11:12" x14ac:dyDescent="0.25">
      <c r="K41" s="2" t="s">
        <v>151</v>
      </c>
      <c r="L41" s="2" t="s">
        <v>74</v>
      </c>
    </row>
    <row r="42" spans="11:12" x14ac:dyDescent="0.25">
      <c r="K42" s="2" t="s">
        <v>152</v>
      </c>
      <c r="L42" s="2" t="s">
        <v>76</v>
      </c>
    </row>
    <row r="43" spans="11:12" x14ac:dyDescent="0.25">
      <c r="K43" s="2" t="s">
        <v>153</v>
      </c>
      <c r="L43" s="2" t="s">
        <v>78</v>
      </c>
    </row>
    <row r="44" spans="11:12" x14ac:dyDescent="0.25">
      <c r="K44" s="2" t="s">
        <v>154</v>
      </c>
      <c r="L44" s="2" t="s">
        <v>80</v>
      </c>
    </row>
    <row r="45" spans="11:12" x14ac:dyDescent="0.25">
      <c r="K45" s="2" t="s">
        <v>155</v>
      </c>
      <c r="L45" s="2" t="s">
        <v>84</v>
      </c>
    </row>
    <row r="46" spans="11:12" x14ac:dyDescent="0.25">
      <c r="K46" s="2" t="s">
        <v>156</v>
      </c>
      <c r="L46" s="2" t="s">
        <v>82</v>
      </c>
    </row>
    <row r="47" spans="11:12" x14ac:dyDescent="0.25">
      <c r="K47" s="2" t="s">
        <v>157</v>
      </c>
      <c r="L47" s="2" t="s">
        <v>86</v>
      </c>
    </row>
    <row r="48" spans="11:12" x14ac:dyDescent="0.25">
      <c r="K48" s="2" t="s">
        <v>158</v>
      </c>
      <c r="L48" s="2" t="s">
        <v>90</v>
      </c>
    </row>
    <row r="49" spans="11:12" x14ac:dyDescent="0.25">
      <c r="K49" s="2" t="s">
        <v>159</v>
      </c>
      <c r="L49" s="2" t="s">
        <v>88</v>
      </c>
    </row>
    <row r="50" spans="11:12" x14ac:dyDescent="0.25">
      <c r="K50" s="2" t="s">
        <v>160</v>
      </c>
      <c r="L50" s="2" t="s">
        <v>92</v>
      </c>
    </row>
  </sheetData>
  <conditionalFormatting sqref="L1:L50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abSelected="1" topLeftCell="A25" workbookViewId="0">
      <selection activeCell="B48" sqref="B48"/>
    </sheetView>
  </sheetViews>
  <sheetFormatPr defaultRowHeight="15" x14ac:dyDescent="0.25"/>
  <cols>
    <col min="3" max="3" width="110" customWidth="1"/>
    <col min="7" max="8" width="9.140625" style="5" customWidth="1"/>
  </cols>
  <sheetData>
    <row r="1" spans="1:3" x14ac:dyDescent="0.25">
      <c r="A1" t="s">
        <v>0</v>
      </c>
    </row>
    <row r="2" spans="1:3" x14ac:dyDescent="0.25">
      <c r="B2" t="s">
        <v>1</v>
      </c>
      <c r="C2" t="s">
        <v>2</v>
      </c>
    </row>
    <row r="3" spans="1:3" x14ac:dyDescent="0.25">
      <c r="A3" t="s">
        <v>3</v>
      </c>
      <c r="B3">
        <v>62</v>
      </c>
      <c r="C3" t="s">
        <v>4</v>
      </c>
    </row>
    <row r="4" spans="1:3" x14ac:dyDescent="0.25">
      <c r="A4" t="s">
        <v>5</v>
      </c>
      <c r="B4">
        <v>62</v>
      </c>
      <c r="C4" t="s">
        <v>6</v>
      </c>
    </row>
    <row r="5" spans="1:3" x14ac:dyDescent="0.25">
      <c r="A5" t="s">
        <v>7</v>
      </c>
      <c r="B5">
        <v>62</v>
      </c>
      <c r="C5" t="s">
        <v>8</v>
      </c>
    </row>
    <row r="6" spans="1:3" x14ac:dyDescent="0.25">
      <c r="A6" t="s">
        <v>9</v>
      </c>
      <c r="B6">
        <v>62</v>
      </c>
      <c r="C6" t="s">
        <v>10</v>
      </c>
    </row>
    <row r="7" spans="1:3" x14ac:dyDescent="0.25">
      <c r="A7" t="s">
        <v>11</v>
      </c>
      <c r="B7">
        <v>62</v>
      </c>
      <c r="C7" t="s">
        <v>12</v>
      </c>
    </row>
    <row r="8" spans="1:3" x14ac:dyDescent="0.25">
      <c r="A8" t="s">
        <v>13</v>
      </c>
      <c r="B8">
        <v>32</v>
      </c>
      <c r="C8" t="s">
        <v>14</v>
      </c>
    </row>
    <row r="9" spans="1:3" x14ac:dyDescent="0.25">
      <c r="A9" t="s">
        <v>15</v>
      </c>
      <c r="C9" t="s">
        <v>16</v>
      </c>
    </row>
    <row r="10" spans="1:3" x14ac:dyDescent="0.25">
      <c r="A10" t="s">
        <v>17</v>
      </c>
      <c r="B10">
        <v>25.54</v>
      </c>
      <c r="C10" t="s">
        <v>18</v>
      </c>
    </row>
    <row r="11" spans="1:3" x14ac:dyDescent="0.25">
      <c r="A11" t="s">
        <v>19</v>
      </c>
      <c r="B11">
        <v>62</v>
      </c>
      <c r="C11" t="s">
        <v>20</v>
      </c>
    </row>
    <row r="12" spans="1:3" x14ac:dyDescent="0.25">
      <c r="A12" t="s">
        <v>21</v>
      </c>
      <c r="B12">
        <v>23.94</v>
      </c>
      <c r="C12" t="s">
        <v>22</v>
      </c>
    </row>
    <row r="13" spans="1:3" x14ac:dyDescent="0.25">
      <c r="A13" t="s">
        <v>23</v>
      </c>
      <c r="B13">
        <v>35</v>
      </c>
      <c r="C13" t="s">
        <v>24</v>
      </c>
    </row>
    <row r="14" spans="1:3" x14ac:dyDescent="0.25">
      <c r="A14" t="s">
        <v>25</v>
      </c>
      <c r="B14">
        <v>18.79</v>
      </c>
      <c r="C14" t="s">
        <v>26</v>
      </c>
    </row>
    <row r="15" spans="1:3" x14ac:dyDescent="0.25">
      <c r="A15" t="s">
        <v>27</v>
      </c>
      <c r="B15">
        <v>23.27</v>
      </c>
      <c r="C15" t="s">
        <v>28</v>
      </c>
    </row>
    <row r="16" spans="1:3" x14ac:dyDescent="0.25">
      <c r="A16" t="s">
        <v>29</v>
      </c>
      <c r="B16">
        <v>40</v>
      </c>
      <c r="C16" t="s">
        <v>16</v>
      </c>
    </row>
    <row r="17" spans="1:3" x14ac:dyDescent="0.25">
      <c r="A17" t="s">
        <v>30</v>
      </c>
      <c r="B17">
        <v>62</v>
      </c>
      <c r="C17" t="s">
        <v>31</v>
      </c>
    </row>
    <row r="18" spans="1:3" x14ac:dyDescent="0.25">
      <c r="A18" t="s">
        <v>32</v>
      </c>
      <c r="B18">
        <v>19.963100000000001</v>
      </c>
      <c r="C18" t="s">
        <v>33</v>
      </c>
    </row>
    <row r="19" spans="1:3" x14ac:dyDescent="0.25">
      <c r="A19" t="s">
        <v>34</v>
      </c>
      <c r="B19">
        <v>80</v>
      </c>
      <c r="C19" t="s">
        <v>35</v>
      </c>
    </row>
    <row r="20" spans="1:3" x14ac:dyDescent="0.25">
      <c r="A20" t="s">
        <v>36</v>
      </c>
      <c r="B20">
        <v>50</v>
      </c>
      <c r="C20" t="s">
        <v>37</v>
      </c>
    </row>
    <row r="21" spans="1:3" x14ac:dyDescent="0.25">
      <c r="A21" t="s">
        <v>38</v>
      </c>
      <c r="B21">
        <v>56.26</v>
      </c>
      <c r="C21" t="s">
        <v>39</v>
      </c>
    </row>
    <row r="22" spans="1:3" x14ac:dyDescent="0.25">
      <c r="A22" t="s">
        <v>40</v>
      </c>
      <c r="B22">
        <v>40</v>
      </c>
      <c r="C22" t="s">
        <v>41</v>
      </c>
    </row>
    <row r="23" spans="1:3" x14ac:dyDescent="0.25">
      <c r="A23" t="s">
        <v>42</v>
      </c>
      <c r="B23">
        <v>62</v>
      </c>
      <c r="C23" t="s">
        <v>43</v>
      </c>
    </row>
    <row r="24" spans="1:3" x14ac:dyDescent="0.25">
      <c r="A24" t="s">
        <v>44</v>
      </c>
      <c r="B24">
        <v>24.09</v>
      </c>
      <c r="C24" t="s">
        <v>45</v>
      </c>
    </row>
    <row r="25" spans="1:3" x14ac:dyDescent="0.25">
      <c r="A25" t="s">
        <v>46</v>
      </c>
      <c r="C25" t="s">
        <v>16</v>
      </c>
    </row>
    <row r="26" spans="1:3" x14ac:dyDescent="0.25">
      <c r="A26" t="s">
        <v>47</v>
      </c>
      <c r="B26">
        <v>40.1937</v>
      </c>
      <c r="C26" t="s">
        <v>48</v>
      </c>
    </row>
    <row r="27" spans="1:3" x14ac:dyDescent="0.25">
      <c r="A27" t="s">
        <v>49</v>
      </c>
      <c r="B27">
        <v>62</v>
      </c>
      <c r="C27" t="s">
        <v>50</v>
      </c>
    </row>
    <row r="28" spans="1:3" x14ac:dyDescent="0.25">
      <c r="A28" t="s">
        <v>51</v>
      </c>
      <c r="B28">
        <v>28.45</v>
      </c>
      <c r="C28" t="s">
        <v>52</v>
      </c>
    </row>
    <row r="29" spans="1:3" x14ac:dyDescent="0.25">
      <c r="A29" t="s">
        <v>53</v>
      </c>
      <c r="B29">
        <v>17.86</v>
      </c>
      <c r="C29" t="s">
        <v>54</v>
      </c>
    </row>
    <row r="30" spans="1:3" x14ac:dyDescent="0.25">
      <c r="A30" t="s">
        <v>55</v>
      </c>
      <c r="B30">
        <v>40</v>
      </c>
      <c r="C30" t="s">
        <v>56</v>
      </c>
    </row>
    <row r="31" spans="1:3" x14ac:dyDescent="0.25">
      <c r="A31" t="s">
        <v>57</v>
      </c>
      <c r="B31">
        <v>38</v>
      </c>
      <c r="C31" t="s">
        <v>16</v>
      </c>
    </row>
    <row r="32" spans="1:3" x14ac:dyDescent="0.25">
      <c r="A32" t="s">
        <v>58</v>
      </c>
      <c r="B32">
        <v>24.06</v>
      </c>
      <c r="C32" t="s">
        <v>54</v>
      </c>
    </row>
    <row r="33" spans="1:3" x14ac:dyDescent="0.25">
      <c r="A33" t="s">
        <v>59</v>
      </c>
      <c r="B33">
        <v>45</v>
      </c>
      <c r="C33" t="s">
        <v>60</v>
      </c>
    </row>
    <row r="34" spans="1:3" x14ac:dyDescent="0.25">
      <c r="A34" t="s">
        <v>61</v>
      </c>
      <c r="B34">
        <v>40</v>
      </c>
      <c r="C34" t="s">
        <v>62</v>
      </c>
    </row>
    <row r="35" spans="1:3" x14ac:dyDescent="0.25">
      <c r="A35" t="s">
        <v>63</v>
      </c>
      <c r="B35">
        <v>24.39</v>
      </c>
      <c r="C35" t="s">
        <v>64</v>
      </c>
    </row>
    <row r="36" spans="1:3" x14ac:dyDescent="0.25">
      <c r="A36" t="s">
        <v>65</v>
      </c>
      <c r="B36">
        <v>62</v>
      </c>
      <c r="C36" t="s">
        <v>66</v>
      </c>
    </row>
    <row r="37" spans="1:3" x14ac:dyDescent="0.25">
      <c r="A37" t="s">
        <v>67</v>
      </c>
      <c r="B37">
        <v>62</v>
      </c>
      <c r="C37" t="s">
        <v>68</v>
      </c>
    </row>
    <row r="38" spans="1:3" x14ac:dyDescent="0.25">
      <c r="A38" t="s">
        <v>69</v>
      </c>
      <c r="B38">
        <v>45</v>
      </c>
      <c r="C38" t="s">
        <v>70</v>
      </c>
    </row>
    <row r="39" spans="1:3" x14ac:dyDescent="0.25">
      <c r="A39" t="s">
        <v>71</v>
      </c>
      <c r="B39">
        <v>50</v>
      </c>
      <c r="C39" t="s">
        <v>16</v>
      </c>
    </row>
    <row r="40" spans="1:3" x14ac:dyDescent="0.25">
      <c r="A40" t="s">
        <v>72</v>
      </c>
      <c r="B40">
        <v>32.8125</v>
      </c>
      <c r="C40" t="s">
        <v>73</v>
      </c>
    </row>
    <row r="41" spans="1:3" x14ac:dyDescent="0.25">
      <c r="A41" t="s">
        <v>74</v>
      </c>
      <c r="B41">
        <v>62</v>
      </c>
      <c r="C41" t="s">
        <v>75</v>
      </c>
    </row>
    <row r="42" spans="1:3" x14ac:dyDescent="0.25">
      <c r="A42" t="s">
        <v>76</v>
      </c>
      <c r="B42">
        <v>30</v>
      </c>
      <c r="C42" t="s">
        <v>77</v>
      </c>
    </row>
    <row r="43" spans="1:3" x14ac:dyDescent="0.25">
      <c r="A43" t="s">
        <v>78</v>
      </c>
      <c r="B43">
        <v>20.641999999999999</v>
      </c>
      <c r="C43" t="s">
        <v>79</v>
      </c>
    </row>
    <row r="44" spans="1:3" x14ac:dyDescent="0.25">
      <c r="A44" t="s">
        <v>80</v>
      </c>
      <c r="B44">
        <v>37</v>
      </c>
      <c r="C44" t="s">
        <v>81</v>
      </c>
    </row>
    <row r="45" spans="1:3" x14ac:dyDescent="0.25">
      <c r="A45" t="s">
        <v>82</v>
      </c>
      <c r="B45">
        <v>50.625</v>
      </c>
      <c r="C45" t="s">
        <v>83</v>
      </c>
    </row>
    <row r="46" spans="1:3" x14ac:dyDescent="0.25">
      <c r="A46" t="s">
        <v>84</v>
      </c>
      <c r="B46">
        <v>80</v>
      </c>
      <c r="C46" t="s">
        <v>85</v>
      </c>
    </row>
    <row r="47" spans="1:3" x14ac:dyDescent="0.25">
      <c r="A47" t="s">
        <v>86</v>
      </c>
      <c r="B47">
        <v>55</v>
      </c>
      <c r="C47" t="s">
        <v>87</v>
      </c>
    </row>
    <row r="48" spans="1:3" x14ac:dyDescent="0.25">
      <c r="A48" t="s">
        <v>88</v>
      </c>
      <c r="B48">
        <v>62</v>
      </c>
      <c r="C48" t="s">
        <v>89</v>
      </c>
    </row>
    <row r="49" spans="1:3" x14ac:dyDescent="0.25">
      <c r="A49" t="s">
        <v>90</v>
      </c>
      <c r="B49">
        <v>25.18</v>
      </c>
      <c r="C49" t="s">
        <v>91</v>
      </c>
    </row>
    <row r="50" spans="1:3" x14ac:dyDescent="0.25">
      <c r="A50" t="s">
        <v>92</v>
      </c>
      <c r="B50">
        <v>35</v>
      </c>
      <c r="C50" t="s">
        <v>93</v>
      </c>
    </row>
  </sheetData>
  <conditionalFormatting sqref="B3:B50">
    <cfRule type="cellIs" dxfId="0" priority="1" operator="equal">
      <formula>80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-0.499984740745262"/>
  </sheetPr>
  <dimension ref="A1:B2"/>
  <sheetViews>
    <sheetView workbookViewId="0">
      <selection activeCell="B2" sqref="B2"/>
    </sheetView>
  </sheetViews>
  <sheetFormatPr defaultRowHeight="15" x14ac:dyDescent="0.25"/>
  <cols>
    <col min="1" max="1" width="16.28515625" bestFit="1" customWidth="1"/>
  </cols>
  <sheetData>
    <row r="1" spans="1:2" x14ac:dyDescent="0.25">
      <c r="A1" t="s">
        <v>161</v>
      </c>
    </row>
    <row r="2" spans="1:2" x14ac:dyDescent="0.25">
      <c r="A2" t="s">
        <v>162</v>
      </c>
      <c r="B2">
        <f>IFERROR(INDEX('custom state value'!B:B,MATCH(About!B2,'custom state value'!A:A,0)),35)</f>
        <v>17.86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custom state value</vt:lpstr>
      <vt:lpstr>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2023-12-11T15:33:59Z</dcterms:created>
  <dcterms:modified xsi:type="dcterms:W3CDTF">2026-08-24T22:23:33Z</dcterms:modified>
</cp:coreProperties>
</file>