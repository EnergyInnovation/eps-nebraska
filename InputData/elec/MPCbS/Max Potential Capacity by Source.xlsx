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PCbS\"/>
    </mc:Choice>
  </mc:AlternateContent>
  <xr:revisionPtr revIDLastSave="0" documentId="8_{5A1481D3-553E-40B6-A8CD-F16D74D08422}" xr6:coauthVersionLast="47" xr6:coauthVersionMax="47" xr10:uidLastSave="{00000000-0000-0000-0000-000000000000}"/>
  <bookViews>
    <workbookView xWindow="390" yWindow="390" windowWidth="15870" windowHeight="16425" firstSheet="7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4" i="3"/>
  <c r="E36" i="2"/>
  <c r="E37" i="2" s="1"/>
  <c r="B2" i="3" l="1"/>
  <c r="B22" i="3" s="1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B19" i="3"/>
  <c r="B14" i="3"/>
  <c r="E9" i="2"/>
  <c r="B22" i="2"/>
  <c r="B13" i="3"/>
  <c r="B12" i="3"/>
  <c r="B20" i="2"/>
  <c r="B21" i="2"/>
  <c r="B19" i="2"/>
  <c r="B18" i="2"/>
  <c r="B17" i="2"/>
  <c r="B17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<sst xmlns="http://schemas.openxmlformats.org/spreadsheetml/2006/main" count="1067" uniqueCount="282">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</sst>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152</v>
      </c>
      <c r="C1" s="24">
        <v>45348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NE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topLeftCell="A19" workbookViewId="0">
      <selection activeCell="L23" sqref="L23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279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279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NE</v>
      </c>
      <c r="B1" s="32">
        <f>SUMIFS(E3:E52,A3:A52,A1)</f>
        <v>4881000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NE</v>
      </c>
      <c r="B1" s="32">
        <f>SUMIFS(C3:C53,A3:A53,A1)</f>
        <v>1753000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NE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Nebraska</v>
      </c>
      <c r="B1" s="32" t="str">
        <f>LOOKUP(A1,M4:N53,N4:N53)</f>
        <v>NE</v>
      </c>
      <c r="C1" s="32">
        <f>SUMIFS(L5:L52,A5:A52,B1)</f>
        <v>465475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NE</v>
      </c>
      <c r="B1" s="32">
        <f>SUMIFS(D4:D53,A4:A53,A1)</f>
        <v>2776.0926288323549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NE</v>
      </c>
      <c r="B1" s="32">
        <f>SUMIFS(C3:C52,A3:A52,A1)</f>
        <v>118000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NE</v>
      </c>
      <c r="B1" s="32">
        <f>SUMIFS(D5:D54,A5:A54,A1)</f>
        <v>717.35159817351598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7" sqref="B17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717.35159817351598</v>
      </c>
    </row>
    <row r="7" spans="1:2" x14ac:dyDescent="0.25">
      <c r="A7" t="s">
        <v>55</v>
      </c>
      <c r="B7">
        <f>'onshore wind'!C1</f>
        <v>465475</v>
      </c>
    </row>
    <row r="8" spans="1:2" x14ac:dyDescent="0.25">
      <c r="A8" t="s">
        <v>33</v>
      </c>
      <c r="B8">
        <f>'solar PV'!B1</f>
        <v>4881000</v>
      </c>
    </row>
    <row r="9" spans="1:2" x14ac:dyDescent="0.25">
      <c r="A9" t="s">
        <v>34</v>
      </c>
      <c r="B9">
        <f>'solar thermal'!B1</f>
        <v>1753000</v>
      </c>
    </row>
    <row r="10" spans="1:2" x14ac:dyDescent="0.25">
      <c r="A10" t="s">
        <v>29</v>
      </c>
      <c r="B10">
        <f>bio!B1</f>
        <v>2776.0926288323549</v>
      </c>
    </row>
    <row r="11" spans="1:2" x14ac:dyDescent="0.25">
      <c r="A11" t="s">
        <v>39</v>
      </c>
      <c r="B11">
        <f>geothermal!B1</f>
        <v>118000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v>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47.261260760266396</v>
      </c>
    </row>
    <row r="19" spans="1:2" x14ac:dyDescent="0.25">
      <c r="A19" t="s">
        <v>92</v>
      </c>
      <c r="B19" s="14">
        <f>B2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2776.0926288323549</v>
      </c>
    </row>
    <row r="22" spans="1:2" x14ac:dyDescent="0.25">
      <c r="A22" t="s">
        <v>95</v>
      </c>
      <c r="B22" s="14">
        <f>B2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2024-02-26T19:10:21Z</dcterms:modified>
</cp:coreProperties>
</file>