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elec\SYTaDC\"/>
    </mc:Choice>
  </mc:AlternateContent>
  <xr:revisionPtr revIDLastSave="0" documentId="8_{2FAFF212-3C73-4D6D-900A-73730BC80FAC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<sst xmlns="http://schemas.openxmlformats.org/spreadsheetml/2006/main" count="264" uniqueCount="144">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</sst>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70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NE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Nebraska</v>
      </c>
    </row>
    <row r="44" spans="1:42" x14ac:dyDescent="0.25">
      <c r="A44" t="s">
        <v>143</v>
      </c>
      <c r="B44" s="15">
        <f>SUMIFS('HIFLD Outputs'!$F$2:$F$49,'HIFLD Outputs'!$B$2:$B$49,'Data National'!$A$43)*B34</f>
        <v>2748932.8948132573</v>
      </c>
      <c r="C44" s="15">
        <f>SUMIFS('HIFLD Outputs'!$F$2:$F$49,'HIFLD Outputs'!$B$2:$B$49,'Data National'!$A$43)*C34</f>
        <v>2751021.7495965501</v>
      </c>
      <c r="D44" s="15">
        <f>SUMIFS('HIFLD Outputs'!$F$2:$F$49,'HIFLD Outputs'!$B$2:$B$49,'Data National'!$A$43)*D34</f>
        <v>2753110.604379843</v>
      </c>
      <c r="E44" s="15">
        <f>SUMIFS('HIFLD Outputs'!$F$2:$F$49,'HIFLD Outputs'!$B$2:$B$49,'Data National'!$A$43)*E34</f>
        <v>2755199.4591631358</v>
      </c>
      <c r="F44" s="15">
        <f>SUMIFS('HIFLD Outputs'!$F$2:$F$49,'HIFLD Outputs'!$B$2:$B$49,'Data National'!$A$43)*F34</f>
        <v>2757288.3139464287</v>
      </c>
      <c r="G44" s="15">
        <f>SUMIFS('HIFLD Outputs'!$F$2:$F$49,'HIFLD Outputs'!$B$2:$B$49,'Data National'!$A$43)*G34</f>
        <v>2759377.1687297211</v>
      </c>
      <c r="H44" s="15">
        <f>SUMIFS('HIFLD Outputs'!$F$2:$F$49,'HIFLD Outputs'!$B$2:$B$49,'Data National'!$A$43)*H34</f>
        <v>2761466.023513014</v>
      </c>
      <c r="I44" s="15">
        <f>SUMIFS('HIFLD Outputs'!$F$2:$F$49,'HIFLD Outputs'!$B$2:$B$49,'Data National'!$A$43)*I34</f>
        <v>2763554.8782963068</v>
      </c>
      <c r="J44" s="15">
        <f>SUMIFS('HIFLD Outputs'!$F$2:$F$49,'HIFLD Outputs'!$B$2:$B$49,'Data National'!$A$43)*J34</f>
        <v>2765643.7330795997</v>
      </c>
      <c r="K44" s="15">
        <f>SUMIFS('HIFLD Outputs'!$F$2:$F$49,'HIFLD Outputs'!$B$2:$B$49,'Data National'!$A$43)*K34</f>
        <v>2767732.5878628925</v>
      </c>
      <c r="L44" s="15">
        <f>SUMIFS('HIFLD Outputs'!$F$2:$F$49,'HIFLD Outputs'!$B$2:$B$49,'Data National'!$A$43)*L34</f>
        <v>2769821.4426461854</v>
      </c>
      <c r="M44" s="15">
        <f>SUMIFS('HIFLD Outputs'!$F$2:$F$49,'HIFLD Outputs'!$B$2:$B$49,'Data National'!$A$43)*M34</f>
        <v>2771910.2974294783</v>
      </c>
      <c r="N44" s="15">
        <f>SUMIFS('HIFLD Outputs'!$F$2:$F$49,'HIFLD Outputs'!$B$2:$B$49,'Data National'!$A$43)*N34</f>
        <v>2773999.1522127707</v>
      </c>
      <c r="O44" s="15">
        <f>SUMIFS('HIFLD Outputs'!$F$2:$F$49,'HIFLD Outputs'!$B$2:$B$49,'Data National'!$A$43)*O34</f>
        <v>2776088.0069960635</v>
      </c>
      <c r="P44" s="15">
        <f>SUMIFS('HIFLD Outputs'!$F$2:$F$49,'HIFLD Outputs'!$B$2:$B$49,'Data National'!$A$43)*P34</f>
        <v>2778176.8617793564</v>
      </c>
      <c r="Q44" s="15">
        <f>SUMIFS('HIFLD Outputs'!$F$2:$F$49,'HIFLD Outputs'!$B$2:$B$49,'Data National'!$A$43)*Q34</f>
        <v>2780265.7165626492</v>
      </c>
      <c r="R44" s="15">
        <f>SUMIFS('HIFLD Outputs'!$F$2:$F$49,'HIFLD Outputs'!$B$2:$B$49,'Data National'!$A$43)*R34</f>
        <v>2782354.5713459421</v>
      </c>
      <c r="S44" s="15">
        <f>SUMIFS('HIFLD Outputs'!$F$2:$F$49,'HIFLD Outputs'!$B$2:$B$49,'Data National'!$A$43)*S34</f>
        <v>2784443.426129235</v>
      </c>
      <c r="T44" s="15">
        <f>SUMIFS('HIFLD Outputs'!$F$2:$F$49,'HIFLD Outputs'!$B$2:$B$49,'Data National'!$A$43)*T34</f>
        <v>2786532.2809125278</v>
      </c>
      <c r="U44" s="15">
        <f>SUMIFS('HIFLD Outputs'!$F$2:$F$49,'HIFLD Outputs'!$B$2:$B$49,'Data National'!$A$43)*U34</f>
        <v>2788621.1356958207</v>
      </c>
      <c r="V44" s="15">
        <f>SUMIFS('HIFLD Outputs'!$F$2:$F$49,'HIFLD Outputs'!$B$2:$B$49,'Data National'!$A$43)*V34</f>
        <v>2790709.9904791131</v>
      </c>
      <c r="W44" s="15">
        <f>SUMIFS('HIFLD Outputs'!$F$2:$F$49,'HIFLD Outputs'!$B$2:$B$49,'Data National'!$A$43)*W34</f>
        <v>2792798.8452624059</v>
      </c>
      <c r="X44" s="15">
        <f>SUMIFS('HIFLD Outputs'!$F$2:$F$49,'HIFLD Outputs'!$B$2:$B$49,'Data National'!$A$43)*X34</f>
        <v>2794887.7000456988</v>
      </c>
      <c r="Y44" s="15">
        <f>SUMIFS('HIFLD Outputs'!$F$2:$F$49,'HIFLD Outputs'!$B$2:$B$49,'Data National'!$A$43)*Y34</f>
        <v>2796976.5548289916</v>
      </c>
      <c r="Z44" s="15">
        <f>SUMIFS('HIFLD Outputs'!$F$2:$F$49,'HIFLD Outputs'!$B$2:$B$49,'Data National'!$A$43)*Z34</f>
        <v>2799065.4096122845</v>
      </c>
      <c r="AA44" s="15">
        <f>SUMIFS('HIFLD Outputs'!$F$2:$F$49,'HIFLD Outputs'!$B$2:$B$49,'Data National'!$A$43)*AA34</f>
        <v>2801154.2643955774</v>
      </c>
      <c r="AB44" s="15">
        <f>SUMIFS('HIFLD Outputs'!$F$2:$F$49,'HIFLD Outputs'!$B$2:$B$49,'Data National'!$A$43)*AB34</f>
        <v>2803243.1191788702</v>
      </c>
      <c r="AC44" s="15">
        <f>SUMIFS('HIFLD Outputs'!$F$2:$F$49,'HIFLD Outputs'!$B$2:$B$49,'Data National'!$A$43)*AC34</f>
        <v>2805331.9739621626</v>
      </c>
      <c r="AD44" s="15">
        <f>SUMIFS('HIFLD Outputs'!$F$2:$F$49,'HIFLD Outputs'!$B$2:$B$49,'Data National'!$A$43)*AD34</f>
        <v>2807420.8287454555</v>
      </c>
      <c r="AE44" s="15">
        <f>SUMIFS('HIFLD Outputs'!$F$2:$F$49,'HIFLD Outputs'!$B$2:$B$49,'Data National'!$A$43)*AE34</f>
        <v>2809509.6835287483</v>
      </c>
      <c r="AF44" s="15">
        <f>SUMIFS('HIFLD Outputs'!$F$2:$F$49,'HIFLD Outputs'!$B$2:$B$49,'Data National'!$A$43)*AF34</f>
        <v>2811598.5383120412</v>
      </c>
      <c r="AG44" s="15">
        <f>SUMIFS('HIFLD Outputs'!$F$2:$F$49,'HIFLD Outputs'!$B$2:$B$49,'Data National'!$A$43)*AG34</f>
        <v>2813687.3930953341</v>
      </c>
      <c r="AH44" s="15">
        <f>SUMIFS('HIFLD Outputs'!$F$2:$F$49,'HIFLD Outputs'!$B$2:$B$49,'Data National'!$A$43)*AH34</f>
        <v>2815776.2478786269</v>
      </c>
      <c r="AI44" s="15">
        <f>SUMIFS('HIFLD Outputs'!$F$2:$F$49,'HIFLD Outputs'!$B$2:$B$49,'Data National'!$A$43)*AI34</f>
        <v>2817865.1026619198</v>
      </c>
      <c r="AJ44" s="15">
        <f>SUMIFS('HIFLD Outputs'!$F$2:$F$49,'HIFLD Outputs'!$B$2:$B$49,'Data National'!$A$43)*AJ34</f>
        <v>2819953.9574452126</v>
      </c>
      <c r="AK44" s="15">
        <f>SUMIFS('HIFLD Outputs'!$F$2:$F$49,'HIFLD Outputs'!$B$2:$B$49,'Data National'!$A$43)*AK34</f>
        <v>2822042.812228505</v>
      </c>
      <c r="AL44" s="15">
        <f>SUMIFS('HIFLD Outputs'!$F$2:$F$49,'HIFLD Outputs'!$B$2:$B$49,'Data National'!$A$43)*AL34</f>
        <v>2824131.6670117979</v>
      </c>
      <c r="AM44" s="15">
        <f>SUMIFS('HIFLD Outputs'!$F$2:$F$49,'HIFLD Outputs'!$B$2:$B$49,'Data National'!$A$43)*AM34</f>
        <v>2826220.5217950908</v>
      </c>
      <c r="AN44" s="15">
        <f>SUMIFS('HIFLD Outputs'!$F$2:$F$49,'HIFLD Outputs'!$B$2:$B$49,'Data National'!$A$43)*AN34</f>
        <v>2828309.3765783836</v>
      </c>
      <c r="AO44" s="15">
        <f>SUMIFS('HIFLD Outputs'!$F$2:$F$49,'HIFLD Outputs'!$B$2:$B$49,'Data National'!$A$43)*AO34</f>
        <v>2830398.2313616765</v>
      </c>
      <c r="AP44" s="15">
        <f>SUMIFS('HIFLD Outputs'!$F$2:$F$49,'HIFLD Outputs'!$B$2:$B$49,'Data National'!$A$43)*AP34</f>
        <v>2832487.0861449693</v>
      </c>
    </row>
    <row r="45" spans="1:42" x14ac:dyDescent="0.25">
      <c r="A45" s="16" t="s">
        <v>15</v>
      </c>
      <c r="B45" s="17">
        <f>B37*SUMIFS('HIFLD Outputs'!$F$2:$F$49,'HIFLD Outputs'!$B$2:$B$49,$A$43)</f>
        <v>220939568.09681898</v>
      </c>
    </row>
    <row r="46" spans="1:42" x14ac:dyDescent="0.25">
      <c r="A46" s="16" t="s">
        <v>14</v>
      </c>
      <c r="B46" s="17">
        <f>B38*SUMIFS('HIFLD Outputs'!$F$2:$F$49,'HIFLD Outputs'!$B$2:$B$49,$A$43)</f>
        <v>347380887.18837196</v>
      </c>
    </row>
    <row r="47" spans="1:42" x14ac:dyDescent="0.25">
      <c r="A47" s="16" t="s">
        <v>16</v>
      </c>
      <c r="B47" s="17">
        <f>B39*SUMIFS('HIFLD Outputs'!$F$2:$F$49,'HIFLD Outputs'!$B$2:$B$49,$A$43)</f>
        <v>312775894.59489429</v>
      </c>
    </row>
    <row r="48" spans="1:42" x14ac:dyDescent="0.25">
      <c r="A48" s="16" t="s">
        <v>17</v>
      </c>
      <c r="B48" s="17">
        <f>B40*SUMIFS('HIFLD Outputs'!$F$2:$F$49,'HIFLD Outputs'!$B$2:$B$49,$A$43)</f>
        <v>417921833.62892258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220939568.09681898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347380887.18837196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312775894.59489429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417921833.62892258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2026-06-12T20:49:43Z</dcterms:modified>
</cp:coreProperties>
</file>