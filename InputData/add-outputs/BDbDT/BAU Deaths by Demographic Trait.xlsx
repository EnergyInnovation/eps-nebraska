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9580BFB7-ABAC-4810-9C7B-78F6A021AED2}"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<sst xmlns="http://schemas.openxmlformats.org/spreadsheetml/2006/main" count="5677" uniqueCount="335">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</sst>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119</v>
      </c>
    </row>
    <row r="2" spans="1:2" x14ac:dyDescent="0.25">
      <c r="A2" s="3" t="s">
        <v>2</v>
      </c>
      <c r="B2" s="4" t="str">
        <f>IFERROR(INDEX(Geography!B:B, MATCH($B$1, Geography!C:C, 0)), "")</f>
        <v>NE</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1008640</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2005465</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1.0144984405438284</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996825</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2005465</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0.98574550036511321</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1735119</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2005465</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1.151333863711534</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114430</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2005465</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0.41767420254861209</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62273</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2005465</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0.48089429965170999</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93643</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2005465</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0.98623279145435983</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272255</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2005465</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0.69568907969328275</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1733210</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2005465</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1.0737806729877406</v>
      </c>
    </row>
    <row r="12" spans="1:28" x14ac:dyDescent="0.25">
      <c r="A12" s="4" t="s">
        <v>319</v>
      </c>
    </row>
    <row r="13" spans="1:28" x14ac:dyDescent="0.25">
      <c r="A13" s="4" t="s">
        <v>320</v>
      </c>
      <c r="B13" s="37">
        <f>INDEX(Census_pop_2020_2025!G:G, MATCH("."&amp;About!$B$1, Census_pop_2020_2025!A:A, 0))</f>
        <v>2005591</v>
      </c>
      <c r="C13" s="37">
        <f>INDEX(Census_pop_2020_2025!H:H, MATCH("."&amp;About!$B$1, Census_pop_2020_2025!A:A, 0))</f>
        <v>2018006</v>
      </c>
      <c r="D13" s="37">
        <f>INDEX(Census_pop_2020_2025!H:H, MATCH("."&amp;About!$B$1, Census_pop_2020_2025!A:A, 0))+0.2*(INDEX(Cooper_pop_2030_2050!D:D, MATCH(About!$B$1, Cooper_pop_2030_2050!B:B, 0))-INDEX(Census_pop_2020_2025!H:H, MATCH("."&amp;About!$B$1, Census_pop_2020_2025!A:A, 0)))</f>
        <v>2027980.3580787762</v>
      </c>
      <c r="E13" s="37">
        <f>INDEX(Census_pop_2020_2025!H:H, MATCH("."&amp;About!$B$1, Census_pop_2020_2025!A:A, 0))+0.4*(INDEX(Cooper_pop_2030_2050!D:D, MATCH(About!$B$1, Cooper_pop_2030_2050!B:B, 0))-INDEX(Census_pop_2020_2025!H:H, MATCH("."&amp;About!$B$1, Census_pop_2020_2025!A:A, 0)))</f>
        <v>2037954.7161575523</v>
      </c>
      <c r="F13" s="37">
        <f>INDEX(Census_pop_2020_2025!H:H, MATCH("."&amp;About!$B$1, Census_pop_2020_2025!A:A, 0))+0.6*(INDEX(Cooper_pop_2030_2050!D:D, MATCH(About!$B$1, Cooper_pop_2030_2050!B:B, 0))-INDEX(Census_pop_2020_2025!H:H, MATCH("."&amp;About!$B$1, Census_pop_2020_2025!A:A, 0)))</f>
        <v>2047929.0742363287</v>
      </c>
      <c r="G13" s="37">
        <f>INDEX(Census_pop_2020_2025!H:H, MATCH("."&amp;About!$B$1, Census_pop_2020_2025!A:A, 0))+0.8*(INDEX(Cooper_pop_2030_2050!D:D, MATCH(About!$B$1, Cooper_pop_2030_2050!B:B, 0))-INDEX(Census_pop_2020_2025!H:H, MATCH("."&amp;About!$B$1, Census_pop_2020_2025!A:A, 0)))</f>
        <v>2057903.4323151049</v>
      </c>
      <c r="H13" s="37">
        <f>INDEX(Cooper_pop_2030_2050!D:D, MATCH(About!$B$1, Cooper_pop_2030_2050!B:B, 0))</f>
        <v>2067877.790393881</v>
      </c>
      <c r="I13" s="37">
        <f>INDEX(Cooper_pop_2030_2050!D:D, MATCH(About!$B$1, Cooper_pop_2030_2050!B:B, 0))+0.1*(INDEX(Cooper_pop_2030_2050!E:E, MATCH(About!$B$1, Cooper_pop_2030_2050!B:B, 0))-INDEX(Cooper_pop_2030_2050!D:D, MATCH(About!$B$1, Cooper_pop_2030_2050!B:B, 0)))</f>
        <v>2074619.7277397369</v>
      </c>
      <c r="J13" s="37">
        <f>INDEX(Cooper_pop_2030_2050!D:D, MATCH(About!$B$1, Cooper_pop_2030_2050!B:B, 0))+0.2*(INDEX(Cooper_pop_2030_2050!E:E, MATCH(About!$B$1, Cooper_pop_2030_2050!B:B, 0))-INDEX(Cooper_pop_2030_2050!D:D, MATCH(About!$B$1, Cooper_pop_2030_2050!B:B, 0)))</f>
        <v>2081361.6650855925</v>
      </c>
      <c r="K13" s="37">
        <f>INDEX(Cooper_pop_2030_2050!D:D, MATCH(About!$B$1, Cooper_pop_2030_2050!B:B, 0))+0.3*(INDEX(Cooper_pop_2030_2050!E:E, MATCH(About!$B$1, Cooper_pop_2030_2050!B:B, 0))-INDEX(Cooper_pop_2030_2050!D:D, MATCH(About!$B$1, Cooper_pop_2030_2050!B:B, 0)))</f>
        <v>2088103.6024314484</v>
      </c>
      <c r="L13" s="37">
        <f>INDEX(Cooper_pop_2030_2050!D:D, MATCH(About!$B$1, Cooper_pop_2030_2050!B:B, 0))+0.4*(INDEX(Cooper_pop_2030_2050!E:E, MATCH(About!$B$1, Cooper_pop_2030_2050!B:B, 0))-INDEX(Cooper_pop_2030_2050!D:D, MATCH(About!$B$1, Cooper_pop_2030_2050!B:B, 0)))</f>
        <v>2094845.539777304</v>
      </c>
      <c r="M13" s="37">
        <f>INDEX(Cooper_pop_2030_2050!D:D, MATCH(About!$B$1, Cooper_pop_2030_2050!B:B, 0))+0.5*(INDEX(Cooper_pop_2030_2050!E:E, MATCH(About!$B$1, Cooper_pop_2030_2050!B:B, 0))-INDEX(Cooper_pop_2030_2050!D:D, MATCH(About!$B$1, Cooper_pop_2030_2050!B:B, 0)))</f>
        <v>2101587.4771231599</v>
      </c>
      <c r="N13" s="37">
        <f>INDEX(Cooper_pop_2030_2050!D:D, MATCH(About!$B$1, Cooper_pop_2030_2050!B:B, 0))+0.6*(INDEX(Cooper_pop_2030_2050!E:E, MATCH(About!$B$1, Cooper_pop_2030_2050!B:B, 0))-INDEX(Cooper_pop_2030_2050!D:D, MATCH(About!$B$1, Cooper_pop_2030_2050!B:B, 0)))</f>
        <v>2108329.4144690158</v>
      </c>
      <c r="O13" s="37">
        <f>INDEX(Cooper_pop_2030_2050!D:D, MATCH(About!$B$1, Cooper_pop_2030_2050!B:B, 0))+0.7*(INDEX(Cooper_pop_2030_2050!E:E, MATCH(About!$B$1, Cooper_pop_2030_2050!B:B, 0))-INDEX(Cooper_pop_2030_2050!D:D, MATCH(About!$B$1, Cooper_pop_2030_2050!B:B, 0)))</f>
        <v>2115071.3518148717</v>
      </c>
      <c r="P13" s="37">
        <f>INDEX(Cooper_pop_2030_2050!D:D, MATCH(About!$B$1, Cooper_pop_2030_2050!B:B, 0))+0.8*(INDEX(Cooper_pop_2030_2050!E:E, MATCH(About!$B$1, Cooper_pop_2030_2050!B:B, 0))-INDEX(Cooper_pop_2030_2050!D:D, MATCH(About!$B$1, Cooper_pop_2030_2050!B:B, 0)))</f>
        <v>2121813.2891607271</v>
      </c>
      <c r="Q13" s="37">
        <f>INDEX(Cooper_pop_2030_2050!D:D, MATCH(About!$B$1, Cooper_pop_2030_2050!B:B, 0))+0.9*(INDEX(Cooper_pop_2030_2050!E:E, MATCH(About!$B$1, Cooper_pop_2030_2050!B:B, 0))-INDEX(Cooper_pop_2030_2050!D:D, MATCH(About!$B$1, Cooper_pop_2030_2050!B:B, 0)))</f>
        <v>2128555.2265065829</v>
      </c>
      <c r="R13" s="37">
        <f>INDEX(Cooper_pop_2030_2050!E:E, MATCH(About!$B$1, Cooper_pop_2030_2050!B:B, 0))</f>
        <v>2135297.1638524388</v>
      </c>
      <c r="S13" s="37">
        <f>INDEX(Cooper_pop_2030_2050!E:E, MATCH(About!$B$1, Cooper_pop_2030_2050!B:B, 0))+0.1*(INDEX(Cooper_pop_2030_2050!F:F, MATCH(About!$B$1, Cooper_pop_2030_2050!B:B, 0))-INDEX(Cooper_pop_2030_2050!E:E, MATCH(About!$B$1, Cooper_pop_2030_2050!B:B, 0)))</f>
        <v>2139675.2134563085</v>
      </c>
      <c r="T13" s="37">
        <f>INDEX(Cooper_pop_2030_2050!E:E, MATCH(About!$B$1, Cooper_pop_2030_2050!B:B, 0))+0.2*(INDEX(Cooper_pop_2030_2050!F:F, MATCH(About!$B$1, Cooper_pop_2030_2050!B:B, 0))-INDEX(Cooper_pop_2030_2050!E:E, MATCH(About!$B$1, Cooper_pop_2030_2050!B:B, 0)))</f>
        <v>2144053.2630601786</v>
      </c>
      <c r="U13" s="37">
        <f>INDEX(Cooper_pop_2030_2050!E:E, MATCH(About!$B$1, Cooper_pop_2030_2050!B:B, 0))+0.3*(INDEX(Cooper_pop_2030_2050!F:F, MATCH(About!$B$1, Cooper_pop_2030_2050!B:B, 0))-INDEX(Cooper_pop_2030_2050!E:E, MATCH(About!$B$1, Cooper_pop_2030_2050!B:B, 0)))</f>
        <v>2148431.3126640483</v>
      </c>
      <c r="V13" s="37">
        <f>INDEX(Cooper_pop_2030_2050!E:E, MATCH(About!$B$1, Cooper_pop_2030_2050!B:B, 0))+0.4*(INDEX(Cooper_pop_2030_2050!F:F, MATCH(About!$B$1, Cooper_pop_2030_2050!B:B, 0))-INDEX(Cooper_pop_2030_2050!E:E, MATCH(About!$B$1, Cooper_pop_2030_2050!B:B, 0)))</f>
        <v>2152809.362267918</v>
      </c>
      <c r="W13" s="37">
        <f>INDEX(Cooper_pop_2030_2050!E:E, MATCH(About!$B$1, Cooper_pop_2030_2050!B:B, 0))+0.5*(INDEX(Cooper_pop_2030_2050!F:F, MATCH(About!$B$1, Cooper_pop_2030_2050!B:B, 0))-INDEX(Cooper_pop_2030_2050!E:E, MATCH(About!$B$1, Cooper_pop_2030_2050!B:B, 0)))</f>
        <v>2157187.4118717881</v>
      </c>
      <c r="X13" s="37">
        <f>INDEX(Cooper_pop_2030_2050!E:E, MATCH(About!$B$1, Cooper_pop_2030_2050!B:B, 0))+0.6*(INDEX(Cooper_pop_2030_2050!F:F, MATCH(About!$B$1, Cooper_pop_2030_2050!B:B, 0))-INDEX(Cooper_pop_2030_2050!E:E, MATCH(About!$B$1, Cooper_pop_2030_2050!B:B, 0)))</f>
        <v>2161565.4614756578</v>
      </c>
      <c r="Y13" s="37">
        <f>INDEX(Cooper_pop_2030_2050!E:E, MATCH(About!$B$1, Cooper_pop_2030_2050!B:B, 0))+0.7*(INDEX(Cooper_pop_2030_2050!F:F, MATCH(About!$B$1, Cooper_pop_2030_2050!B:B, 0))-INDEX(Cooper_pop_2030_2050!E:E, MATCH(About!$B$1, Cooper_pop_2030_2050!B:B, 0)))</f>
        <v>2165943.5110795274</v>
      </c>
      <c r="Z13" s="37">
        <f>INDEX(Cooper_pop_2030_2050!E:E, MATCH(About!$B$1, Cooper_pop_2030_2050!B:B, 0))+0.8*(INDEX(Cooper_pop_2030_2050!F:F, MATCH(About!$B$1, Cooper_pop_2030_2050!B:B, 0))-INDEX(Cooper_pop_2030_2050!E:E, MATCH(About!$B$1, Cooper_pop_2030_2050!B:B, 0)))</f>
        <v>2170321.5606833971</v>
      </c>
      <c r="AA13" s="37">
        <f>INDEX(Cooper_pop_2030_2050!E:E, MATCH(About!$B$1, Cooper_pop_2030_2050!B:B, 0))+0.9*(INDEX(Cooper_pop_2030_2050!F:F, MATCH(About!$B$1, Cooper_pop_2030_2050!B:B, 0))-INDEX(Cooper_pop_2030_2050!E:E, MATCH(About!$B$1, Cooper_pop_2030_2050!B:B, 0)))</f>
        <v>2174699.6102872672</v>
      </c>
      <c r="AB13" s="37">
        <f>INDEX(Cooper_pop_2030_2050!F:F, MATCH(About!$B$1, Cooper_pop_2030_2050!B:B, 0))</f>
        <v>2179077.6598911369</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5.9604674206687825E-3</v>
      </c>
      <c r="C15" s="39">
        <f t="shared" si="1"/>
        <v>5.970144767503625E-3</v>
      </c>
      <c r="D15" s="39">
        <f t="shared" si="1"/>
        <v>5.9732030563914747E-3</v>
      </c>
      <c r="E15" s="39">
        <f t="shared" si="1"/>
        <v>5.9769239276278975E-3</v>
      </c>
      <c r="F15" s="39">
        <f t="shared" si="1"/>
        <v>5.9813671979824286E-3</v>
      </c>
      <c r="G15" s="39">
        <f t="shared" si="1"/>
        <v>5.9865621447505865E-3</v>
      </c>
      <c r="H15" s="39">
        <f t="shared" si="1"/>
        <v>5.9925708606333875E-3</v>
      </c>
      <c r="I15" s="39">
        <f t="shared" si="1"/>
        <v>5.9901372537990291E-3</v>
      </c>
      <c r="J15" s="39">
        <f t="shared" si="1"/>
        <v>5.9887527606146598E-3</v>
      </c>
      <c r="K15" s="39">
        <f t="shared" si="1"/>
        <v>5.9882212554474724E-3</v>
      </c>
      <c r="L15" s="39">
        <f t="shared" si="1"/>
        <v>5.9885641658865849E-3</v>
      </c>
      <c r="M15" s="39">
        <f t="shared" si="1"/>
        <v>5.9897993050809818E-3</v>
      </c>
      <c r="N15" s="39">
        <f t="shared" si="1"/>
        <v>5.9919392885759322E-3</v>
      </c>
      <c r="O15" s="39">
        <f t="shared" si="1"/>
        <v>5.9949974491646726E-3</v>
      </c>
      <c r="P15" s="39">
        <f t="shared" si="1"/>
        <v>5.9989800416974486E-3</v>
      </c>
      <c r="Q15" s="39">
        <f t="shared" si="1"/>
        <v>6.0038815024882628E-3</v>
      </c>
      <c r="R15" s="39">
        <f t="shared" si="1"/>
        <v>6.0096895695062203E-3</v>
      </c>
      <c r="S15" s="39">
        <f t="shared" si="1"/>
        <v>6.0097573824843481E-3</v>
      </c>
      <c r="T15" s="39">
        <f t="shared" si="1"/>
        <v>6.0107109471437652E-3</v>
      </c>
      <c r="U15" s="39">
        <f t="shared" si="1"/>
        <v>6.0125007445595872E-3</v>
      </c>
      <c r="V15" s="39">
        <f t="shared" si="1"/>
        <v>6.0150571309416472E-3</v>
      </c>
      <c r="W15" s="39">
        <f t="shared" si="1"/>
        <v>6.0183004434962257E-3</v>
      </c>
      <c r="X15" s="39">
        <f t="shared" si="1"/>
        <v>6.0221483352153439E-3</v>
      </c>
      <c r="Y15" s="39">
        <f t="shared" si="1"/>
        <v>6.0265485599645119E-3</v>
      </c>
      <c r="Z15" s="39">
        <f t="shared" si="1"/>
        <v>6.0314226206676326E-3</v>
      </c>
      <c r="AA15" s="39">
        <f t="shared" si="1"/>
        <v>6.0366904439472036E-3</v>
      </c>
      <c r="AB15" s="39">
        <f t="shared" si="1"/>
        <v>6.0422729298155115E-3</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56.907233823834275</v>
      </c>
      <c r="C48" s="37">
        <f t="shared" si="10"/>
        <v>56.569601877274053</v>
      </c>
      <c r="D48" s="37">
        <f t="shared" si="10"/>
        <v>56.162274461630922</v>
      </c>
      <c r="E48" s="37">
        <f t="shared" si="10"/>
        <v>55.760681715198572</v>
      </c>
      <c r="F48" s="37">
        <f t="shared" si="10"/>
        <v>55.353095950808765</v>
      </c>
      <c r="G48" s="37">
        <f t="shared" si="10"/>
        <v>54.939596106776818</v>
      </c>
      <c r="H48" s="37">
        <f t="shared" si="10"/>
        <v>54.520541615273885</v>
      </c>
      <c r="I48" s="37">
        <f t="shared" si="10"/>
        <v>54.042626739022829</v>
      </c>
      <c r="J48" s="37">
        <f t="shared" si="10"/>
        <v>53.531938344426756</v>
      </c>
      <c r="K48" s="37">
        <f t="shared" si="10"/>
        <v>53.035109023719428</v>
      </c>
      <c r="L48" s="37">
        <f t="shared" si="10"/>
        <v>52.509587190859612</v>
      </c>
      <c r="M48" s="37">
        <f t="shared" si="10"/>
        <v>51.997826057576873</v>
      </c>
      <c r="N48" s="37">
        <f t="shared" si="10"/>
        <v>51.505783092064902</v>
      </c>
      <c r="O48" s="37">
        <f t="shared" si="10"/>
        <v>50.948206673276474</v>
      </c>
      <c r="P48" s="37">
        <f t="shared" si="10"/>
        <v>50.416058652037094</v>
      </c>
      <c r="Q48" s="37">
        <f t="shared" si="10"/>
        <v>49.854249129848839</v>
      </c>
      <c r="R48" s="37">
        <f t="shared" si="10"/>
        <v>49.292795330527987</v>
      </c>
      <c r="S48" s="37">
        <f t="shared" si="10"/>
        <v>48.665371929750663</v>
      </c>
      <c r="T48" s="37">
        <f t="shared" si="10"/>
        <v>48.045014376721653</v>
      </c>
      <c r="U48" s="37">
        <f t="shared" si="10"/>
        <v>47.431054364070626</v>
      </c>
      <c r="V48" s="37">
        <f t="shared" si="10"/>
        <v>46.822687625105686</v>
      </c>
      <c r="W48" s="37">
        <f t="shared" si="10"/>
        <v>46.225167615323869</v>
      </c>
      <c r="X48" s="37">
        <f t="shared" si="10"/>
        <v>45.680433128816446</v>
      </c>
      <c r="Y48" s="37">
        <f t="shared" si="10"/>
        <v>45.139101748026746</v>
      </c>
      <c r="Z48" s="37">
        <f t="shared" si="10"/>
        <v>44.631029340317447</v>
      </c>
      <c r="AA48" s="37">
        <f t="shared" si="10"/>
        <v>44.131079176546521</v>
      </c>
      <c r="AB48" s="37">
        <f t="shared" si="10"/>
        <v>43.632460675293473</v>
      </c>
    </row>
    <row r="49" spans="1:28" x14ac:dyDescent="0.25">
      <c r="A49" s="4" t="s">
        <v>216</v>
      </c>
      <c r="B49" s="37">
        <f t="shared" ref="B49:AB49" si="11">B29*B15*$F$5</f>
        <v>44.089781565738278</v>
      </c>
      <c r="C49" s="37">
        <f t="shared" si="11"/>
        <v>43.920078454592165</v>
      </c>
      <c r="D49" s="37">
        <f t="shared" si="11"/>
        <v>43.701166740260589</v>
      </c>
      <c r="E49" s="37">
        <f t="shared" si="11"/>
        <v>43.48093690350629</v>
      </c>
      <c r="F49" s="37">
        <f t="shared" si="11"/>
        <v>43.253832159383386</v>
      </c>
      <c r="G49" s="37">
        <f t="shared" si="11"/>
        <v>43.031745073386539</v>
      </c>
      <c r="H49" s="37">
        <f t="shared" si="11"/>
        <v>42.80911432150684</v>
      </c>
      <c r="I49" s="37">
        <f t="shared" si="11"/>
        <v>42.496491827879659</v>
      </c>
      <c r="J49" s="37">
        <f t="shared" si="11"/>
        <v>42.209210519011613</v>
      </c>
      <c r="K49" s="37">
        <f t="shared" si="11"/>
        <v>41.892612733538087</v>
      </c>
      <c r="L49" s="37">
        <f t="shared" si="11"/>
        <v>41.593948469481049</v>
      </c>
      <c r="M49" s="37">
        <f t="shared" si="11"/>
        <v>41.265975396671813</v>
      </c>
      <c r="N49" s="37">
        <f t="shared" si="11"/>
        <v>40.914513860193892</v>
      </c>
      <c r="O49" s="37">
        <f t="shared" si="11"/>
        <v>40.59855189267298</v>
      </c>
      <c r="P49" s="37">
        <f t="shared" si="11"/>
        <v>40.229319966355625</v>
      </c>
      <c r="Q49" s="37">
        <f t="shared" si="11"/>
        <v>39.877499846561555</v>
      </c>
      <c r="R49" s="37">
        <f t="shared" si="11"/>
        <v>39.501395044148381</v>
      </c>
      <c r="S49" s="37">
        <f t="shared" si="11"/>
        <v>39.087154384665645</v>
      </c>
      <c r="T49" s="37">
        <f t="shared" si="11"/>
        <v>38.666754068948613</v>
      </c>
      <c r="U49" s="37">
        <f t="shared" si="11"/>
        <v>38.251538511269786</v>
      </c>
      <c r="V49" s="37">
        <f t="shared" si="11"/>
        <v>37.852750160074585</v>
      </c>
      <c r="W49" s="37">
        <f t="shared" si="11"/>
        <v>37.463816955467472</v>
      </c>
      <c r="X49" s="37">
        <f t="shared" si="11"/>
        <v>37.072228621691295</v>
      </c>
      <c r="Y49" s="37">
        <f t="shared" si="11"/>
        <v>36.70723387380454</v>
      </c>
      <c r="Z49" s="37">
        <f t="shared" si="11"/>
        <v>36.338576398162701</v>
      </c>
      <c r="AA49" s="37">
        <f t="shared" si="11"/>
        <v>35.98947339453467</v>
      </c>
      <c r="AB49" s="37">
        <f t="shared" si="11"/>
        <v>35.677298681735984</v>
      </c>
    </row>
    <row r="50" spans="1:28" x14ac:dyDescent="0.25">
      <c r="A50" s="4" t="s">
        <v>217</v>
      </c>
      <c r="B50" s="37">
        <f t="shared" ref="B50:AB50" si="12">B30*B15*$F$6</f>
        <v>67.650406555788038</v>
      </c>
      <c r="C50" s="37">
        <f t="shared" si="12"/>
        <v>67.313457043559424</v>
      </c>
      <c r="D50" s="37">
        <f t="shared" si="12"/>
        <v>66.907801628048603</v>
      </c>
      <c r="E50" s="37">
        <f t="shared" si="12"/>
        <v>66.495305619453617</v>
      </c>
      <c r="F50" s="37">
        <f t="shared" si="12"/>
        <v>66.083339618347878</v>
      </c>
      <c r="G50" s="37">
        <f t="shared" si="12"/>
        <v>65.678934802426028</v>
      </c>
      <c r="H50" s="37">
        <f t="shared" si="12"/>
        <v>65.254995854086204</v>
      </c>
      <c r="I50" s="37">
        <f t="shared" si="12"/>
        <v>64.745730190218097</v>
      </c>
      <c r="J50" s="37">
        <f t="shared" si="12"/>
        <v>64.213636548742798</v>
      </c>
      <c r="K50" s="37">
        <f t="shared" si="12"/>
        <v>63.663276641206608</v>
      </c>
      <c r="L50" s="37">
        <f t="shared" si="12"/>
        <v>63.087755980630973</v>
      </c>
      <c r="M50" s="37">
        <f t="shared" si="12"/>
        <v>62.487000776363246</v>
      </c>
      <c r="N50" s="37">
        <f t="shared" si="12"/>
        <v>61.860845663965655</v>
      </c>
      <c r="O50" s="37">
        <f t="shared" si="12"/>
        <v>61.188389302016162</v>
      </c>
      <c r="P50" s="37">
        <f t="shared" si="12"/>
        <v>60.496914070016771</v>
      </c>
      <c r="Q50" s="37">
        <f t="shared" si="12"/>
        <v>59.779058612925034</v>
      </c>
      <c r="R50" s="37">
        <f t="shared" si="12"/>
        <v>59.034265541591793</v>
      </c>
      <c r="S50" s="37">
        <f t="shared" si="12"/>
        <v>58.211542455447685</v>
      </c>
      <c r="T50" s="37">
        <f t="shared" si="12"/>
        <v>57.397258974603872</v>
      </c>
      <c r="U50" s="37">
        <f t="shared" si="12"/>
        <v>56.590584952158508</v>
      </c>
      <c r="V50" s="37">
        <f t="shared" si="12"/>
        <v>55.797456057221012</v>
      </c>
      <c r="W50" s="37">
        <f t="shared" si="12"/>
        <v>55.030698580748719</v>
      </c>
      <c r="X50" s="37">
        <f t="shared" si="12"/>
        <v>54.296264425523674</v>
      </c>
      <c r="Y50" s="37">
        <f t="shared" si="12"/>
        <v>53.57963320324081</v>
      </c>
      <c r="Z50" s="37">
        <f t="shared" si="12"/>
        <v>52.886883330183615</v>
      </c>
      <c r="AA50" s="37">
        <f t="shared" si="12"/>
        <v>52.231099688444623</v>
      </c>
      <c r="AB50" s="37">
        <f t="shared" si="12"/>
        <v>51.597646888786393</v>
      </c>
    </row>
    <row r="51" spans="1:28" x14ac:dyDescent="0.25">
      <c r="A51" s="4" t="s">
        <v>218</v>
      </c>
      <c r="B51" s="37">
        <f t="shared" ref="B51:AB51" si="13">B31*B15*$F$7</f>
        <v>11.646037604212252</v>
      </c>
      <c r="C51" s="37">
        <f t="shared" si="13"/>
        <v>11.507850724210494</v>
      </c>
      <c r="D51" s="37">
        <f t="shared" si="13"/>
        <v>11.359064904208267</v>
      </c>
      <c r="E51" s="37">
        <f t="shared" si="13"/>
        <v>11.206370731958829</v>
      </c>
      <c r="F51" s="37">
        <f t="shared" si="13"/>
        <v>11.049816251913102</v>
      </c>
      <c r="G51" s="37">
        <f t="shared" si="13"/>
        <v>10.894384706690099</v>
      </c>
      <c r="H51" s="37">
        <f t="shared" si="13"/>
        <v>10.732616391288557</v>
      </c>
      <c r="I51" s="37">
        <f t="shared" si="13"/>
        <v>10.558126878689166</v>
      </c>
      <c r="J51" s="37">
        <f t="shared" si="13"/>
        <v>10.385594959301789</v>
      </c>
      <c r="K51" s="37">
        <f t="shared" si="13"/>
        <v>10.214596695369195</v>
      </c>
      <c r="L51" s="37">
        <f t="shared" si="13"/>
        <v>10.050097887314656</v>
      </c>
      <c r="M51" s="37">
        <f t="shared" si="13"/>
        <v>9.8945582835358028</v>
      </c>
      <c r="N51" s="37">
        <f t="shared" si="13"/>
        <v>9.7404245821824329</v>
      </c>
      <c r="O51" s="37">
        <f t="shared" si="13"/>
        <v>9.5951585445946552</v>
      </c>
      <c r="P51" s="37">
        <f t="shared" si="13"/>
        <v>9.451195641339293</v>
      </c>
      <c r="Q51" s="37">
        <f t="shared" si="13"/>
        <v>9.3134730792306222</v>
      </c>
      <c r="R51" s="37">
        <f t="shared" si="13"/>
        <v>9.1794075356445699</v>
      </c>
      <c r="S51" s="37">
        <f t="shared" si="13"/>
        <v>9.0364342400632243</v>
      </c>
      <c r="T51" s="37">
        <f t="shared" si="13"/>
        <v>8.8972789872650306</v>
      </c>
      <c r="U51" s="37">
        <f t="shared" si="13"/>
        <v>8.7592973908783343</v>
      </c>
      <c r="V51" s="37">
        <f t="shared" si="13"/>
        <v>8.6273556100066564</v>
      </c>
      <c r="W51" s="37">
        <f t="shared" si="13"/>
        <v>8.4937545850726917</v>
      </c>
      <c r="X51" s="37">
        <f t="shared" si="13"/>
        <v>8.3658745077757715</v>
      </c>
      <c r="Y51" s="37">
        <f t="shared" si="13"/>
        <v>8.2461305381484031</v>
      </c>
      <c r="Z51" s="37">
        <f t="shared" si="13"/>
        <v>8.1268412370935899</v>
      </c>
      <c r="AA51" s="37">
        <f t="shared" si="13"/>
        <v>8.0129134379885336</v>
      </c>
      <c r="AB51" s="37">
        <f t="shared" si="13"/>
        <v>7.8991857812057082</v>
      </c>
    </row>
    <row r="52" spans="1:28" x14ac:dyDescent="0.25">
      <c r="A52" s="4" t="s">
        <v>219</v>
      </c>
      <c r="B52" s="37">
        <f t="shared" ref="B52:AB52" si="14">B32*B15*$F$8</f>
        <v>2.4679314878448988</v>
      </c>
      <c r="C52" s="37">
        <f t="shared" si="14"/>
        <v>2.4805514189848119</v>
      </c>
      <c r="D52" s="37">
        <f t="shared" si="14"/>
        <v>2.4904395535168815</v>
      </c>
      <c r="E52" s="37">
        <f t="shared" si="14"/>
        <v>2.5034879908821521</v>
      </c>
      <c r="F52" s="37">
        <f t="shared" si="14"/>
        <v>2.5168547159292869</v>
      </c>
      <c r="G52" s="37">
        <f t="shared" si="14"/>
        <v>2.5305562731207982</v>
      </c>
      <c r="H52" s="37">
        <f t="shared" si="14"/>
        <v>2.5446233665824458</v>
      </c>
      <c r="I52" s="37">
        <f t="shared" si="14"/>
        <v>2.5551124763616881</v>
      </c>
      <c r="J52" s="37">
        <f t="shared" si="14"/>
        <v>2.5660417445613009</v>
      </c>
      <c r="K52" s="37">
        <f t="shared" si="14"/>
        <v>2.5830922157177123</v>
      </c>
      <c r="L52" s="37">
        <f t="shared" si="14"/>
        <v>2.5947595997964941</v>
      </c>
      <c r="M52" s="37">
        <f t="shared" si="14"/>
        <v>2.6068166093934524</v>
      </c>
      <c r="N52" s="37">
        <f t="shared" si="14"/>
        <v>2.6192739079913769</v>
      </c>
      <c r="O52" s="37">
        <f t="shared" si="14"/>
        <v>2.6321425710533379</v>
      </c>
      <c r="P52" s="37">
        <f t="shared" si="14"/>
        <v>2.6425457800914396</v>
      </c>
      <c r="Q52" s="37">
        <f t="shared" si="14"/>
        <v>2.6562537991044732</v>
      </c>
      <c r="R52" s="37">
        <f t="shared" si="14"/>
        <v>2.6646034710330335</v>
      </c>
      <c r="S52" s="37">
        <f t="shared" si="14"/>
        <v>2.6733037124620167</v>
      </c>
      <c r="T52" s="37">
        <f t="shared" si="14"/>
        <v>2.6852899505107422</v>
      </c>
      <c r="U52" s="37">
        <f t="shared" si="14"/>
        <v>2.691872298615352</v>
      </c>
      <c r="V52" s="37">
        <f t="shared" si="14"/>
        <v>2.7016946450501598</v>
      </c>
      <c r="W52" s="37">
        <f t="shared" si="14"/>
        <v>2.7118338951259653</v>
      </c>
      <c r="X52" s="37">
        <f t="shared" si="14"/>
        <v>2.7193597808923062</v>
      </c>
      <c r="Y52" s="37">
        <f t="shared" si="14"/>
        <v>2.7329392766646694</v>
      </c>
      <c r="Z52" s="37">
        <f t="shared" si="14"/>
        <v>2.7409505354306232</v>
      </c>
      <c r="AA52" s="37">
        <f t="shared" si="14"/>
        <v>2.7491504920235843</v>
      </c>
      <c r="AB52" s="37">
        <f t="shared" si="14"/>
        <v>2.7575041838348224</v>
      </c>
    </row>
    <row r="53" spans="1:28" x14ac:dyDescent="0.25">
      <c r="A53" s="4" t="s">
        <v>220</v>
      </c>
      <c r="B53" s="37">
        <f t="shared" ref="B53:AB53" si="15">B33*B15*$F$9</f>
        <v>8.9234239855962727</v>
      </c>
      <c r="C53" s="37">
        <f t="shared" si="15"/>
        <v>9.0144553378853036</v>
      </c>
      <c r="D53" s="37">
        <f t="shared" si="15"/>
        <v>9.0779828040363917</v>
      </c>
      <c r="E53" s="37">
        <f t="shared" si="15"/>
        <v>9.1543733877633304</v>
      </c>
      <c r="F53" s="37">
        <f t="shared" si="15"/>
        <v>9.2260680125459338</v>
      </c>
      <c r="G53" s="37">
        <f t="shared" si="15"/>
        <v>9.2872183472005183</v>
      </c>
      <c r="H53" s="37">
        <f t="shared" si="15"/>
        <v>9.3733708421626467</v>
      </c>
      <c r="I53" s="37">
        <f t="shared" si="15"/>
        <v>9.4227333070893078</v>
      </c>
      <c r="J53" s="37">
        <f t="shared" si="15"/>
        <v>9.4796184856517538</v>
      </c>
      <c r="K53" s="37">
        <f t="shared" si="15"/>
        <v>9.5201176253453426</v>
      </c>
      <c r="L53" s="37">
        <f t="shared" si="15"/>
        <v>9.5679117336839212</v>
      </c>
      <c r="M53" s="37">
        <f t="shared" si="15"/>
        <v>9.5994217944647779</v>
      </c>
      <c r="N53" s="37">
        <f t="shared" si="15"/>
        <v>9.6442175216211812</v>
      </c>
      <c r="O53" s="37">
        <f t="shared" si="15"/>
        <v>9.6787020440372107</v>
      </c>
      <c r="P53" s="37">
        <f t="shared" si="15"/>
        <v>9.7028809651397179</v>
      </c>
      <c r="Q53" s="37">
        <f t="shared" si="15"/>
        <v>9.7167299193804801</v>
      </c>
      <c r="R53" s="37">
        <f t="shared" si="15"/>
        <v>9.732056694489378</v>
      </c>
      <c r="S53" s="37">
        <f t="shared" si="15"/>
        <v>9.7321665104357979</v>
      </c>
      <c r="T53" s="37">
        <f t="shared" si="15"/>
        <v>9.7099988666120201</v>
      </c>
      <c r="U53" s="37">
        <f t="shared" si="15"/>
        <v>9.7010307428308931</v>
      </c>
      <c r="V53" s="37">
        <f t="shared" si="15"/>
        <v>9.681426426729848</v>
      </c>
      <c r="W53" s="37">
        <f t="shared" si="15"/>
        <v>9.6629048608140788</v>
      </c>
      <c r="X53" s="37">
        <f t="shared" si="15"/>
        <v>9.6572045053496307</v>
      </c>
      <c r="Y53" s="37">
        <f t="shared" si="15"/>
        <v>9.6345428705981941</v>
      </c>
      <c r="Z53" s="37">
        <f t="shared" si="15"/>
        <v>9.630438176780034</v>
      </c>
      <c r="AA53" s="37">
        <f t="shared" si="15"/>
        <v>9.6090814572353729</v>
      </c>
      <c r="AB53" s="37">
        <f t="shared" si="15"/>
        <v>9.6060493696613154</v>
      </c>
    </row>
    <row r="54" spans="1:28" x14ac:dyDescent="0.25">
      <c r="A54" s="4" t="s">
        <v>221</v>
      </c>
      <c r="B54" s="37">
        <f t="shared" ref="B54:AB54" si="16">B34*B15*$F$10</f>
        <v>15.927213874693571</v>
      </c>
      <c r="C54" s="37">
        <f t="shared" si="16"/>
        <v>16.019526949552599</v>
      </c>
      <c r="D54" s="37">
        <f t="shared" si="16"/>
        <v>16.102532031348094</v>
      </c>
      <c r="E54" s="37">
        <f t="shared" si="16"/>
        <v>16.19156627153238</v>
      </c>
      <c r="F54" s="37">
        <f t="shared" si="16"/>
        <v>16.295148930421096</v>
      </c>
      <c r="G54" s="37">
        <f t="shared" si="16"/>
        <v>16.384267766038182</v>
      </c>
      <c r="H54" s="37">
        <f t="shared" si="16"/>
        <v>16.47158508887879</v>
      </c>
      <c r="I54" s="37">
        <f t="shared" si="16"/>
        <v>16.531572281907625</v>
      </c>
      <c r="J54" s="37">
        <f t="shared" si="16"/>
        <v>16.586079698136167</v>
      </c>
      <c r="K54" s="37">
        <f t="shared" si="16"/>
        <v>16.634598955868611</v>
      </c>
      <c r="L54" s="37">
        <f t="shared" si="16"/>
        <v>16.67304713038574</v>
      </c>
      <c r="M54" s="37">
        <f t="shared" si="16"/>
        <v>16.701488168125806</v>
      </c>
      <c r="N54" s="37">
        <f t="shared" si="16"/>
        <v>16.719960711011375</v>
      </c>
      <c r="O54" s="37">
        <f t="shared" si="16"/>
        <v>16.728494229531698</v>
      </c>
      <c r="P54" s="37">
        <f t="shared" si="16"/>
        <v>16.71456674174901</v>
      </c>
      <c r="Q54" s="37">
        <f t="shared" si="16"/>
        <v>16.690631849026119</v>
      </c>
      <c r="R54" s="37">
        <f t="shared" si="16"/>
        <v>16.644064990697224</v>
      </c>
      <c r="S54" s="37">
        <f t="shared" si="16"/>
        <v>16.581538962593378</v>
      </c>
      <c r="T54" s="37">
        <f t="shared" si="16"/>
        <v>16.504719812225741</v>
      </c>
      <c r="U54" s="37">
        <f t="shared" si="16"/>
        <v>16.413429274218871</v>
      </c>
      <c r="V54" s="37">
        <f t="shared" si="16"/>
        <v>16.324161892496246</v>
      </c>
      <c r="W54" s="37">
        <f t="shared" si="16"/>
        <v>16.215731618513857</v>
      </c>
      <c r="X54" s="37">
        <f t="shared" si="16"/>
        <v>16.129739907444232</v>
      </c>
      <c r="Y54" s="37">
        <f t="shared" si="16"/>
        <v>16.040902985909266</v>
      </c>
      <c r="Z54" s="37">
        <f t="shared" si="16"/>
        <v>15.953172428115778</v>
      </c>
      <c r="AA54" s="37">
        <f t="shared" si="16"/>
        <v>15.870513701496684</v>
      </c>
      <c r="AB54" s="37">
        <f t="shared" si="16"/>
        <v>15.796915698096598</v>
      </c>
    </row>
    <row r="55" spans="1:28" x14ac:dyDescent="0.25">
      <c r="A55" s="4" t="s">
        <v>222</v>
      </c>
      <c r="B55" s="37">
        <f t="shared" ref="B55:AB55" si="17">B35*B15*$F$11</f>
        <v>83.676668706887213</v>
      </c>
      <c r="C55" s="37">
        <f t="shared" si="17"/>
        <v>82.991965054116292</v>
      </c>
      <c r="D55" s="37">
        <f t="shared" si="17"/>
        <v>82.194256621607934</v>
      </c>
      <c r="E55" s="37">
        <f t="shared" si="17"/>
        <v>81.391876249887858</v>
      </c>
      <c r="F55" s="37">
        <f t="shared" si="17"/>
        <v>80.553208603254546</v>
      </c>
      <c r="G55" s="37">
        <f t="shared" si="17"/>
        <v>79.736071654462577</v>
      </c>
      <c r="H55" s="37">
        <f t="shared" si="17"/>
        <v>78.915243847609332</v>
      </c>
      <c r="I55" s="37">
        <f t="shared" si="17"/>
        <v>77.976270854314905</v>
      </c>
      <c r="J55" s="37">
        <f t="shared" si="17"/>
        <v>77.038671496406977</v>
      </c>
      <c r="K55" s="37">
        <f t="shared" si="17"/>
        <v>76.093048978640695</v>
      </c>
      <c r="L55" s="37">
        <f t="shared" si="17"/>
        <v>75.152136927245209</v>
      </c>
      <c r="M55" s="37">
        <f t="shared" si="17"/>
        <v>74.209309149717726</v>
      </c>
      <c r="N55" s="37">
        <f t="shared" si="17"/>
        <v>73.277151745772045</v>
      </c>
      <c r="O55" s="37">
        <f t="shared" si="17"/>
        <v>72.329642076105756</v>
      </c>
      <c r="P55" s="37">
        <f t="shared" si="17"/>
        <v>71.385687374318948</v>
      </c>
      <c r="Q55" s="37">
        <f t="shared" si="17"/>
        <v>70.444750932904967</v>
      </c>
      <c r="R55" s="37">
        <f t="shared" si="17"/>
        <v>69.512669433940403</v>
      </c>
      <c r="S55" s="37">
        <f t="shared" si="17"/>
        <v>68.493854321138315</v>
      </c>
      <c r="T55" s="37">
        <f t="shared" si="17"/>
        <v>67.497869302237262</v>
      </c>
      <c r="U55" s="37">
        <f t="shared" si="17"/>
        <v>66.536639729649593</v>
      </c>
      <c r="V55" s="37">
        <f t="shared" si="17"/>
        <v>65.596101867905361</v>
      </c>
      <c r="W55" s="37">
        <f t="shared" si="17"/>
        <v>64.70735735570392</v>
      </c>
      <c r="X55" s="37">
        <f t="shared" si="17"/>
        <v>63.836957211191233</v>
      </c>
      <c r="Y55" s="37">
        <f t="shared" si="17"/>
        <v>63.003519163832763</v>
      </c>
      <c r="Z55" s="37">
        <f t="shared" si="17"/>
        <v>62.199586090824909</v>
      </c>
      <c r="AA55" s="37">
        <f t="shared" si="17"/>
        <v>61.417722473254756</v>
      </c>
      <c r="AB55" s="37">
        <f t="shared" si="17"/>
        <v>60.66350959910968</v>
      </c>
    </row>
    <row r="57" spans="1:28" x14ac:dyDescent="0.25">
      <c r="A57" s="4" t="s">
        <v>327</v>
      </c>
    </row>
    <row r="58" spans="1:28" x14ac:dyDescent="0.25">
      <c r="A58" s="4" t="s">
        <v>215</v>
      </c>
      <c r="B58" s="37">
        <f t="shared" ref="B58:AB58" si="18">B38*B15*$F$4</f>
        <v>9023.9961226429914</v>
      </c>
      <c r="C58" s="37">
        <f t="shared" si="18"/>
        <v>9203.2867252845117</v>
      </c>
      <c r="D58" s="37">
        <f t="shared" si="18"/>
        <v>9371.3614638701456</v>
      </c>
      <c r="E58" s="37">
        <f t="shared" si="18"/>
        <v>9539.9941366820603</v>
      </c>
      <c r="F58" s="37">
        <f t="shared" si="18"/>
        <v>9710.0082949113548</v>
      </c>
      <c r="G58" s="37">
        <f t="shared" si="18"/>
        <v>9881.6995824346632</v>
      </c>
      <c r="H58" s="37">
        <f t="shared" si="18"/>
        <v>10054.401304774003</v>
      </c>
      <c r="I58" s="37">
        <f t="shared" si="18"/>
        <v>10211.63173669917</v>
      </c>
      <c r="J58" s="37">
        <f t="shared" si="18"/>
        <v>10367.503948879061</v>
      </c>
      <c r="K58" s="37">
        <f t="shared" si="18"/>
        <v>10521.843653126294</v>
      </c>
      <c r="L58" s="37">
        <f t="shared" si="18"/>
        <v>10673.765891634916</v>
      </c>
      <c r="M58" s="37">
        <f t="shared" si="18"/>
        <v>10823.095009407276</v>
      </c>
      <c r="N58" s="37">
        <f t="shared" si="18"/>
        <v>10968.725790298673</v>
      </c>
      <c r="O58" s="37">
        <f t="shared" si="18"/>
        <v>11110.242647716515</v>
      </c>
      <c r="P58" s="37">
        <f t="shared" si="18"/>
        <v>11246.213558530268</v>
      </c>
      <c r="Q58" s="37">
        <f t="shared" si="18"/>
        <v>11376.398559439902</v>
      </c>
      <c r="R58" s="37">
        <f t="shared" si="18"/>
        <v>11499.054998173191</v>
      </c>
      <c r="S58" s="37">
        <f t="shared" si="18"/>
        <v>11601.466170950394</v>
      </c>
      <c r="T58" s="37">
        <f t="shared" si="18"/>
        <v>11695.634619802353</v>
      </c>
      <c r="U58" s="37">
        <f t="shared" si="18"/>
        <v>11782.158148779659</v>
      </c>
      <c r="V58" s="37">
        <f t="shared" si="18"/>
        <v>11858.167535593688</v>
      </c>
      <c r="W58" s="37">
        <f t="shared" si="18"/>
        <v>11924.31042228048</v>
      </c>
      <c r="X58" s="37">
        <f t="shared" si="18"/>
        <v>11979.875344469936</v>
      </c>
      <c r="Y58" s="37">
        <f t="shared" si="18"/>
        <v>12029.750976610549</v>
      </c>
      <c r="Z58" s="37">
        <f t="shared" si="18"/>
        <v>12069.493268151018</v>
      </c>
      <c r="AA58" s="37">
        <f t="shared" si="18"/>
        <v>12099.779183918943</v>
      </c>
      <c r="AB58" s="37">
        <f t="shared" si="18"/>
        <v>12121.640682651292</v>
      </c>
    </row>
    <row r="59" spans="1:28" x14ac:dyDescent="0.25">
      <c r="A59" s="4" t="s">
        <v>216</v>
      </c>
      <c r="B59" s="37">
        <f t="shared" ref="B59:AB59" si="19">B39*B15*$F$5</f>
        <v>8239.3249341288611</v>
      </c>
      <c r="C59" s="37">
        <f t="shared" si="19"/>
        <v>8381.2609797839104</v>
      </c>
      <c r="D59" s="37">
        <f t="shared" si="19"/>
        <v>8513.543113681324</v>
      </c>
      <c r="E59" s="37">
        <f t="shared" si="19"/>
        <v>8650.685581825137</v>
      </c>
      <c r="F59" s="37">
        <f t="shared" si="19"/>
        <v>8795.1620629540084</v>
      </c>
      <c r="G59" s="37">
        <f t="shared" si="19"/>
        <v>8947.4753251150723</v>
      </c>
      <c r="H59" s="37">
        <f t="shared" si="19"/>
        <v>9108.4941318285564</v>
      </c>
      <c r="I59" s="37">
        <f t="shared" si="19"/>
        <v>9262.9834112987337</v>
      </c>
      <c r="J59" s="37">
        <f t="shared" si="19"/>
        <v>9424.5905924066446</v>
      </c>
      <c r="K59" s="37">
        <f t="shared" si="19"/>
        <v>9590.9291138739682</v>
      </c>
      <c r="L59" s="37">
        <f t="shared" si="19"/>
        <v>9761.8210747386984</v>
      </c>
      <c r="M59" s="37">
        <f t="shared" si="19"/>
        <v>9936.692179774489</v>
      </c>
      <c r="N59" s="37">
        <f t="shared" si="19"/>
        <v>10113.439371746681</v>
      </c>
      <c r="O59" s="37">
        <f t="shared" si="19"/>
        <v>10290.054594932699</v>
      </c>
      <c r="P59" s="37">
        <f t="shared" si="19"/>
        <v>10466.098438255722</v>
      </c>
      <c r="Q59" s="37">
        <f t="shared" si="19"/>
        <v>10638.693170329494</v>
      </c>
      <c r="R59" s="37">
        <f t="shared" si="19"/>
        <v>10807.026010585425</v>
      </c>
      <c r="S59" s="37">
        <f t="shared" si="19"/>
        <v>10957.039314445163</v>
      </c>
      <c r="T59" s="37">
        <f t="shared" si="19"/>
        <v>11099.752130421388</v>
      </c>
      <c r="U59" s="37">
        <f t="shared" si="19"/>
        <v>11234.122438385752</v>
      </c>
      <c r="V59" s="37">
        <f t="shared" si="19"/>
        <v>11357.580125410752</v>
      </c>
      <c r="W59" s="37">
        <f t="shared" si="19"/>
        <v>11467.795986576526</v>
      </c>
      <c r="X59" s="37">
        <f t="shared" si="19"/>
        <v>11565.324323620393</v>
      </c>
      <c r="Y59" s="37">
        <f t="shared" si="19"/>
        <v>11655.500228154619</v>
      </c>
      <c r="Z59" s="37">
        <f t="shared" si="19"/>
        <v>11733.257817687256</v>
      </c>
      <c r="AA59" s="37">
        <f t="shared" si="19"/>
        <v>11796.716230585411</v>
      </c>
      <c r="AB59" s="37">
        <f t="shared" si="19"/>
        <v>11845.99482957333</v>
      </c>
    </row>
    <row r="60" spans="1:28" x14ac:dyDescent="0.25">
      <c r="A60" s="4" t="s">
        <v>217</v>
      </c>
      <c r="B60" s="37">
        <f t="shared" ref="B60:AB60" si="20">B40*B15*$F$6</f>
        <v>16087.085509283592</v>
      </c>
      <c r="C60" s="37">
        <f t="shared" si="20"/>
        <v>16382.808700895926</v>
      </c>
      <c r="D60" s="37">
        <f t="shared" si="20"/>
        <v>16657.738759814631</v>
      </c>
      <c r="E60" s="37">
        <f t="shared" si="20"/>
        <v>16936.188498693293</v>
      </c>
      <c r="F60" s="37">
        <f t="shared" si="20"/>
        <v>17221.65850014141</v>
      </c>
      <c r="G60" s="37">
        <f t="shared" si="20"/>
        <v>17514.267738451534</v>
      </c>
      <c r="H60" s="37">
        <f t="shared" si="20"/>
        <v>17814.710460462211</v>
      </c>
      <c r="I60" s="37">
        <f t="shared" si="20"/>
        <v>18093.141887132646</v>
      </c>
      <c r="J60" s="37">
        <f t="shared" si="20"/>
        <v>18375.635695230409</v>
      </c>
      <c r="K60" s="37">
        <f t="shared" si="20"/>
        <v>18658.972814917921</v>
      </c>
      <c r="L60" s="37">
        <f t="shared" si="20"/>
        <v>18942.191813480156</v>
      </c>
      <c r="M60" s="37">
        <f t="shared" si="20"/>
        <v>19224.583355617993</v>
      </c>
      <c r="N60" s="37">
        <f t="shared" si="20"/>
        <v>19502.681926082889</v>
      </c>
      <c r="O60" s="37">
        <f t="shared" si="20"/>
        <v>19774.562026581305</v>
      </c>
      <c r="P60" s="37">
        <f t="shared" si="20"/>
        <v>20037.677507145618</v>
      </c>
      <c r="Q60" s="37">
        <f t="shared" si="20"/>
        <v>20289.322171976281</v>
      </c>
      <c r="R60" s="37">
        <f t="shared" si="20"/>
        <v>20526.875600422551</v>
      </c>
      <c r="S60" s="37">
        <f t="shared" si="20"/>
        <v>20725.668574020194</v>
      </c>
      <c r="T60" s="37">
        <f t="shared" si="20"/>
        <v>20907.003484012395</v>
      </c>
      <c r="U60" s="37">
        <f t="shared" si="20"/>
        <v>21070.775724787451</v>
      </c>
      <c r="V60" s="37">
        <f t="shared" si="20"/>
        <v>21211.281380453696</v>
      </c>
      <c r="W60" s="37">
        <f t="shared" si="20"/>
        <v>21326.80701747983</v>
      </c>
      <c r="X60" s="37">
        <f t="shared" si="20"/>
        <v>21417.674928567962</v>
      </c>
      <c r="Y60" s="37">
        <f t="shared" si="20"/>
        <v>21494.695904699813</v>
      </c>
      <c r="Z60" s="37">
        <f t="shared" si="20"/>
        <v>21548.134247747235</v>
      </c>
      <c r="AA60" s="37">
        <f t="shared" si="20"/>
        <v>21576.510900758487</v>
      </c>
      <c r="AB60" s="37">
        <f t="shared" si="20"/>
        <v>21581.514089511908</v>
      </c>
    </row>
    <row r="61" spans="1:28" x14ac:dyDescent="0.25">
      <c r="A61" s="4" t="s">
        <v>218</v>
      </c>
      <c r="B61" s="37">
        <f t="shared" ref="B61:AB61" si="21">B41*B15*$F$7</f>
        <v>900.37463533343725</v>
      </c>
      <c r="C61" s="37">
        <f t="shared" si="21"/>
        <v>915.44142099071644</v>
      </c>
      <c r="D61" s="37">
        <f t="shared" si="21"/>
        <v>929.4923472373049</v>
      </c>
      <c r="E61" s="37">
        <f t="shared" si="21"/>
        <v>943.69923885214359</v>
      </c>
      <c r="F61" s="37">
        <f t="shared" si="21"/>
        <v>958.37357252857714</v>
      </c>
      <c r="G61" s="37">
        <f t="shared" si="21"/>
        <v>973.54592149058897</v>
      </c>
      <c r="H61" s="37">
        <f t="shared" si="21"/>
        <v>989.19782053794688</v>
      </c>
      <c r="I61" s="37">
        <f t="shared" si="21"/>
        <v>1003.8151639542726</v>
      </c>
      <c r="J61" s="37">
        <f t="shared" si="21"/>
        <v>1018.8713894936028</v>
      </c>
      <c r="K61" s="37">
        <f t="shared" si="21"/>
        <v>1034.3054502977952</v>
      </c>
      <c r="L61" s="37">
        <f t="shared" si="21"/>
        <v>1050.1226721300736</v>
      </c>
      <c r="M61" s="37">
        <f t="shared" si="21"/>
        <v>1066.2731259758223</v>
      </c>
      <c r="N61" s="37">
        <f t="shared" si="21"/>
        <v>1082.8113669454349</v>
      </c>
      <c r="O61" s="37">
        <f t="shared" si="21"/>
        <v>1099.4669508515544</v>
      </c>
      <c r="P61" s="37">
        <f t="shared" si="21"/>
        <v>1116.3636030818859</v>
      </c>
      <c r="Q61" s="37">
        <f t="shared" si="21"/>
        <v>1133.2771462927569</v>
      </c>
      <c r="R61" s="37">
        <f t="shared" si="21"/>
        <v>1150.1820232993332</v>
      </c>
      <c r="S61" s="37">
        <f t="shared" si="21"/>
        <v>1165.7979116724232</v>
      </c>
      <c r="T61" s="37">
        <f t="shared" si="21"/>
        <v>1181.1564643807599</v>
      </c>
      <c r="U61" s="37">
        <f t="shared" si="21"/>
        <v>1196.2744217347981</v>
      </c>
      <c r="V61" s="37">
        <f t="shared" si="21"/>
        <v>1211.010400486042</v>
      </c>
      <c r="W61" s="37">
        <f t="shared" si="21"/>
        <v>1225.1367482096</v>
      </c>
      <c r="X61" s="37">
        <f t="shared" si="21"/>
        <v>1238.566966287402</v>
      </c>
      <c r="Y61" s="37">
        <f t="shared" si="21"/>
        <v>1251.6095739520024</v>
      </c>
      <c r="Z61" s="37">
        <f t="shared" si="21"/>
        <v>1263.9152692601856</v>
      </c>
      <c r="AA61" s="37">
        <f t="shared" si="21"/>
        <v>1275.4677251356811</v>
      </c>
      <c r="AB61" s="37">
        <f t="shared" si="21"/>
        <v>1286.1287724658316</v>
      </c>
    </row>
    <row r="62" spans="1:28" x14ac:dyDescent="0.25">
      <c r="A62" s="4" t="s">
        <v>219</v>
      </c>
      <c r="B62" s="37">
        <f t="shared" ref="B62:AB62" si="22">B42*B15*$F$8</f>
        <v>349.27393215837918</v>
      </c>
      <c r="C62" s="37">
        <f t="shared" si="22"/>
        <v>358.07793296137004</v>
      </c>
      <c r="D62" s="37">
        <f t="shared" si="22"/>
        <v>366.75241212679163</v>
      </c>
      <c r="E62" s="37">
        <f t="shared" si="22"/>
        <v>376.01469857083129</v>
      </c>
      <c r="F62" s="37">
        <f t="shared" si="22"/>
        <v>385.9790864241362</v>
      </c>
      <c r="G62" s="37">
        <f t="shared" si="22"/>
        <v>396.64382376051321</v>
      </c>
      <c r="H62" s="37">
        <f t="shared" si="22"/>
        <v>408.0417399145054</v>
      </c>
      <c r="I62" s="37">
        <f t="shared" si="22"/>
        <v>419.53103263228854</v>
      </c>
      <c r="J62" s="37">
        <f t="shared" si="22"/>
        <v>431.52124673185983</v>
      </c>
      <c r="K62" s="37">
        <f t="shared" si="22"/>
        <v>443.92901871863</v>
      </c>
      <c r="L62" s="37">
        <f t="shared" si="22"/>
        <v>456.87064061100466</v>
      </c>
      <c r="M62" s="37">
        <f t="shared" si="22"/>
        <v>470.26107495355319</v>
      </c>
      <c r="N62" s="37">
        <f t="shared" si="22"/>
        <v>484.04412338836465</v>
      </c>
      <c r="O62" s="37">
        <f t="shared" si="22"/>
        <v>498.13802675201873</v>
      </c>
      <c r="P62" s="37">
        <f t="shared" si="22"/>
        <v>512.5009829465331</v>
      </c>
      <c r="Q62" s="37">
        <f t="shared" si="22"/>
        <v>527.03828776340185</v>
      </c>
      <c r="R62" s="37">
        <f t="shared" si="22"/>
        <v>541.70348156937189</v>
      </c>
      <c r="S62" s="37">
        <f t="shared" si="22"/>
        <v>555.7928470821571</v>
      </c>
      <c r="T62" s="37">
        <f t="shared" si="22"/>
        <v>569.9000400673832</v>
      </c>
      <c r="U62" s="37">
        <f t="shared" si="22"/>
        <v>583.9020872354198</v>
      </c>
      <c r="V62" s="37">
        <f t="shared" si="22"/>
        <v>597.8179164744771</v>
      </c>
      <c r="W62" s="37">
        <f t="shared" si="22"/>
        <v>611.60681542539965</v>
      </c>
      <c r="X62" s="37">
        <f t="shared" si="22"/>
        <v>625.31953283215159</v>
      </c>
      <c r="Y62" s="37">
        <f t="shared" si="22"/>
        <v>638.91367350547512</v>
      </c>
      <c r="Z62" s="37">
        <f t="shared" si="22"/>
        <v>652.40713744438676</v>
      </c>
      <c r="AA62" s="37">
        <f t="shared" si="22"/>
        <v>665.79083378368421</v>
      </c>
      <c r="AB62" s="37">
        <f t="shared" si="22"/>
        <v>679.01433898341054</v>
      </c>
    </row>
    <row r="63" spans="1:28" x14ac:dyDescent="0.25">
      <c r="A63" s="4" t="s">
        <v>220</v>
      </c>
      <c r="B63" s="37">
        <f t="shared" ref="B63:AB63" si="23">B43*B15*$F$9</f>
        <v>393.45951095383094</v>
      </c>
      <c r="C63" s="37">
        <f t="shared" si="23"/>
        <v>402.81249708082777</v>
      </c>
      <c r="D63" s="37">
        <f t="shared" si="23"/>
        <v>412.07915322852023</v>
      </c>
      <c r="E63" s="37">
        <f t="shared" si="23"/>
        <v>422.16221074361511</v>
      </c>
      <c r="F63" s="37">
        <f t="shared" si="23"/>
        <v>432.36870522989398</v>
      </c>
      <c r="G63" s="37">
        <f t="shared" si="23"/>
        <v>443.31854851741775</v>
      </c>
      <c r="H63" s="37">
        <f t="shared" si="23"/>
        <v>454.6143959147762</v>
      </c>
      <c r="I63" s="37">
        <f t="shared" si="23"/>
        <v>465.4475793515017</v>
      </c>
      <c r="J63" s="37">
        <f t="shared" si="23"/>
        <v>476.53835406719031</v>
      </c>
      <c r="K63" s="37">
        <f t="shared" si="23"/>
        <v>488.40211383277574</v>
      </c>
      <c r="L63" s="37">
        <f t="shared" si="23"/>
        <v>500.57306110393864</v>
      </c>
      <c r="M63" s="37">
        <f t="shared" si="23"/>
        <v>513.20576480979821</v>
      </c>
      <c r="N63" s="37">
        <f t="shared" si="23"/>
        <v>526.07670124220726</v>
      </c>
      <c r="O63" s="37">
        <f t="shared" si="23"/>
        <v>539.22845682362959</v>
      </c>
      <c r="P63" s="37">
        <f t="shared" si="23"/>
        <v>552.80389381633825</v>
      </c>
      <c r="Q63" s="37">
        <f t="shared" si="23"/>
        <v>566.73226937461584</v>
      </c>
      <c r="R63" s="37">
        <f t="shared" si="23"/>
        <v>580.90658263312935</v>
      </c>
      <c r="S63" s="37">
        <f t="shared" si="23"/>
        <v>594.49786692828377</v>
      </c>
      <c r="T63" s="37">
        <f t="shared" si="23"/>
        <v>608.29763961989772</v>
      </c>
      <c r="U63" s="37">
        <f t="shared" si="23"/>
        <v>622.14678822604969</v>
      </c>
      <c r="V63" s="37">
        <f t="shared" si="23"/>
        <v>635.86564695362665</v>
      </c>
      <c r="W63" s="37">
        <f t="shared" si="23"/>
        <v>649.84222278023924</v>
      </c>
      <c r="X63" s="37">
        <f t="shared" si="23"/>
        <v>663.76354139813611</v>
      </c>
      <c r="Y63" s="37">
        <f t="shared" si="23"/>
        <v>677.8177285926954</v>
      </c>
      <c r="Z63" s="37">
        <f t="shared" si="23"/>
        <v>691.74384559353109</v>
      </c>
      <c r="AA63" s="37">
        <f t="shared" si="23"/>
        <v>705.64236098969354</v>
      </c>
      <c r="AB63" s="37">
        <f t="shared" si="23"/>
        <v>719.61943044683665</v>
      </c>
    </row>
    <row r="64" spans="1:28" x14ac:dyDescent="0.25">
      <c r="A64" s="4" t="s">
        <v>221</v>
      </c>
      <c r="B64" s="37">
        <f t="shared" ref="B64:AB64" si="24">B44*B15*$F$10</f>
        <v>1037.0312204952133</v>
      </c>
      <c r="C64" s="37">
        <f t="shared" si="24"/>
        <v>1075.343454234305</v>
      </c>
      <c r="D64" s="37">
        <f t="shared" si="24"/>
        <v>1113.2438770585961</v>
      </c>
      <c r="E64" s="37">
        <f t="shared" si="24"/>
        <v>1152.179215316896</v>
      </c>
      <c r="F64" s="37">
        <f t="shared" si="24"/>
        <v>1192.1715713525825</v>
      </c>
      <c r="G64" s="37">
        <f t="shared" si="24"/>
        <v>1233.3763582373185</v>
      </c>
      <c r="H64" s="37">
        <f t="shared" si="24"/>
        <v>1276.2080736503831</v>
      </c>
      <c r="I64" s="37">
        <f t="shared" si="24"/>
        <v>1318.6418840482647</v>
      </c>
      <c r="J64" s="37">
        <f t="shared" si="24"/>
        <v>1362.2833447319194</v>
      </c>
      <c r="K64" s="37">
        <f t="shared" si="24"/>
        <v>1407.4545424598793</v>
      </c>
      <c r="L64" s="37">
        <f t="shared" si="24"/>
        <v>1454.4046494561221</v>
      </c>
      <c r="M64" s="37">
        <f t="shared" si="24"/>
        <v>1502.7880709801364</v>
      </c>
      <c r="N64" s="37">
        <f t="shared" si="24"/>
        <v>1553.0054756147701</v>
      </c>
      <c r="O64" s="37">
        <f t="shared" si="24"/>
        <v>1604.8093693853364</v>
      </c>
      <c r="P64" s="37">
        <f t="shared" si="24"/>
        <v>1658.1392753052576</v>
      </c>
      <c r="Q64" s="37">
        <f t="shared" si="24"/>
        <v>1713.0786699939626</v>
      </c>
      <c r="R64" s="37">
        <f t="shared" si="24"/>
        <v>1769.292120376334</v>
      </c>
      <c r="S64" s="37">
        <f t="shared" si="24"/>
        <v>1824.772023021131</v>
      </c>
      <c r="T64" s="37">
        <f t="shared" si="24"/>
        <v>1881.3875214989182</v>
      </c>
      <c r="U64" s="37">
        <f t="shared" si="24"/>
        <v>1939.0182861703734</v>
      </c>
      <c r="V64" s="37">
        <f t="shared" si="24"/>
        <v>1997.4103888777199</v>
      </c>
      <c r="W64" s="37">
        <f t="shared" si="24"/>
        <v>2056.2912610557946</v>
      </c>
      <c r="X64" s="37">
        <f t="shared" si="24"/>
        <v>2115.9118496870333</v>
      </c>
      <c r="Y64" s="37">
        <f t="shared" si="24"/>
        <v>2175.8482868024798</v>
      </c>
      <c r="Z64" s="37">
        <f t="shared" si="24"/>
        <v>2236.0708327136945</v>
      </c>
      <c r="AA64" s="37">
        <f t="shared" si="24"/>
        <v>2296.0757040237049</v>
      </c>
      <c r="AB64" s="37">
        <f t="shared" si="24"/>
        <v>2355.795971687061</v>
      </c>
    </row>
    <row r="65" spans="1:28" x14ac:dyDescent="0.25">
      <c r="A65" s="4" t="s">
        <v>222</v>
      </c>
      <c r="B65" s="37">
        <f t="shared" ref="B65:AB65" si="25">B45*B15*$F$11</f>
        <v>16925.843128001979</v>
      </c>
      <c r="C65" s="37">
        <f t="shared" si="25"/>
        <v>17211.088597108381</v>
      </c>
      <c r="D65" s="37">
        <f t="shared" si="25"/>
        <v>17474.582338583819</v>
      </c>
      <c r="E65" s="37">
        <f t="shared" si="25"/>
        <v>17742.363650179585</v>
      </c>
      <c r="F65" s="37">
        <f t="shared" si="25"/>
        <v>18017.964691411766</v>
      </c>
      <c r="G65" s="37">
        <f t="shared" si="25"/>
        <v>18302.006174845359</v>
      </c>
      <c r="H65" s="37">
        <f t="shared" si="25"/>
        <v>18594.089030961135</v>
      </c>
      <c r="I65" s="37">
        <f t="shared" si="25"/>
        <v>18863.298021456376</v>
      </c>
      <c r="J65" s="37">
        <f t="shared" si="25"/>
        <v>19136.959031906888</v>
      </c>
      <c r="K65" s="37">
        <f t="shared" si="25"/>
        <v>19411.790755010468</v>
      </c>
      <c r="L65" s="37">
        <f t="shared" si="25"/>
        <v>19686.278139653867</v>
      </c>
      <c r="M65" s="37">
        <f t="shared" si="25"/>
        <v>19960.14309974917</v>
      </c>
      <c r="N65" s="37">
        <f t="shared" si="25"/>
        <v>20229.306535227224</v>
      </c>
      <c r="O65" s="37">
        <f t="shared" si="25"/>
        <v>20491.523184552068</v>
      </c>
      <c r="P65" s="37">
        <f t="shared" si="25"/>
        <v>20744.892035090594</v>
      </c>
      <c r="Q65" s="37">
        <f t="shared" si="25"/>
        <v>20985.895520527785</v>
      </c>
      <c r="R65" s="37">
        <f t="shared" si="25"/>
        <v>21212.321521642472</v>
      </c>
      <c r="S65" s="37">
        <f t="shared" si="25"/>
        <v>21398.495817516425</v>
      </c>
      <c r="T65" s="37">
        <f t="shared" si="25"/>
        <v>21566.240477330382</v>
      </c>
      <c r="U65" s="37">
        <f t="shared" si="25"/>
        <v>21715.238882867383</v>
      </c>
      <c r="V65" s="37">
        <f t="shared" si="25"/>
        <v>21840.046436142133</v>
      </c>
      <c r="W65" s="37">
        <f t="shared" si="25"/>
        <v>21939.232105644278</v>
      </c>
      <c r="X65" s="37">
        <f t="shared" si="25"/>
        <v>22012.259326904303</v>
      </c>
      <c r="Y65" s="37">
        <f t="shared" si="25"/>
        <v>22070.768234083003</v>
      </c>
      <c r="Z65" s="37">
        <f t="shared" si="25"/>
        <v>22104.582683591947</v>
      </c>
      <c r="AA65" s="37">
        <f t="shared" si="25"/>
        <v>22113.147939183964</v>
      </c>
      <c r="AB65" s="37">
        <f t="shared" si="25"/>
        <v>22097.78958841545</v>
      </c>
    </row>
    <row r="67" spans="1:28" x14ac:dyDescent="0.25">
      <c r="A67" s="4" t="s">
        <v>328</v>
      </c>
    </row>
    <row r="68" spans="1:28" x14ac:dyDescent="0.25">
      <c r="A68" s="4" t="s">
        <v>329</v>
      </c>
      <c r="B68" s="40">
        <f t="shared" ref="B68:AB68" si="26">B48+B49</f>
        <v>100.99701538957255</v>
      </c>
      <c r="C68" s="40">
        <f t="shared" si="26"/>
        <v>100.48968033186623</v>
      </c>
      <c r="D68" s="40">
        <f t="shared" si="26"/>
        <v>99.863441201891504</v>
      </c>
      <c r="E68" s="40">
        <f t="shared" si="26"/>
        <v>99.241618618704862</v>
      </c>
      <c r="F68" s="40">
        <f t="shared" si="26"/>
        <v>98.606928110192143</v>
      </c>
      <c r="G68" s="40">
        <f t="shared" si="26"/>
        <v>97.971341180163364</v>
      </c>
      <c r="H68" s="40">
        <f t="shared" si="26"/>
        <v>97.329655936780725</v>
      </c>
      <c r="I68" s="40">
        <f t="shared" si="26"/>
        <v>96.539118566902488</v>
      </c>
      <c r="J68" s="40">
        <f t="shared" si="26"/>
        <v>95.741148863438369</v>
      </c>
      <c r="K68" s="40">
        <f t="shared" si="26"/>
        <v>94.927721757257515</v>
      </c>
      <c r="L68" s="40">
        <f t="shared" si="26"/>
        <v>94.103535660340668</v>
      </c>
      <c r="M68" s="40">
        <f t="shared" si="26"/>
        <v>93.263801454248693</v>
      </c>
      <c r="N68" s="40">
        <f t="shared" si="26"/>
        <v>92.420296952258795</v>
      </c>
      <c r="O68" s="40">
        <f t="shared" si="26"/>
        <v>91.54675856594946</v>
      </c>
      <c r="P68" s="40">
        <f t="shared" si="26"/>
        <v>90.645378618392726</v>
      </c>
      <c r="Q68" s="40">
        <f t="shared" si="26"/>
        <v>89.731748976410387</v>
      </c>
      <c r="R68" s="40">
        <f t="shared" si="26"/>
        <v>88.794190374676361</v>
      </c>
      <c r="S68" s="40">
        <f t="shared" si="26"/>
        <v>87.752526314416315</v>
      </c>
      <c r="T68" s="40">
        <f t="shared" si="26"/>
        <v>86.711768445670259</v>
      </c>
      <c r="U68" s="40">
        <f t="shared" si="26"/>
        <v>85.682592875340418</v>
      </c>
      <c r="V68" s="40">
        <f t="shared" si="26"/>
        <v>84.675437785180264</v>
      </c>
      <c r="W68" s="40">
        <f t="shared" si="26"/>
        <v>83.688984570791348</v>
      </c>
      <c r="X68" s="40">
        <f t="shared" si="26"/>
        <v>82.752661750507741</v>
      </c>
      <c r="Y68" s="40">
        <f t="shared" si="26"/>
        <v>81.846335621831287</v>
      </c>
      <c r="Z68" s="40">
        <f t="shared" si="26"/>
        <v>80.969605738480141</v>
      </c>
      <c r="AA68" s="40">
        <f t="shared" si="26"/>
        <v>80.120552571081191</v>
      </c>
      <c r="AB68" s="40">
        <f t="shared" si="26"/>
        <v>79.309759357029463</v>
      </c>
    </row>
    <row r="69" spans="1:28" x14ac:dyDescent="0.25">
      <c r="A69" s="4" t="s">
        <v>330</v>
      </c>
      <c r="B69" s="40">
        <f t="shared" ref="B69:AB69" si="27">B50+B51+B52+B53</f>
        <v>90.687799633441458</v>
      </c>
      <c r="C69" s="40">
        <f t="shared" si="27"/>
        <v>90.316314524640049</v>
      </c>
      <c r="D69" s="40">
        <f t="shared" si="27"/>
        <v>89.835288889810144</v>
      </c>
      <c r="E69" s="40">
        <f t="shared" si="27"/>
        <v>89.359537730057923</v>
      </c>
      <c r="F69" s="40">
        <f t="shared" si="27"/>
        <v>88.8760785987362</v>
      </c>
      <c r="G69" s="40">
        <f t="shared" si="27"/>
        <v>88.391094129437448</v>
      </c>
      <c r="H69" s="40">
        <f t="shared" si="27"/>
        <v>87.905606454119848</v>
      </c>
      <c r="I69" s="40">
        <f t="shared" si="27"/>
        <v>87.281702852358251</v>
      </c>
      <c r="J69" s="40">
        <f t="shared" si="27"/>
        <v>86.644891738257641</v>
      </c>
      <c r="K69" s="40">
        <f t="shared" si="27"/>
        <v>85.981083177638851</v>
      </c>
      <c r="L69" s="40">
        <f t="shared" si="27"/>
        <v>85.300525201426041</v>
      </c>
      <c r="M69" s="40">
        <f t="shared" si="27"/>
        <v>84.587797463757269</v>
      </c>
      <c r="N69" s="40">
        <f t="shared" si="27"/>
        <v>83.864761675760647</v>
      </c>
      <c r="O69" s="40">
        <f t="shared" si="27"/>
        <v>83.094392461701361</v>
      </c>
      <c r="P69" s="40">
        <f t="shared" si="27"/>
        <v>82.293536456587219</v>
      </c>
      <c r="Q69" s="40">
        <f t="shared" si="27"/>
        <v>81.46551541064062</v>
      </c>
      <c r="R69" s="40">
        <f t="shared" si="27"/>
        <v>80.61033324275877</v>
      </c>
      <c r="S69" s="40">
        <f t="shared" si="27"/>
        <v>79.653446918408733</v>
      </c>
      <c r="T69" s="40">
        <f t="shared" si="27"/>
        <v>78.689826778991659</v>
      </c>
      <c r="U69" s="40">
        <f t="shared" si="27"/>
        <v>77.742785384483085</v>
      </c>
      <c r="V69" s="40">
        <f t="shared" si="27"/>
        <v>76.807932739007668</v>
      </c>
      <c r="W69" s="40">
        <f t="shared" si="27"/>
        <v>75.899191921761457</v>
      </c>
      <c r="X69" s="40">
        <f t="shared" si="27"/>
        <v>75.038703219541375</v>
      </c>
      <c r="Y69" s="40">
        <f t="shared" si="27"/>
        <v>74.193245888652072</v>
      </c>
      <c r="Z69" s="40">
        <f t="shared" si="27"/>
        <v>73.385113279487868</v>
      </c>
      <c r="AA69" s="40">
        <f t="shared" si="27"/>
        <v>72.60224507569211</v>
      </c>
      <c r="AB69" s="40">
        <f t="shared" si="27"/>
        <v>71.860386223488248</v>
      </c>
    </row>
    <row r="70" spans="1:28" x14ac:dyDescent="0.25">
      <c r="A70" s="4" t="s">
        <v>331</v>
      </c>
      <c r="B70" s="40">
        <f t="shared" ref="B70:AB70" si="28">B54+B55</f>
        <v>99.603882581580791</v>
      </c>
      <c r="C70" s="40">
        <f t="shared" si="28"/>
        <v>99.011492003668891</v>
      </c>
      <c r="D70" s="40">
        <f t="shared" si="28"/>
        <v>98.296788652956025</v>
      </c>
      <c r="E70" s="40">
        <f t="shared" si="28"/>
        <v>97.583442521420238</v>
      </c>
      <c r="F70" s="40">
        <f t="shared" si="28"/>
        <v>96.848357533675639</v>
      </c>
      <c r="G70" s="40">
        <f t="shared" si="28"/>
        <v>96.120339420500756</v>
      </c>
      <c r="H70" s="40">
        <f t="shared" si="28"/>
        <v>95.386828936488115</v>
      </c>
      <c r="I70" s="40">
        <f t="shared" si="28"/>
        <v>94.507843136222533</v>
      </c>
      <c r="J70" s="40">
        <f t="shared" si="28"/>
        <v>93.624751194543137</v>
      </c>
      <c r="K70" s="40">
        <f t="shared" si="28"/>
        <v>92.727647934509307</v>
      </c>
      <c r="L70" s="40">
        <f t="shared" si="28"/>
        <v>91.825184057630949</v>
      </c>
      <c r="M70" s="40">
        <f t="shared" si="28"/>
        <v>90.910797317843532</v>
      </c>
      <c r="N70" s="40">
        <f t="shared" si="28"/>
        <v>89.997112456783412</v>
      </c>
      <c r="O70" s="40">
        <f t="shared" si="28"/>
        <v>89.058136305637447</v>
      </c>
      <c r="P70" s="40">
        <f t="shared" si="28"/>
        <v>88.100254116067958</v>
      </c>
      <c r="Q70" s="40">
        <f t="shared" si="28"/>
        <v>87.135382781931085</v>
      </c>
      <c r="R70" s="40">
        <f t="shared" si="28"/>
        <v>86.156734424637619</v>
      </c>
      <c r="S70" s="40">
        <f t="shared" si="28"/>
        <v>85.0753932837317</v>
      </c>
      <c r="T70" s="40">
        <f t="shared" si="28"/>
        <v>84.002589114463007</v>
      </c>
      <c r="U70" s="40">
        <f t="shared" si="28"/>
        <v>82.950069003868464</v>
      </c>
      <c r="V70" s="40">
        <f t="shared" si="28"/>
        <v>81.92026376040161</v>
      </c>
      <c r="W70" s="40">
        <f t="shared" si="28"/>
        <v>80.923088974217777</v>
      </c>
      <c r="X70" s="40">
        <f t="shared" si="28"/>
        <v>79.966697118635466</v>
      </c>
      <c r="Y70" s="40">
        <f t="shared" si="28"/>
        <v>79.044422149742033</v>
      </c>
      <c r="Z70" s="40">
        <f t="shared" si="28"/>
        <v>78.152758518940686</v>
      </c>
      <c r="AA70" s="40">
        <f t="shared" si="28"/>
        <v>77.288236174751432</v>
      </c>
      <c r="AB70" s="40">
        <f t="shared" si="28"/>
        <v>76.460425297206285</v>
      </c>
    </row>
    <row r="71" spans="1:28" x14ac:dyDescent="0.25">
      <c r="A71" s="4" t="s">
        <v>332</v>
      </c>
      <c r="B71" s="40">
        <f t="shared" ref="B71:AB71" si="29">B58+B59</f>
        <v>17263.321056771852</v>
      </c>
      <c r="C71" s="40">
        <f t="shared" si="29"/>
        <v>17584.54770506842</v>
      </c>
      <c r="D71" s="40">
        <f t="shared" si="29"/>
        <v>17884.904577551468</v>
      </c>
      <c r="E71" s="40">
        <f t="shared" si="29"/>
        <v>18190.679718507199</v>
      </c>
      <c r="F71" s="40">
        <f t="shared" si="29"/>
        <v>18505.170357865361</v>
      </c>
      <c r="G71" s="40">
        <f t="shared" si="29"/>
        <v>18829.174907549736</v>
      </c>
      <c r="H71" s="40">
        <f t="shared" si="29"/>
        <v>19162.895436602557</v>
      </c>
      <c r="I71" s="40">
        <f t="shared" si="29"/>
        <v>19474.615147997902</v>
      </c>
      <c r="J71" s="40">
        <f t="shared" si="29"/>
        <v>19792.094541285704</v>
      </c>
      <c r="K71" s="40">
        <f t="shared" si="29"/>
        <v>20112.772767000264</v>
      </c>
      <c r="L71" s="40">
        <f t="shared" si="29"/>
        <v>20435.586966373616</v>
      </c>
      <c r="M71" s="40">
        <f t="shared" si="29"/>
        <v>20759.787189181763</v>
      </c>
      <c r="N71" s="40">
        <f t="shared" si="29"/>
        <v>21082.165162045356</v>
      </c>
      <c r="O71" s="40">
        <f t="shared" si="29"/>
        <v>21400.297242649212</v>
      </c>
      <c r="P71" s="40">
        <f t="shared" si="29"/>
        <v>21712.311996785989</v>
      </c>
      <c r="Q71" s="40">
        <f t="shared" si="29"/>
        <v>22015.091729769396</v>
      </c>
      <c r="R71" s="40">
        <f t="shared" si="29"/>
        <v>22306.081008758614</v>
      </c>
      <c r="S71" s="40">
        <f t="shared" si="29"/>
        <v>22558.505485395559</v>
      </c>
      <c r="T71" s="40">
        <f t="shared" si="29"/>
        <v>22795.386750223741</v>
      </c>
      <c r="U71" s="40">
        <f t="shared" si="29"/>
        <v>23016.280587165413</v>
      </c>
      <c r="V71" s="40">
        <f t="shared" si="29"/>
        <v>23215.74766100444</v>
      </c>
      <c r="W71" s="40">
        <f t="shared" si="29"/>
        <v>23392.106408857006</v>
      </c>
      <c r="X71" s="40">
        <f t="shared" si="29"/>
        <v>23545.199668090328</v>
      </c>
      <c r="Y71" s="40">
        <f t="shared" si="29"/>
        <v>23685.251204765169</v>
      </c>
      <c r="Z71" s="40">
        <f t="shared" si="29"/>
        <v>23802.751085838274</v>
      </c>
      <c r="AA71" s="40">
        <f t="shared" si="29"/>
        <v>23896.495414504352</v>
      </c>
      <c r="AB71" s="40">
        <f t="shared" si="29"/>
        <v>23967.635512224624</v>
      </c>
    </row>
    <row r="72" spans="1:28" x14ac:dyDescent="0.25">
      <c r="A72" s="4" t="s">
        <v>333</v>
      </c>
      <c r="B72" s="40">
        <f t="shared" ref="B72:AB72" si="30">B60+B61+B62+B63</f>
        <v>17730.193587729238</v>
      </c>
      <c r="C72" s="40">
        <f t="shared" si="30"/>
        <v>18059.140551928838</v>
      </c>
      <c r="D72" s="40">
        <f t="shared" si="30"/>
        <v>18366.06267240725</v>
      </c>
      <c r="E72" s="40">
        <f t="shared" si="30"/>
        <v>18678.064646859882</v>
      </c>
      <c r="F72" s="40">
        <f t="shared" si="30"/>
        <v>18998.379864324019</v>
      </c>
      <c r="G72" s="40">
        <f t="shared" si="30"/>
        <v>19327.776032220056</v>
      </c>
      <c r="H72" s="40">
        <f t="shared" si="30"/>
        <v>19666.564416829438</v>
      </c>
      <c r="I72" s="40">
        <f t="shared" si="30"/>
        <v>19981.935663070708</v>
      </c>
      <c r="J72" s="40">
        <f t="shared" si="30"/>
        <v>20302.566685523063</v>
      </c>
      <c r="K72" s="40">
        <f t="shared" si="30"/>
        <v>20625.609397767123</v>
      </c>
      <c r="L72" s="40">
        <f t="shared" si="30"/>
        <v>20949.758187325173</v>
      </c>
      <c r="M72" s="40">
        <f t="shared" si="30"/>
        <v>21274.323321357166</v>
      </c>
      <c r="N72" s="40">
        <f t="shared" si="30"/>
        <v>21595.614117658897</v>
      </c>
      <c r="O72" s="40">
        <f t="shared" si="30"/>
        <v>21911.395461008506</v>
      </c>
      <c r="P72" s="40">
        <f t="shared" si="30"/>
        <v>22219.345986990375</v>
      </c>
      <c r="Q72" s="40">
        <f t="shared" si="30"/>
        <v>22516.369875407054</v>
      </c>
      <c r="R72" s="40">
        <f t="shared" si="30"/>
        <v>22799.667687924386</v>
      </c>
      <c r="S72" s="40">
        <f t="shared" si="30"/>
        <v>23041.757199703057</v>
      </c>
      <c r="T72" s="40">
        <f t="shared" si="30"/>
        <v>23266.357628080437</v>
      </c>
      <c r="U72" s="40">
        <f t="shared" si="30"/>
        <v>23473.099021983719</v>
      </c>
      <c r="V72" s="40">
        <f t="shared" si="30"/>
        <v>23655.975344367838</v>
      </c>
      <c r="W72" s="40">
        <f t="shared" si="30"/>
        <v>23813.392803895069</v>
      </c>
      <c r="X72" s="40">
        <f t="shared" si="30"/>
        <v>23945.324969085654</v>
      </c>
      <c r="Y72" s="40">
        <f t="shared" si="30"/>
        <v>24063.036880749984</v>
      </c>
      <c r="Z72" s="40">
        <f t="shared" si="30"/>
        <v>24156.200500045339</v>
      </c>
      <c r="AA72" s="40">
        <f t="shared" si="30"/>
        <v>24223.411820667545</v>
      </c>
      <c r="AB72" s="40">
        <f t="shared" si="30"/>
        <v>24266.276631407989</v>
      </c>
    </row>
    <row r="73" spans="1:28" x14ac:dyDescent="0.25">
      <c r="A73" s="4" t="s">
        <v>334</v>
      </c>
      <c r="B73" s="40">
        <f t="shared" ref="B73:AB73" si="31">B64+B65</f>
        <v>17962.874348497193</v>
      </c>
      <c r="C73" s="40">
        <f t="shared" si="31"/>
        <v>18286.432051342686</v>
      </c>
      <c r="D73" s="40">
        <f t="shared" si="31"/>
        <v>18587.826215642417</v>
      </c>
      <c r="E73" s="40">
        <f t="shared" si="31"/>
        <v>18894.542865496482</v>
      </c>
      <c r="F73" s="40">
        <f t="shared" si="31"/>
        <v>19210.136262764347</v>
      </c>
      <c r="G73" s="40">
        <f t="shared" si="31"/>
        <v>19535.382533082677</v>
      </c>
      <c r="H73" s="40">
        <f t="shared" si="31"/>
        <v>19870.29710461152</v>
      </c>
      <c r="I73" s="40">
        <f t="shared" si="31"/>
        <v>20181.939905504642</v>
      </c>
      <c r="J73" s="40">
        <f t="shared" si="31"/>
        <v>20499.242376638809</v>
      </c>
      <c r="K73" s="40">
        <f t="shared" si="31"/>
        <v>20819.245297470348</v>
      </c>
      <c r="L73" s="40">
        <f t="shared" si="31"/>
        <v>21140.682789109989</v>
      </c>
      <c r="M73" s="40">
        <f t="shared" si="31"/>
        <v>21462.931170729305</v>
      </c>
      <c r="N73" s="40">
        <f t="shared" si="31"/>
        <v>21782.312010841993</v>
      </c>
      <c r="O73" s="40">
        <f t="shared" si="31"/>
        <v>22096.332553937405</v>
      </c>
      <c r="P73" s="40">
        <f t="shared" si="31"/>
        <v>22403.031310395851</v>
      </c>
      <c r="Q73" s="40">
        <f t="shared" si="31"/>
        <v>22698.974190521749</v>
      </c>
      <c r="R73" s="40">
        <f t="shared" si="31"/>
        <v>22981.613642018805</v>
      </c>
      <c r="S73" s="40">
        <f t="shared" si="31"/>
        <v>23223.267840537555</v>
      </c>
      <c r="T73" s="40">
        <f t="shared" si="31"/>
        <v>23447.627998829299</v>
      </c>
      <c r="U73" s="40">
        <f t="shared" si="31"/>
        <v>23654.257169037755</v>
      </c>
      <c r="V73" s="40">
        <f t="shared" si="31"/>
        <v>23837.456825019854</v>
      </c>
      <c r="W73" s="40">
        <f t="shared" si="31"/>
        <v>23995.523366700072</v>
      </c>
      <c r="X73" s="40">
        <f t="shared" si="31"/>
        <v>24128.171176591335</v>
      </c>
      <c r="Y73" s="40">
        <f t="shared" si="31"/>
        <v>24246.616520885484</v>
      </c>
      <c r="Z73" s="40">
        <f t="shared" si="31"/>
        <v>24340.65351630564</v>
      </c>
      <c r="AA73" s="40">
        <f t="shared" si="31"/>
        <v>24409.223643207668</v>
      </c>
      <c r="AB73" s="40">
        <f t="shared" si="31"/>
        <v>24453.58556010251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56.907233823834275</v>
      </c>
      <c r="C2" s="37">
        <f>BDbDT_calcs!C48</f>
        <v>56.569601877274053</v>
      </c>
      <c r="D2" s="37">
        <f>BDbDT_calcs!D48</f>
        <v>56.162274461630922</v>
      </c>
      <c r="E2" s="37">
        <f>BDbDT_calcs!E48</f>
        <v>55.760681715198572</v>
      </c>
      <c r="F2" s="37">
        <f>BDbDT_calcs!F48</f>
        <v>55.353095950808765</v>
      </c>
      <c r="G2" s="37">
        <f>BDbDT_calcs!G48</f>
        <v>54.939596106776818</v>
      </c>
      <c r="H2" s="37">
        <f>BDbDT_calcs!H48</f>
        <v>54.520541615273885</v>
      </c>
      <c r="I2" s="37">
        <f>BDbDT_calcs!I48</f>
        <v>54.042626739022829</v>
      </c>
      <c r="J2" s="37">
        <f>BDbDT_calcs!J48</f>
        <v>53.531938344426756</v>
      </c>
      <c r="K2" s="37">
        <f>BDbDT_calcs!K48</f>
        <v>53.035109023719428</v>
      </c>
      <c r="L2" s="37">
        <f>BDbDT_calcs!L48</f>
        <v>52.509587190859612</v>
      </c>
      <c r="M2" s="37">
        <f>BDbDT_calcs!M48</f>
        <v>51.997826057576873</v>
      </c>
      <c r="N2" s="37">
        <f>BDbDT_calcs!N48</f>
        <v>51.505783092064902</v>
      </c>
      <c r="O2" s="37">
        <f>BDbDT_calcs!O48</f>
        <v>50.948206673276474</v>
      </c>
      <c r="P2" s="37">
        <f>BDbDT_calcs!P48</f>
        <v>50.416058652037094</v>
      </c>
      <c r="Q2" s="37">
        <f>BDbDT_calcs!Q48</f>
        <v>49.854249129848839</v>
      </c>
      <c r="R2" s="37">
        <f>BDbDT_calcs!R48</f>
        <v>49.292795330527987</v>
      </c>
      <c r="S2" s="37">
        <f>BDbDT_calcs!S48</f>
        <v>48.665371929750663</v>
      </c>
      <c r="T2" s="37">
        <f>BDbDT_calcs!T48</f>
        <v>48.045014376721653</v>
      </c>
      <c r="U2" s="37">
        <f>BDbDT_calcs!U48</f>
        <v>47.431054364070626</v>
      </c>
      <c r="V2" s="37">
        <f>BDbDT_calcs!V48</f>
        <v>46.822687625105686</v>
      </c>
      <c r="W2" s="37">
        <f>BDbDT_calcs!W48</f>
        <v>46.225167615323869</v>
      </c>
      <c r="X2" s="37">
        <f>BDbDT_calcs!X48</f>
        <v>45.680433128816446</v>
      </c>
      <c r="Y2" s="37">
        <f>BDbDT_calcs!Y48</f>
        <v>45.139101748026746</v>
      </c>
      <c r="Z2" s="37">
        <f>BDbDT_calcs!Z48</f>
        <v>44.631029340317447</v>
      </c>
      <c r="AA2" s="37">
        <f>BDbDT_calcs!AA48</f>
        <v>44.131079176546521</v>
      </c>
      <c r="AB2" s="37">
        <f>BDbDT_calcs!AB48</f>
        <v>43.632460675293473</v>
      </c>
    </row>
    <row r="3" spans="1:28" x14ac:dyDescent="0.25">
      <c r="A3" s="4" t="s">
        <v>216</v>
      </c>
      <c r="B3" s="37">
        <f>BDbDT_calcs!B49</f>
        <v>44.089781565738278</v>
      </c>
      <c r="C3" s="37">
        <f>BDbDT_calcs!C49</f>
        <v>43.920078454592165</v>
      </c>
      <c r="D3" s="37">
        <f>BDbDT_calcs!D49</f>
        <v>43.701166740260589</v>
      </c>
      <c r="E3" s="37">
        <f>BDbDT_calcs!E49</f>
        <v>43.48093690350629</v>
      </c>
      <c r="F3" s="37">
        <f>BDbDT_calcs!F49</f>
        <v>43.253832159383386</v>
      </c>
      <c r="G3" s="37">
        <f>BDbDT_calcs!G49</f>
        <v>43.031745073386539</v>
      </c>
      <c r="H3" s="37">
        <f>BDbDT_calcs!H49</f>
        <v>42.80911432150684</v>
      </c>
      <c r="I3" s="37">
        <f>BDbDT_calcs!I49</f>
        <v>42.496491827879659</v>
      </c>
      <c r="J3" s="37">
        <f>BDbDT_calcs!J49</f>
        <v>42.209210519011613</v>
      </c>
      <c r="K3" s="37">
        <f>BDbDT_calcs!K49</f>
        <v>41.892612733538087</v>
      </c>
      <c r="L3" s="37">
        <f>BDbDT_calcs!L49</f>
        <v>41.593948469481049</v>
      </c>
      <c r="M3" s="37">
        <f>BDbDT_calcs!M49</f>
        <v>41.265975396671813</v>
      </c>
      <c r="N3" s="37">
        <f>BDbDT_calcs!N49</f>
        <v>40.914513860193892</v>
      </c>
      <c r="O3" s="37">
        <f>BDbDT_calcs!O49</f>
        <v>40.59855189267298</v>
      </c>
      <c r="P3" s="37">
        <f>BDbDT_calcs!P49</f>
        <v>40.229319966355625</v>
      </c>
      <c r="Q3" s="37">
        <f>BDbDT_calcs!Q49</f>
        <v>39.877499846561555</v>
      </c>
      <c r="R3" s="37">
        <f>BDbDT_calcs!R49</f>
        <v>39.501395044148381</v>
      </c>
      <c r="S3" s="37">
        <f>BDbDT_calcs!S49</f>
        <v>39.087154384665645</v>
      </c>
      <c r="T3" s="37">
        <f>BDbDT_calcs!T49</f>
        <v>38.666754068948613</v>
      </c>
      <c r="U3" s="37">
        <f>BDbDT_calcs!U49</f>
        <v>38.251538511269786</v>
      </c>
      <c r="V3" s="37">
        <f>BDbDT_calcs!V49</f>
        <v>37.852750160074585</v>
      </c>
      <c r="W3" s="37">
        <f>BDbDT_calcs!W49</f>
        <v>37.463816955467472</v>
      </c>
      <c r="X3" s="37">
        <f>BDbDT_calcs!X49</f>
        <v>37.072228621691295</v>
      </c>
      <c r="Y3" s="37">
        <f>BDbDT_calcs!Y49</f>
        <v>36.70723387380454</v>
      </c>
      <c r="Z3" s="37">
        <f>BDbDT_calcs!Z49</f>
        <v>36.338576398162701</v>
      </c>
      <c r="AA3" s="37">
        <f>BDbDT_calcs!AA49</f>
        <v>35.98947339453467</v>
      </c>
      <c r="AB3" s="37">
        <f>BDbDT_calcs!AB49</f>
        <v>35.677298681735984</v>
      </c>
    </row>
    <row r="4" spans="1:28" x14ac:dyDescent="0.25">
      <c r="A4" s="4" t="s">
        <v>217</v>
      </c>
      <c r="B4" s="37">
        <f>BDbDT_calcs!B50</f>
        <v>67.650406555788038</v>
      </c>
      <c r="C4" s="37">
        <f>BDbDT_calcs!C50</f>
        <v>67.313457043559424</v>
      </c>
      <c r="D4" s="37">
        <f>BDbDT_calcs!D50</f>
        <v>66.907801628048603</v>
      </c>
      <c r="E4" s="37">
        <f>BDbDT_calcs!E50</f>
        <v>66.495305619453617</v>
      </c>
      <c r="F4" s="37">
        <f>BDbDT_calcs!F50</f>
        <v>66.083339618347878</v>
      </c>
      <c r="G4" s="37">
        <f>BDbDT_calcs!G50</f>
        <v>65.678934802426028</v>
      </c>
      <c r="H4" s="37">
        <f>BDbDT_calcs!H50</f>
        <v>65.254995854086204</v>
      </c>
      <c r="I4" s="37">
        <f>BDbDT_calcs!I50</f>
        <v>64.745730190218097</v>
      </c>
      <c r="J4" s="37">
        <f>BDbDT_calcs!J50</f>
        <v>64.213636548742798</v>
      </c>
      <c r="K4" s="37">
        <f>BDbDT_calcs!K50</f>
        <v>63.663276641206608</v>
      </c>
      <c r="L4" s="37">
        <f>BDbDT_calcs!L50</f>
        <v>63.087755980630973</v>
      </c>
      <c r="M4" s="37">
        <f>BDbDT_calcs!M50</f>
        <v>62.487000776363246</v>
      </c>
      <c r="N4" s="37">
        <f>BDbDT_calcs!N50</f>
        <v>61.860845663965655</v>
      </c>
      <c r="O4" s="37">
        <f>BDbDT_calcs!O50</f>
        <v>61.188389302016162</v>
      </c>
      <c r="P4" s="37">
        <f>BDbDT_calcs!P50</f>
        <v>60.496914070016771</v>
      </c>
      <c r="Q4" s="37">
        <f>BDbDT_calcs!Q50</f>
        <v>59.779058612925034</v>
      </c>
      <c r="R4" s="37">
        <f>BDbDT_calcs!R50</f>
        <v>59.034265541591793</v>
      </c>
      <c r="S4" s="37">
        <f>BDbDT_calcs!S50</f>
        <v>58.211542455447685</v>
      </c>
      <c r="T4" s="37">
        <f>BDbDT_calcs!T50</f>
        <v>57.397258974603872</v>
      </c>
      <c r="U4" s="37">
        <f>BDbDT_calcs!U50</f>
        <v>56.590584952158508</v>
      </c>
      <c r="V4" s="37">
        <f>BDbDT_calcs!V50</f>
        <v>55.797456057221012</v>
      </c>
      <c r="W4" s="37">
        <f>BDbDT_calcs!W50</f>
        <v>55.030698580748719</v>
      </c>
      <c r="X4" s="37">
        <f>BDbDT_calcs!X50</f>
        <v>54.296264425523674</v>
      </c>
      <c r="Y4" s="37">
        <f>BDbDT_calcs!Y50</f>
        <v>53.57963320324081</v>
      </c>
      <c r="Z4" s="37">
        <f>BDbDT_calcs!Z50</f>
        <v>52.886883330183615</v>
      </c>
      <c r="AA4" s="37">
        <f>BDbDT_calcs!AA50</f>
        <v>52.231099688444623</v>
      </c>
      <c r="AB4" s="37">
        <f>BDbDT_calcs!AB50</f>
        <v>51.597646888786393</v>
      </c>
    </row>
    <row r="5" spans="1:28" x14ac:dyDescent="0.25">
      <c r="A5" s="4" t="s">
        <v>218</v>
      </c>
      <c r="B5" s="37">
        <f>BDbDT_calcs!B51</f>
        <v>11.646037604212252</v>
      </c>
      <c r="C5" s="37">
        <f>BDbDT_calcs!C51</f>
        <v>11.507850724210494</v>
      </c>
      <c r="D5" s="37">
        <f>BDbDT_calcs!D51</f>
        <v>11.359064904208267</v>
      </c>
      <c r="E5" s="37">
        <f>BDbDT_calcs!E51</f>
        <v>11.206370731958829</v>
      </c>
      <c r="F5" s="37">
        <f>BDbDT_calcs!F51</f>
        <v>11.049816251913102</v>
      </c>
      <c r="G5" s="37">
        <f>BDbDT_calcs!G51</f>
        <v>10.894384706690099</v>
      </c>
      <c r="H5" s="37">
        <f>BDbDT_calcs!H51</f>
        <v>10.732616391288557</v>
      </c>
      <c r="I5" s="37">
        <f>BDbDT_calcs!I51</f>
        <v>10.558126878689166</v>
      </c>
      <c r="J5" s="37">
        <f>BDbDT_calcs!J51</f>
        <v>10.385594959301789</v>
      </c>
      <c r="K5" s="37">
        <f>BDbDT_calcs!K51</f>
        <v>10.214596695369195</v>
      </c>
      <c r="L5" s="37">
        <f>BDbDT_calcs!L51</f>
        <v>10.050097887314656</v>
      </c>
      <c r="M5" s="37">
        <f>BDbDT_calcs!M51</f>
        <v>9.8945582835358028</v>
      </c>
      <c r="N5" s="37">
        <f>BDbDT_calcs!N51</f>
        <v>9.7404245821824329</v>
      </c>
      <c r="O5" s="37">
        <f>BDbDT_calcs!O51</f>
        <v>9.5951585445946552</v>
      </c>
      <c r="P5" s="37">
        <f>BDbDT_calcs!P51</f>
        <v>9.451195641339293</v>
      </c>
      <c r="Q5" s="37">
        <f>BDbDT_calcs!Q51</f>
        <v>9.3134730792306222</v>
      </c>
      <c r="R5" s="37">
        <f>BDbDT_calcs!R51</f>
        <v>9.1794075356445699</v>
      </c>
      <c r="S5" s="37">
        <f>BDbDT_calcs!S51</f>
        <v>9.0364342400632243</v>
      </c>
      <c r="T5" s="37">
        <f>BDbDT_calcs!T51</f>
        <v>8.8972789872650306</v>
      </c>
      <c r="U5" s="37">
        <f>BDbDT_calcs!U51</f>
        <v>8.7592973908783343</v>
      </c>
      <c r="V5" s="37">
        <f>BDbDT_calcs!V51</f>
        <v>8.6273556100066564</v>
      </c>
      <c r="W5" s="37">
        <f>BDbDT_calcs!W51</f>
        <v>8.4937545850726917</v>
      </c>
      <c r="X5" s="37">
        <f>BDbDT_calcs!X51</f>
        <v>8.3658745077757715</v>
      </c>
      <c r="Y5" s="37">
        <f>BDbDT_calcs!Y51</f>
        <v>8.2461305381484031</v>
      </c>
      <c r="Z5" s="37">
        <f>BDbDT_calcs!Z51</f>
        <v>8.1268412370935899</v>
      </c>
      <c r="AA5" s="37">
        <f>BDbDT_calcs!AA51</f>
        <v>8.0129134379885336</v>
      </c>
      <c r="AB5" s="37">
        <f>BDbDT_calcs!AB51</f>
        <v>7.8991857812057082</v>
      </c>
    </row>
    <row r="6" spans="1:28" x14ac:dyDescent="0.25">
      <c r="A6" s="4" t="s">
        <v>219</v>
      </c>
      <c r="B6" s="37">
        <f>BDbDT_calcs!B52</f>
        <v>2.4679314878448988</v>
      </c>
      <c r="C6" s="37">
        <f>BDbDT_calcs!C52</f>
        <v>2.4805514189848119</v>
      </c>
      <c r="D6" s="37">
        <f>BDbDT_calcs!D52</f>
        <v>2.4904395535168815</v>
      </c>
      <c r="E6" s="37">
        <f>BDbDT_calcs!E52</f>
        <v>2.5034879908821521</v>
      </c>
      <c r="F6" s="37">
        <f>BDbDT_calcs!F52</f>
        <v>2.5168547159292869</v>
      </c>
      <c r="G6" s="37">
        <f>BDbDT_calcs!G52</f>
        <v>2.5305562731207982</v>
      </c>
      <c r="H6" s="37">
        <f>BDbDT_calcs!H52</f>
        <v>2.5446233665824458</v>
      </c>
      <c r="I6" s="37">
        <f>BDbDT_calcs!I52</f>
        <v>2.5551124763616881</v>
      </c>
      <c r="J6" s="37">
        <f>BDbDT_calcs!J52</f>
        <v>2.5660417445613009</v>
      </c>
      <c r="K6" s="37">
        <f>BDbDT_calcs!K52</f>
        <v>2.5830922157177123</v>
      </c>
      <c r="L6" s="37">
        <f>BDbDT_calcs!L52</f>
        <v>2.5947595997964941</v>
      </c>
      <c r="M6" s="37">
        <f>BDbDT_calcs!M52</f>
        <v>2.6068166093934524</v>
      </c>
      <c r="N6" s="37">
        <f>BDbDT_calcs!N52</f>
        <v>2.6192739079913769</v>
      </c>
      <c r="O6" s="37">
        <f>BDbDT_calcs!O52</f>
        <v>2.6321425710533379</v>
      </c>
      <c r="P6" s="37">
        <f>BDbDT_calcs!P52</f>
        <v>2.6425457800914396</v>
      </c>
      <c r="Q6" s="37">
        <f>BDbDT_calcs!Q52</f>
        <v>2.6562537991044732</v>
      </c>
      <c r="R6" s="37">
        <f>BDbDT_calcs!R52</f>
        <v>2.6646034710330335</v>
      </c>
      <c r="S6" s="37">
        <f>BDbDT_calcs!S52</f>
        <v>2.6733037124620167</v>
      </c>
      <c r="T6" s="37">
        <f>BDbDT_calcs!T52</f>
        <v>2.6852899505107422</v>
      </c>
      <c r="U6" s="37">
        <f>BDbDT_calcs!U52</f>
        <v>2.691872298615352</v>
      </c>
      <c r="V6" s="37">
        <f>BDbDT_calcs!V52</f>
        <v>2.7016946450501598</v>
      </c>
      <c r="W6" s="37">
        <f>BDbDT_calcs!W52</f>
        <v>2.7118338951259653</v>
      </c>
      <c r="X6" s="37">
        <f>BDbDT_calcs!X52</f>
        <v>2.7193597808923062</v>
      </c>
      <c r="Y6" s="37">
        <f>BDbDT_calcs!Y52</f>
        <v>2.7329392766646694</v>
      </c>
      <c r="Z6" s="37">
        <f>BDbDT_calcs!Z52</f>
        <v>2.7409505354306232</v>
      </c>
      <c r="AA6" s="37">
        <f>BDbDT_calcs!AA52</f>
        <v>2.7491504920235843</v>
      </c>
      <c r="AB6" s="37">
        <f>BDbDT_calcs!AB52</f>
        <v>2.7575041838348224</v>
      </c>
    </row>
    <row r="7" spans="1:28" x14ac:dyDescent="0.25">
      <c r="A7" s="4" t="s">
        <v>220</v>
      </c>
      <c r="B7" s="37">
        <f>BDbDT_calcs!B53</f>
        <v>8.9234239855962727</v>
      </c>
      <c r="C7" s="37">
        <f>BDbDT_calcs!C53</f>
        <v>9.0144553378853036</v>
      </c>
      <c r="D7" s="37">
        <f>BDbDT_calcs!D53</f>
        <v>9.0779828040363917</v>
      </c>
      <c r="E7" s="37">
        <f>BDbDT_calcs!E53</f>
        <v>9.1543733877633304</v>
      </c>
      <c r="F7" s="37">
        <f>BDbDT_calcs!F53</f>
        <v>9.2260680125459338</v>
      </c>
      <c r="G7" s="37">
        <f>BDbDT_calcs!G53</f>
        <v>9.2872183472005183</v>
      </c>
      <c r="H7" s="37">
        <f>BDbDT_calcs!H53</f>
        <v>9.3733708421626467</v>
      </c>
      <c r="I7" s="37">
        <f>BDbDT_calcs!I53</f>
        <v>9.4227333070893078</v>
      </c>
      <c r="J7" s="37">
        <f>BDbDT_calcs!J53</f>
        <v>9.4796184856517538</v>
      </c>
      <c r="K7" s="37">
        <f>BDbDT_calcs!K53</f>
        <v>9.5201176253453426</v>
      </c>
      <c r="L7" s="37">
        <f>BDbDT_calcs!L53</f>
        <v>9.5679117336839212</v>
      </c>
      <c r="M7" s="37">
        <f>BDbDT_calcs!M53</f>
        <v>9.5994217944647779</v>
      </c>
      <c r="N7" s="37">
        <f>BDbDT_calcs!N53</f>
        <v>9.6442175216211812</v>
      </c>
      <c r="O7" s="37">
        <f>BDbDT_calcs!O53</f>
        <v>9.6787020440372107</v>
      </c>
      <c r="P7" s="37">
        <f>BDbDT_calcs!P53</f>
        <v>9.7028809651397179</v>
      </c>
      <c r="Q7" s="37">
        <f>BDbDT_calcs!Q53</f>
        <v>9.7167299193804801</v>
      </c>
      <c r="R7" s="37">
        <f>BDbDT_calcs!R53</f>
        <v>9.732056694489378</v>
      </c>
      <c r="S7" s="37">
        <f>BDbDT_calcs!S53</f>
        <v>9.7321665104357979</v>
      </c>
      <c r="T7" s="37">
        <f>BDbDT_calcs!T53</f>
        <v>9.7099988666120201</v>
      </c>
      <c r="U7" s="37">
        <f>BDbDT_calcs!U53</f>
        <v>9.7010307428308931</v>
      </c>
      <c r="V7" s="37">
        <f>BDbDT_calcs!V53</f>
        <v>9.681426426729848</v>
      </c>
      <c r="W7" s="37">
        <f>BDbDT_calcs!W53</f>
        <v>9.6629048608140788</v>
      </c>
      <c r="X7" s="37">
        <f>BDbDT_calcs!X53</f>
        <v>9.6572045053496307</v>
      </c>
      <c r="Y7" s="37">
        <f>BDbDT_calcs!Y53</f>
        <v>9.6345428705981941</v>
      </c>
      <c r="Z7" s="37">
        <f>BDbDT_calcs!Z53</f>
        <v>9.630438176780034</v>
      </c>
      <c r="AA7" s="37">
        <f>BDbDT_calcs!AA53</f>
        <v>9.6090814572353729</v>
      </c>
      <c r="AB7" s="37">
        <f>BDbDT_calcs!AB53</f>
        <v>9.6060493696613154</v>
      </c>
    </row>
    <row r="8" spans="1:28" x14ac:dyDescent="0.25">
      <c r="A8" s="4" t="s">
        <v>221</v>
      </c>
      <c r="B8" s="37">
        <f>BDbDT_calcs!B54</f>
        <v>15.927213874693571</v>
      </c>
      <c r="C8" s="37">
        <f>BDbDT_calcs!C54</f>
        <v>16.019526949552599</v>
      </c>
      <c r="D8" s="37">
        <f>BDbDT_calcs!D54</f>
        <v>16.102532031348094</v>
      </c>
      <c r="E8" s="37">
        <f>BDbDT_calcs!E54</f>
        <v>16.19156627153238</v>
      </c>
      <c r="F8" s="37">
        <f>BDbDT_calcs!F54</f>
        <v>16.295148930421096</v>
      </c>
      <c r="G8" s="37">
        <f>BDbDT_calcs!G54</f>
        <v>16.384267766038182</v>
      </c>
      <c r="H8" s="37">
        <f>BDbDT_calcs!H54</f>
        <v>16.47158508887879</v>
      </c>
      <c r="I8" s="37">
        <f>BDbDT_calcs!I54</f>
        <v>16.531572281907625</v>
      </c>
      <c r="J8" s="37">
        <f>BDbDT_calcs!J54</f>
        <v>16.586079698136167</v>
      </c>
      <c r="K8" s="37">
        <f>BDbDT_calcs!K54</f>
        <v>16.634598955868611</v>
      </c>
      <c r="L8" s="37">
        <f>BDbDT_calcs!L54</f>
        <v>16.67304713038574</v>
      </c>
      <c r="M8" s="37">
        <f>BDbDT_calcs!M54</f>
        <v>16.701488168125806</v>
      </c>
      <c r="N8" s="37">
        <f>BDbDT_calcs!N54</f>
        <v>16.719960711011375</v>
      </c>
      <c r="O8" s="37">
        <f>BDbDT_calcs!O54</f>
        <v>16.728494229531698</v>
      </c>
      <c r="P8" s="37">
        <f>BDbDT_calcs!P54</f>
        <v>16.71456674174901</v>
      </c>
      <c r="Q8" s="37">
        <f>BDbDT_calcs!Q54</f>
        <v>16.690631849026119</v>
      </c>
      <c r="R8" s="37">
        <f>BDbDT_calcs!R54</f>
        <v>16.644064990697224</v>
      </c>
      <c r="S8" s="37">
        <f>BDbDT_calcs!S54</f>
        <v>16.581538962593378</v>
      </c>
      <c r="T8" s="37">
        <f>BDbDT_calcs!T54</f>
        <v>16.504719812225741</v>
      </c>
      <c r="U8" s="37">
        <f>BDbDT_calcs!U54</f>
        <v>16.413429274218871</v>
      </c>
      <c r="V8" s="37">
        <f>BDbDT_calcs!V54</f>
        <v>16.324161892496246</v>
      </c>
      <c r="W8" s="37">
        <f>BDbDT_calcs!W54</f>
        <v>16.215731618513857</v>
      </c>
      <c r="X8" s="37">
        <f>BDbDT_calcs!X54</f>
        <v>16.129739907444232</v>
      </c>
      <c r="Y8" s="37">
        <f>BDbDT_calcs!Y54</f>
        <v>16.040902985909266</v>
      </c>
      <c r="Z8" s="37">
        <f>BDbDT_calcs!Z54</f>
        <v>15.953172428115778</v>
      </c>
      <c r="AA8" s="37">
        <f>BDbDT_calcs!AA54</f>
        <v>15.870513701496684</v>
      </c>
      <c r="AB8" s="37">
        <f>BDbDT_calcs!AB54</f>
        <v>15.796915698096598</v>
      </c>
    </row>
    <row r="9" spans="1:28" x14ac:dyDescent="0.25">
      <c r="A9" s="4" t="s">
        <v>222</v>
      </c>
      <c r="B9" s="37">
        <f>BDbDT_calcs!B55</f>
        <v>83.676668706887213</v>
      </c>
      <c r="C9" s="37">
        <f>BDbDT_calcs!C55</f>
        <v>82.991965054116292</v>
      </c>
      <c r="D9" s="37">
        <f>BDbDT_calcs!D55</f>
        <v>82.194256621607934</v>
      </c>
      <c r="E9" s="37">
        <f>BDbDT_calcs!E55</f>
        <v>81.391876249887858</v>
      </c>
      <c r="F9" s="37">
        <f>BDbDT_calcs!F55</f>
        <v>80.553208603254546</v>
      </c>
      <c r="G9" s="37">
        <f>BDbDT_calcs!G55</f>
        <v>79.736071654462577</v>
      </c>
      <c r="H9" s="37">
        <f>BDbDT_calcs!H55</f>
        <v>78.915243847609332</v>
      </c>
      <c r="I9" s="37">
        <f>BDbDT_calcs!I55</f>
        <v>77.976270854314905</v>
      </c>
      <c r="J9" s="37">
        <f>BDbDT_calcs!J55</f>
        <v>77.038671496406977</v>
      </c>
      <c r="K9" s="37">
        <f>BDbDT_calcs!K55</f>
        <v>76.093048978640695</v>
      </c>
      <c r="L9" s="37">
        <f>BDbDT_calcs!L55</f>
        <v>75.152136927245209</v>
      </c>
      <c r="M9" s="37">
        <f>BDbDT_calcs!M55</f>
        <v>74.209309149717726</v>
      </c>
      <c r="N9" s="37">
        <f>BDbDT_calcs!N55</f>
        <v>73.277151745772045</v>
      </c>
      <c r="O9" s="37">
        <f>BDbDT_calcs!O55</f>
        <v>72.329642076105756</v>
      </c>
      <c r="P9" s="37">
        <f>BDbDT_calcs!P55</f>
        <v>71.385687374318948</v>
      </c>
      <c r="Q9" s="37">
        <f>BDbDT_calcs!Q55</f>
        <v>70.444750932904967</v>
      </c>
      <c r="R9" s="37">
        <f>BDbDT_calcs!R55</f>
        <v>69.512669433940403</v>
      </c>
      <c r="S9" s="37">
        <f>BDbDT_calcs!S55</f>
        <v>68.493854321138315</v>
      </c>
      <c r="T9" s="37">
        <f>BDbDT_calcs!T55</f>
        <v>67.497869302237262</v>
      </c>
      <c r="U9" s="37">
        <f>BDbDT_calcs!U55</f>
        <v>66.536639729649593</v>
      </c>
      <c r="V9" s="37">
        <f>BDbDT_calcs!V55</f>
        <v>65.596101867905361</v>
      </c>
      <c r="W9" s="37">
        <f>BDbDT_calcs!W55</f>
        <v>64.70735735570392</v>
      </c>
      <c r="X9" s="37">
        <f>BDbDT_calcs!X55</f>
        <v>63.836957211191233</v>
      </c>
      <c r="Y9" s="37">
        <f>BDbDT_calcs!Y55</f>
        <v>63.003519163832763</v>
      </c>
      <c r="Z9" s="37">
        <f>BDbDT_calcs!Z55</f>
        <v>62.199586090824909</v>
      </c>
      <c r="AA9" s="37">
        <f>BDbDT_calcs!AA55</f>
        <v>61.417722473254756</v>
      </c>
      <c r="AB9" s="37">
        <f>BDbDT_calcs!AB55</f>
        <v>60.66350959910968</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9023.9961226429914</v>
      </c>
      <c r="C2" s="37">
        <f>BDbDT_calcs!C58</f>
        <v>9203.2867252845117</v>
      </c>
      <c r="D2" s="37">
        <f>BDbDT_calcs!D58</f>
        <v>9371.3614638701456</v>
      </c>
      <c r="E2" s="37">
        <f>BDbDT_calcs!E58</f>
        <v>9539.9941366820603</v>
      </c>
      <c r="F2" s="37">
        <f>BDbDT_calcs!F58</f>
        <v>9710.0082949113548</v>
      </c>
      <c r="G2" s="37">
        <f>BDbDT_calcs!G58</f>
        <v>9881.6995824346632</v>
      </c>
      <c r="H2" s="37">
        <f>BDbDT_calcs!H58</f>
        <v>10054.401304774003</v>
      </c>
      <c r="I2" s="37">
        <f>BDbDT_calcs!I58</f>
        <v>10211.63173669917</v>
      </c>
      <c r="J2" s="37">
        <f>BDbDT_calcs!J58</f>
        <v>10367.503948879061</v>
      </c>
      <c r="K2" s="37">
        <f>BDbDT_calcs!K58</f>
        <v>10521.843653126294</v>
      </c>
      <c r="L2" s="37">
        <f>BDbDT_calcs!L58</f>
        <v>10673.765891634916</v>
      </c>
      <c r="M2" s="37">
        <f>BDbDT_calcs!M58</f>
        <v>10823.095009407276</v>
      </c>
      <c r="N2" s="37">
        <f>BDbDT_calcs!N58</f>
        <v>10968.725790298673</v>
      </c>
      <c r="O2" s="37">
        <f>BDbDT_calcs!O58</f>
        <v>11110.242647716515</v>
      </c>
      <c r="P2" s="37">
        <f>BDbDT_calcs!P58</f>
        <v>11246.213558530268</v>
      </c>
      <c r="Q2" s="37">
        <f>BDbDT_calcs!Q58</f>
        <v>11376.398559439902</v>
      </c>
      <c r="R2" s="37">
        <f>BDbDT_calcs!R58</f>
        <v>11499.054998173191</v>
      </c>
      <c r="S2" s="37">
        <f>BDbDT_calcs!S58</f>
        <v>11601.466170950394</v>
      </c>
      <c r="T2" s="37">
        <f>BDbDT_calcs!T58</f>
        <v>11695.634619802353</v>
      </c>
      <c r="U2" s="37">
        <f>BDbDT_calcs!U58</f>
        <v>11782.158148779659</v>
      </c>
      <c r="V2" s="37">
        <f>BDbDT_calcs!V58</f>
        <v>11858.167535593688</v>
      </c>
      <c r="W2" s="37">
        <f>BDbDT_calcs!W58</f>
        <v>11924.31042228048</v>
      </c>
      <c r="X2" s="37">
        <f>BDbDT_calcs!X58</f>
        <v>11979.875344469936</v>
      </c>
      <c r="Y2" s="37">
        <f>BDbDT_calcs!Y58</f>
        <v>12029.750976610549</v>
      </c>
      <c r="Z2" s="37">
        <f>BDbDT_calcs!Z58</f>
        <v>12069.493268151018</v>
      </c>
      <c r="AA2" s="37">
        <f>BDbDT_calcs!AA58</f>
        <v>12099.779183918943</v>
      </c>
      <c r="AB2" s="37">
        <f>BDbDT_calcs!AB58</f>
        <v>12121.640682651292</v>
      </c>
    </row>
    <row r="3" spans="1:28" x14ac:dyDescent="0.25">
      <c r="A3" s="4" t="s">
        <v>216</v>
      </c>
      <c r="B3" s="37">
        <f>BDbDT_calcs!B59</f>
        <v>8239.3249341288611</v>
      </c>
      <c r="C3" s="37">
        <f>BDbDT_calcs!C59</f>
        <v>8381.2609797839104</v>
      </c>
      <c r="D3" s="37">
        <f>BDbDT_calcs!D59</f>
        <v>8513.543113681324</v>
      </c>
      <c r="E3" s="37">
        <f>BDbDT_calcs!E59</f>
        <v>8650.685581825137</v>
      </c>
      <c r="F3" s="37">
        <f>BDbDT_calcs!F59</f>
        <v>8795.1620629540084</v>
      </c>
      <c r="G3" s="37">
        <f>BDbDT_calcs!G59</f>
        <v>8947.4753251150723</v>
      </c>
      <c r="H3" s="37">
        <f>BDbDT_calcs!H59</f>
        <v>9108.4941318285564</v>
      </c>
      <c r="I3" s="37">
        <f>BDbDT_calcs!I59</f>
        <v>9262.9834112987337</v>
      </c>
      <c r="J3" s="37">
        <f>BDbDT_calcs!J59</f>
        <v>9424.5905924066446</v>
      </c>
      <c r="K3" s="37">
        <f>BDbDT_calcs!K59</f>
        <v>9590.9291138739682</v>
      </c>
      <c r="L3" s="37">
        <f>BDbDT_calcs!L59</f>
        <v>9761.8210747386984</v>
      </c>
      <c r="M3" s="37">
        <f>BDbDT_calcs!M59</f>
        <v>9936.692179774489</v>
      </c>
      <c r="N3" s="37">
        <f>BDbDT_calcs!N59</f>
        <v>10113.439371746681</v>
      </c>
      <c r="O3" s="37">
        <f>BDbDT_calcs!O59</f>
        <v>10290.054594932699</v>
      </c>
      <c r="P3" s="37">
        <f>BDbDT_calcs!P59</f>
        <v>10466.098438255722</v>
      </c>
      <c r="Q3" s="37">
        <f>BDbDT_calcs!Q59</f>
        <v>10638.693170329494</v>
      </c>
      <c r="R3" s="37">
        <f>BDbDT_calcs!R59</f>
        <v>10807.026010585425</v>
      </c>
      <c r="S3" s="37">
        <f>BDbDT_calcs!S59</f>
        <v>10957.039314445163</v>
      </c>
      <c r="T3" s="37">
        <f>BDbDT_calcs!T59</f>
        <v>11099.752130421388</v>
      </c>
      <c r="U3" s="37">
        <f>BDbDT_calcs!U59</f>
        <v>11234.122438385752</v>
      </c>
      <c r="V3" s="37">
        <f>BDbDT_calcs!V59</f>
        <v>11357.580125410752</v>
      </c>
      <c r="W3" s="37">
        <f>BDbDT_calcs!W59</f>
        <v>11467.795986576526</v>
      </c>
      <c r="X3" s="37">
        <f>BDbDT_calcs!X59</f>
        <v>11565.324323620393</v>
      </c>
      <c r="Y3" s="37">
        <f>BDbDT_calcs!Y59</f>
        <v>11655.500228154619</v>
      </c>
      <c r="Z3" s="37">
        <f>BDbDT_calcs!Z59</f>
        <v>11733.257817687256</v>
      </c>
      <c r="AA3" s="37">
        <f>BDbDT_calcs!AA59</f>
        <v>11796.716230585411</v>
      </c>
      <c r="AB3" s="37">
        <f>BDbDT_calcs!AB59</f>
        <v>11845.99482957333</v>
      </c>
    </row>
    <row r="4" spans="1:28" x14ac:dyDescent="0.25">
      <c r="A4" s="4" t="s">
        <v>217</v>
      </c>
      <c r="B4" s="37">
        <f>BDbDT_calcs!B60</f>
        <v>16087.085509283592</v>
      </c>
      <c r="C4" s="37">
        <f>BDbDT_calcs!C60</f>
        <v>16382.808700895926</v>
      </c>
      <c r="D4" s="37">
        <f>BDbDT_calcs!D60</f>
        <v>16657.738759814631</v>
      </c>
      <c r="E4" s="37">
        <f>BDbDT_calcs!E60</f>
        <v>16936.188498693293</v>
      </c>
      <c r="F4" s="37">
        <f>BDbDT_calcs!F60</f>
        <v>17221.65850014141</v>
      </c>
      <c r="G4" s="37">
        <f>BDbDT_calcs!G60</f>
        <v>17514.267738451534</v>
      </c>
      <c r="H4" s="37">
        <f>BDbDT_calcs!H60</f>
        <v>17814.710460462211</v>
      </c>
      <c r="I4" s="37">
        <f>BDbDT_calcs!I60</f>
        <v>18093.141887132646</v>
      </c>
      <c r="J4" s="37">
        <f>BDbDT_calcs!J60</f>
        <v>18375.635695230409</v>
      </c>
      <c r="K4" s="37">
        <f>BDbDT_calcs!K60</f>
        <v>18658.972814917921</v>
      </c>
      <c r="L4" s="37">
        <f>BDbDT_calcs!L60</f>
        <v>18942.191813480156</v>
      </c>
      <c r="M4" s="37">
        <f>BDbDT_calcs!M60</f>
        <v>19224.583355617993</v>
      </c>
      <c r="N4" s="37">
        <f>BDbDT_calcs!N60</f>
        <v>19502.681926082889</v>
      </c>
      <c r="O4" s="37">
        <f>BDbDT_calcs!O60</f>
        <v>19774.562026581305</v>
      </c>
      <c r="P4" s="37">
        <f>BDbDT_calcs!P60</f>
        <v>20037.677507145618</v>
      </c>
      <c r="Q4" s="37">
        <f>BDbDT_calcs!Q60</f>
        <v>20289.322171976281</v>
      </c>
      <c r="R4" s="37">
        <f>BDbDT_calcs!R60</f>
        <v>20526.875600422551</v>
      </c>
      <c r="S4" s="37">
        <f>BDbDT_calcs!S60</f>
        <v>20725.668574020194</v>
      </c>
      <c r="T4" s="37">
        <f>BDbDT_calcs!T60</f>
        <v>20907.003484012395</v>
      </c>
      <c r="U4" s="37">
        <f>BDbDT_calcs!U60</f>
        <v>21070.775724787451</v>
      </c>
      <c r="V4" s="37">
        <f>BDbDT_calcs!V60</f>
        <v>21211.281380453696</v>
      </c>
      <c r="W4" s="37">
        <f>BDbDT_calcs!W60</f>
        <v>21326.80701747983</v>
      </c>
      <c r="X4" s="37">
        <f>BDbDT_calcs!X60</f>
        <v>21417.674928567962</v>
      </c>
      <c r="Y4" s="37">
        <f>BDbDT_calcs!Y60</f>
        <v>21494.695904699813</v>
      </c>
      <c r="Z4" s="37">
        <f>BDbDT_calcs!Z60</f>
        <v>21548.134247747235</v>
      </c>
      <c r="AA4" s="37">
        <f>BDbDT_calcs!AA60</f>
        <v>21576.510900758487</v>
      </c>
      <c r="AB4" s="37">
        <f>BDbDT_calcs!AB60</f>
        <v>21581.514089511908</v>
      </c>
    </row>
    <row r="5" spans="1:28" x14ac:dyDescent="0.25">
      <c r="A5" s="4" t="s">
        <v>218</v>
      </c>
      <c r="B5" s="37">
        <f>BDbDT_calcs!B61</f>
        <v>900.37463533343725</v>
      </c>
      <c r="C5" s="37">
        <f>BDbDT_calcs!C61</f>
        <v>915.44142099071644</v>
      </c>
      <c r="D5" s="37">
        <f>BDbDT_calcs!D61</f>
        <v>929.4923472373049</v>
      </c>
      <c r="E5" s="37">
        <f>BDbDT_calcs!E61</f>
        <v>943.69923885214359</v>
      </c>
      <c r="F5" s="37">
        <f>BDbDT_calcs!F61</f>
        <v>958.37357252857714</v>
      </c>
      <c r="G5" s="37">
        <f>BDbDT_calcs!G61</f>
        <v>973.54592149058897</v>
      </c>
      <c r="H5" s="37">
        <f>BDbDT_calcs!H61</f>
        <v>989.19782053794688</v>
      </c>
      <c r="I5" s="37">
        <f>BDbDT_calcs!I61</f>
        <v>1003.8151639542726</v>
      </c>
      <c r="J5" s="37">
        <f>BDbDT_calcs!J61</f>
        <v>1018.8713894936028</v>
      </c>
      <c r="K5" s="37">
        <f>BDbDT_calcs!K61</f>
        <v>1034.3054502977952</v>
      </c>
      <c r="L5" s="37">
        <f>BDbDT_calcs!L61</f>
        <v>1050.1226721300736</v>
      </c>
      <c r="M5" s="37">
        <f>BDbDT_calcs!M61</f>
        <v>1066.2731259758223</v>
      </c>
      <c r="N5" s="37">
        <f>BDbDT_calcs!N61</f>
        <v>1082.8113669454349</v>
      </c>
      <c r="O5" s="37">
        <f>BDbDT_calcs!O61</f>
        <v>1099.4669508515544</v>
      </c>
      <c r="P5" s="37">
        <f>BDbDT_calcs!P61</f>
        <v>1116.3636030818859</v>
      </c>
      <c r="Q5" s="37">
        <f>BDbDT_calcs!Q61</f>
        <v>1133.2771462927569</v>
      </c>
      <c r="R5" s="37">
        <f>BDbDT_calcs!R61</f>
        <v>1150.1820232993332</v>
      </c>
      <c r="S5" s="37">
        <f>BDbDT_calcs!S61</f>
        <v>1165.7979116724232</v>
      </c>
      <c r="T5" s="37">
        <f>BDbDT_calcs!T61</f>
        <v>1181.1564643807599</v>
      </c>
      <c r="U5" s="37">
        <f>BDbDT_calcs!U61</f>
        <v>1196.2744217347981</v>
      </c>
      <c r="V5" s="37">
        <f>BDbDT_calcs!V61</f>
        <v>1211.010400486042</v>
      </c>
      <c r="W5" s="37">
        <f>BDbDT_calcs!W61</f>
        <v>1225.1367482096</v>
      </c>
      <c r="X5" s="37">
        <f>BDbDT_calcs!X61</f>
        <v>1238.566966287402</v>
      </c>
      <c r="Y5" s="37">
        <f>BDbDT_calcs!Y61</f>
        <v>1251.6095739520024</v>
      </c>
      <c r="Z5" s="37">
        <f>BDbDT_calcs!Z61</f>
        <v>1263.9152692601856</v>
      </c>
      <c r="AA5" s="37">
        <f>BDbDT_calcs!AA61</f>
        <v>1275.4677251356811</v>
      </c>
      <c r="AB5" s="37">
        <f>BDbDT_calcs!AB61</f>
        <v>1286.1287724658316</v>
      </c>
    </row>
    <row r="6" spans="1:28" x14ac:dyDescent="0.25">
      <c r="A6" s="4" t="s">
        <v>219</v>
      </c>
      <c r="B6" s="37">
        <f>BDbDT_calcs!B62</f>
        <v>349.27393215837918</v>
      </c>
      <c r="C6" s="37">
        <f>BDbDT_calcs!C62</f>
        <v>358.07793296137004</v>
      </c>
      <c r="D6" s="37">
        <f>BDbDT_calcs!D62</f>
        <v>366.75241212679163</v>
      </c>
      <c r="E6" s="37">
        <f>BDbDT_calcs!E62</f>
        <v>376.01469857083129</v>
      </c>
      <c r="F6" s="37">
        <f>BDbDT_calcs!F62</f>
        <v>385.9790864241362</v>
      </c>
      <c r="G6" s="37">
        <f>BDbDT_calcs!G62</f>
        <v>396.64382376051321</v>
      </c>
      <c r="H6" s="37">
        <f>BDbDT_calcs!H62</f>
        <v>408.0417399145054</v>
      </c>
      <c r="I6" s="37">
        <f>BDbDT_calcs!I62</f>
        <v>419.53103263228854</v>
      </c>
      <c r="J6" s="37">
        <f>BDbDT_calcs!J62</f>
        <v>431.52124673185983</v>
      </c>
      <c r="K6" s="37">
        <f>BDbDT_calcs!K62</f>
        <v>443.92901871863</v>
      </c>
      <c r="L6" s="37">
        <f>BDbDT_calcs!L62</f>
        <v>456.87064061100466</v>
      </c>
      <c r="M6" s="37">
        <f>BDbDT_calcs!M62</f>
        <v>470.26107495355319</v>
      </c>
      <c r="N6" s="37">
        <f>BDbDT_calcs!N62</f>
        <v>484.04412338836465</v>
      </c>
      <c r="O6" s="37">
        <f>BDbDT_calcs!O62</f>
        <v>498.13802675201873</v>
      </c>
      <c r="P6" s="37">
        <f>BDbDT_calcs!P62</f>
        <v>512.5009829465331</v>
      </c>
      <c r="Q6" s="37">
        <f>BDbDT_calcs!Q62</f>
        <v>527.03828776340185</v>
      </c>
      <c r="R6" s="37">
        <f>BDbDT_calcs!R62</f>
        <v>541.70348156937189</v>
      </c>
      <c r="S6" s="37">
        <f>BDbDT_calcs!S62</f>
        <v>555.7928470821571</v>
      </c>
      <c r="T6" s="37">
        <f>BDbDT_calcs!T62</f>
        <v>569.9000400673832</v>
      </c>
      <c r="U6" s="37">
        <f>BDbDT_calcs!U62</f>
        <v>583.9020872354198</v>
      </c>
      <c r="V6" s="37">
        <f>BDbDT_calcs!V62</f>
        <v>597.8179164744771</v>
      </c>
      <c r="W6" s="37">
        <f>BDbDT_calcs!W62</f>
        <v>611.60681542539965</v>
      </c>
      <c r="X6" s="37">
        <f>BDbDT_calcs!X62</f>
        <v>625.31953283215159</v>
      </c>
      <c r="Y6" s="37">
        <f>BDbDT_calcs!Y62</f>
        <v>638.91367350547512</v>
      </c>
      <c r="Z6" s="37">
        <f>BDbDT_calcs!Z62</f>
        <v>652.40713744438676</v>
      </c>
      <c r="AA6" s="37">
        <f>BDbDT_calcs!AA62</f>
        <v>665.79083378368421</v>
      </c>
      <c r="AB6" s="37">
        <f>BDbDT_calcs!AB62</f>
        <v>679.01433898341054</v>
      </c>
    </row>
    <row r="7" spans="1:28" x14ac:dyDescent="0.25">
      <c r="A7" s="4" t="s">
        <v>220</v>
      </c>
      <c r="B7" s="37">
        <f>BDbDT_calcs!B63</f>
        <v>393.45951095383094</v>
      </c>
      <c r="C7" s="37">
        <f>BDbDT_calcs!C63</f>
        <v>402.81249708082777</v>
      </c>
      <c r="D7" s="37">
        <f>BDbDT_calcs!D63</f>
        <v>412.07915322852023</v>
      </c>
      <c r="E7" s="37">
        <f>BDbDT_calcs!E63</f>
        <v>422.16221074361511</v>
      </c>
      <c r="F7" s="37">
        <f>BDbDT_calcs!F63</f>
        <v>432.36870522989398</v>
      </c>
      <c r="G7" s="37">
        <f>BDbDT_calcs!G63</f>
        <v>443.31854851741775</v>
      </c>
      <c r="H7" s="37">
        <f>BDbDT_calcs!H63</f>
        <v>454.6143959147762</v>
      </c>
      <c r="I7" s="37">
        <f>BDbDT_calcs!I63</f>
        <v>465.4475793515017</v>
      </c>
      <c r="J7" s="37">
        <f>BDbDT_calcs!J63</f>
        <v>476.53835406719031</v>
      </c>
      <c r="K7" s="37">
        <f>BDbDT_calcs!K63</f>
        <v>488.40211383277574</v>
      </c>
      <c r="L7" s="37">
        <f>BDbDT_calcs!L63</f>
        <v>500.57306110393864</v>
      </c>
      <c r="M7" s="37">
        <f>BDbDT_calcs!M63</f>
        <v>513.20576480979821</v>
      </c>
      <c r="N7" s="37">
        <f>BDbDT_calcs!N63</f>
        <v>526.07670124220726</v>
      </c>
      <c r="O7" s="37">
        <f>BDbDT_calcs!O63</f>
        <v>539.22845682362959</v>
      </c>
      <c r="P7" s="37">
        <f>BDbDT_calcs!P63</f>
        <v>552.80389381633825</v>
      </c>
      <c r="Q7" s="37">
        <f>BDbDT_calcs!Q63</f>
        <v>566.73226937461584</v>
      </c>
      <c r="R7" s="37">
        <f>BDbDT_calcs!R63</f>
        <v>580.90658263312935</v>
      </c>
      <c r="S7" s="37">
        <f>BDbDT_calcs!S63</f>
        <v>594.49786692828377</v>
      </c>
      <c r="T7" s="37">
        <f>BDbDT_calcs!T63</f>
        <v>608.29763961989772</v>
      </c>
      <c r="U7" s="37">
        <f>BDbDT_calcs!U63</f>
        <v>622.14678822604969</v>
      </c>
      <c r="V7" s="37">
        <f>BDbDT_calcs!V63</f>
        <v>635.86564695362665</v>
      </c>
      <c r="W7" s="37">
        <f>BDbDT_calcs!W63</f>
        <v>649.84222278023924</v>
      </c>
      <c r="X7" s="37">
        <f>BDbDT_calcs!X63</f>
        <v>663.76354139813611</v>
      </c>
      <c r="Y7" s="37">
        <f>BDbDT_calcs!Y63</f>
        <v>677.8177285926954</v>
      </c>
      <c r="Z7" s="37">
        <f>BDbDT_calcs!Z63</f>
        <v>691.74384559353109</v>
      </c>
      <c r="AA7" s="37">
        <f>BDbDT_calcs!AA63</f>
        <v>705.64236098969354</v>
      </c>
      <c r="AB7" s="37">
        <f>BDbDT_calcs!AB63</f>
        <v>719.61943044683665</v>
      </c>
    </row>
    <row r="8" spans="1:28" x14ac:dyDescent="0.25">
      <c r="A8" s="4" t="s">
        <v>221</v>
      </c>
      <c r="B8" s="37">
        <f>BDbDT_calcs!B64</f>
        <v>1037.0312204952133</v>
      </c>
      <c r="C8" s="37">
        <f>BDbDT_calcs!C64</f>
        <v>1075.343454234305</v>
      </c>
      <c r="D8" s="37">
        <f>BDbDT_calcs!D64</f>
        <v>1113.2438770585961</v>
      </c>
      <c r="E8" s="37">
        <f>BDbDT_calcs!E64</f>
        <v>1152.179215316896</v>
      </c>
      <c r="F8" s="37">
        <f>BDbDT_calcs!F64</f>
        <v>1192.1715713525825</v>
      </c>
      <c r="G8" s="37">
        <f>BDbDT_calcs!G64</f>
        <v>1233.3763582373185</v>
      </c>
      <c r="H8" s="37">
        <f>BDbDT_calcs!H64</f>
        <v>1276.2080736503831</v>
      </c>
      <c r="I8" s="37">
        <f>BDbDT_calcs!I64</f>
        <v>1318.6418840482647</v>
      </c>
      <c r="J8" s="37">
        <f>BDbDT_calcs!J64</f>
        <v>1362.2833447319194</v>
      </c>
      <c r="K8" s="37">
        <f>BDbDT_calcs!K64</f>
        <v>1407.4545424598793</v>
      </c>
      <c r="L8" s="37">
        <f>BDbDT_calcs!L64</f>
        <v>1454.4046494561221</v>
      </c>
      <c r="M8" s="37">
        <f>BDbDT_calcs!M64</f>
        <v>1502.7880709801364</v>
      </c>
      <c r="N8" s="37">
        <f>BDbDT_calcs!N64</f>
        <v>1553.0054756147701</v>
      </c>
      <c r="O8" s="37">
        <f>BDbDT_calcs!O64</f>
        <v>1604.8093693853364</v>
      </c>
      <c r="P8" s="37">
        <f>BDbDT_calcs!P64</f>
        <v>1658.1392753052576</v>
      </c>
      <c r="Q8" s="37">
        <f>BDbDT_calcs!Q64</f>
        <v>1713.0786699939626</v>
      </c>
      <c r="R8" s="37">
        <f>BDbDT_calcs!R64</f>
        <v>1769.292120376334</v>
      </c>
      <c r="S8" s="37">
        <f>BDbDT_calcs!S64</f>
        <v>1824.772023021131</v>
      </c>
      <c r="T8" s="37">
        <f>BDbDT_calcs!T64</f>
        <v>1881.3875214989182</v>
      </c>
      <c r="U8" s="37">
        <f>BDbDT_calcs!U64</f>
        <v>1939.0182861703734</v>
      </c>
      <c r="V8" s="37">
        <f>BDbDT_calcs!V64</f>
        <v>1997.4103888777199</v>
      </c>
      <c r="W8" s="37">
        <f>BDbDT_calcs!W64</f>
        <v>2056.2912610557946</v>
      </c>
      <c r="X8" s="37">
        <f>BDbDT_calcs!X64</f>
        <v>2115.9118496870333</v>
      </c>
      <c r="Y8" s="37">
        <f>BDbDT_calcs!Y64</f>
        <v>2175.8482868024798</v>
      </c>
      <c r="Z8" s="37">
        <f>BDbDT_calcs!Z64</f>
        <v>2236.0708327136945</v>
      </c>
      <c r="AA8" s="37">
        <f>BDbDT_calcs!AA64</f>
        <v>2296.0757040237049</v>
      </c>
      <c r="AB8" s="37">
        <f>BDbDT_calcs!AB64</f>
        <v>2355.795971687061</v>
      </c>
    </row>
    <row r="9" spans="1:28" x14ac:dyDescent="0.25">
      <c r="A9" s="4" t="s">
        <v>222</v>
      </c>
      <c r="B9" s="37">
        <f>BDbDT_calcs!B65</f>
        <v>16925.843128001979</v>
      </c>
      <c r="C9" s="37">
        <f>BDbDT_calcs!C65</f>
        <v>17211.088597108381</v>
      </c>
      <c r="D9" s="37">
        <f>BDbDT_calcs!D65</f>
        <v>17474.582338583819</v>
      </c>
      <c r="E9" s="37">
        <f>BDbDT_calcs!E65</f>
        <v>17742.363650179585</v>
      </c>
      <c r="F9" s="37">
        <f>BDbDT_calcs!F65</f>
        <v>18017.964691411766</v>
      </c>
      <c r="G9" s="37">
        <f>BDbDT_calcs!G65</f>
        <v>18302.006174845359</v>
      </c>
      <c r="H9" s="37">
        <f>BDbDT_calcs!H65</f>
        <v>18594.089030961135</v>
      </c>
      <c r="I9" s="37">
        <f>BDbDT_calcs!I65</f>
        <v>18863.298021456376</v>
      </c>
      <c r="J9" s="37">
        <f>BDbDT_calcs!J65</f>
        <v>19136.959031906888</v>
      </c>
      <c r="K9" s="37">
        <f>BDbDT_calcs!K65</f>
        <v>19411.790755010468</v>
      </c>
      <c r="L9" s="37">
        <f>BDbDT_calcs!L65</f>
        <v>19686.278139653867</v>
      </c>
      <c r="M9" s="37">
        <f>BDbDT_calcs!M65</f>
        <v>19960.14309974917</v>
      </c>
      <c r="N9" s="37">
        <f>BDbDT_calcs!N65</f>
        <v>20229.306535227224</v>
      </c>
      <c r="O9" s="37">
        <f>BDbDT_calcs!O65</f>
        <v>20491.523184552068</v>
      </c>
      <c r="P9" s="37">
        <f>BDbDT_calcs!P65</f>
        <v>20744.892035090594</v>
      </c>
      <c r="Q9" s="37">
        <f>BDbDT_calcs!Q65</f>
        <v>20985.895520527785</v>
      </c>
      <c r="R9" s="37">
        <f>BDbDT_calcs!R65</f>
        <v>21212.321521642472</v>
      </c>
      <c r="S9" s="37">
        <f>BDbDT_calcs!S65</f>
        <v>21398.495817516425</v>
      </c>
      <c r="T9" s="37">
        <f>BDbDT_calcs!T65</f>
        <v>21566.240477330382</v>
      </c>
      <c r="U9" s="37">
        <f>BDbDT_calcs!U65</f>
        <v>21715.238882867383</v>
      </c>
      <c r="V9" s="37">
        <f>BDbDT_calcs!V65</f>
        <v>21840.046436142133</v>
      </c>
      <c r="W9" s="37">
        <f>BDbDT_calcs!W65</f>
        <v>21939.232105644278</v>
      </c>
      <c r="X9" s="37">
        <f>BDbDT_calcs!X65</f>
        <v>22012.259326904303</v>
      </c>
      <c r="Y9" s="37">
        <f>BDbDT_calcs!Y65</f>
        <v>22070.768234083003</v>
      </c>
      <c r="Z9" s="37">
        <f>BDbDT_calcs!Z65</f>
        <v>22104.582683591947</v>
      </c>
      <c r="AA9" s="37">
        <f>BDbDT_calcs!AA65</f>
        <v>22113.147939183964</v>
      </c>
      <c r="AB9" s="37">
        <f>BDbDT_calcs!AB65</f>
        <v>22097.78958841545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2026-08-17T20:29:10Z</dcterms:modified>
</cp:coreProperties>
</file>