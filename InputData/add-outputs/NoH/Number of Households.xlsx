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NE\add-outputs\NoH\"/>
    </mc:Choice>
  </mc:AlternateContent>
  <xr:revisionPtr revIDLastSave="0" documentId="8_{D8EDF46B-C094-4F74-AE78-3DAEC1B37336}"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AC2" i="3"/>
  <c r="AD2" i="3"/>
  <c r="I2" i="3"/>
  <c r="B2" i="3"/>
  <c r="L2" i="3"/>
  <c r="O2" i="3"/>
  <c r="R2" i="3"/>
  <c r="T2" i="3"/>
  <c r="U2" i="3"/>
  <c r="D2" i="3"/>
  <c r="Z2" i="3"/>
  <c r="E2" i="3"/>
  <c r="AA2" i="3"/>
  <c r="M2" i="3"/>
  <c r="Q2" i="3"/>
  <c r="S2" i="3"/>
  <c r="V2" i="3"/>
  <c r="F2" i="3"/>
  <c r="AB2" i="3"/>
  <c r="G2" i="3"/>
  <c r="H2" i="3"/>
  <c r="AE2" i="3"/>
  <c r="N2" i="3"/>
  <c r="P2" i="3"/>
  <c r="W2" i="3"/>
  <c r="J2" i="3"/>
  <c r="K2" i="3"/>
  <c r="X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<sst xmlns="http://schemas.openxmlformats.org/spreadsheetml/2006/main" count="1069" uniqueCount="448">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</sst>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378</v>
      </c>
      <c r="C1" s="68">
        <v>46185</v>
      </c>
      <c r="H1" t="s">
        <v>324</v>
      </c>
      <c r="I1" t="s">
        <v>325</v>
      </c>
    </row>
    <row r="2" spans="1:9" x14ac:dyDescent="0.25">
      <c r="B2" t="str">
        <f>VLOOKUP(B1,H2:I52,2)</f>
        <v>NE</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747722.42554249417</v>
      </c>
      <c r="C2">
        <f>SUMIFS('state calcs'!C62:C112,'state calcs'!$A$62:$A$112,About!$B$2)</f>
        <v>759377.99821354903</v>
      </c>
      <c r="D2">
        <f>SUMIFS('state calcs'!D62:D112,'state calcs'!$A$62:$A$112,About!$B$2)</f>
        <v>766543.85101707967</v>
      </c>
      <c r="E2">
        <f>SUMIFS('state calcs'!E62:E112,'state calcs'!$A$62:$A$112,About!$B$2)</f>
        <v>773722.2300813552</v>
      </c>
      <c r="F2">
        <f>SUMIFS('state calcs'!F62:F112,'state calcs'!$A$62:$A$112,About!$B$2)</f>
        <v>781061.96400824643</v>
      </c>
      <c r="G2">
        <f>SUMIFS('state calcs'!G62:G112,'state calcs'!$A$62:$A$112,About!$B$2)</f>
        <v>788381.13604375534</v>
      </c>
      <c r="H2">
        <f>SUMIFS('state calcs'!H62:H112,'state calcs'!$A$62:$A$112,About!$B$2)</f>
        <v>795736.09992980503</v>
      </c>
      <c r="I2">
        <f>SUMIFS('state calcs'!I62:I112,'state calcs'!$A$62:$A$112,About!$B$2)</f>
        <v>803141.52153914818</v>
      </c>
      <c r="J2">
        <f>SUMIFS('state calcs'!J62:J112,'state calcs'!$A$62:$A$112,About!$B$2)</f>
        <v>810490.36786727898</v>
      </c>
      <c r="K2">
        <f>SUMIFS('state calcs'!K62:K112,'state calcs'!$A$62:$A$112,About!$B$2)</f>
        <v>817652.6136522427</v>
      </c>
      <c r="L2">
        <f>SUMIFS('state calcs'!L62:L112,'state calcs'!$A$62:$A$112,About!$B$2)</f>
        <v>824471.57257354003</v>
      </c>
      <c r="M2">
        <f>SUMIFS('state calcs'!M62:M112,'state calcs'!$A$62:$A$112,About!$B$2)</f>
        <v>831236.91931460495</v>
      </c>
      <c r="N2">
        <f>SUMIFS('state calcs'!N62:N112,'state calcs'!$A$62:$A$112,About!$B$2)</f>
        <v>837849.47565895482</v>
      </c>
      <c r="O2">
        <f>SUMIFS('state calcs'!O62:O112,'state calcs'!$A$62:$A$112,About!$B$2)</f>
        <v>844248.05969973153</v>
      </c>
      <c r="P2">
        <f>SUMIFS('state calcs'!P62:P112,'state calcs'!$A$62:$A$112,About!$B$2)</f>
        <v>850554.66197903187</v>
      </c>
      <c r="Q2">
        <f>SUMIFS('state calcs'!Q62:Q112,'state calcs'!$A$62:$A$112,About!$B$2)</f>
        <v>856868.18719096971</v>
      </c>
      <c r="R2">
        <f>SUMIFS('state calcs'!R62:R112,'state calcs'!$A$62:$A$112,About!$B$2)</f>
        <v>863137.79127881315</v>
      </c>
      <c r="S2">
        <f>SUMIFS('state calcs'!S62:S112,'state calcs'!$A$62:$A$112,About!$B$2)</f>
        <v>869377.88537842606</v>
      </c>
      <c r="T2">
        <f>SUMIFS('state calcs'!T62:T112,'state calcs'!$A$62:$A$112,About!$B$2)</f>
        <v>875568.67044240027</v>
      </c>
      <c r="U2">
        <f>SUMIFS('state calcs'!U62:U112,'state calcs'!$A$62:$A$112,About!$B$2)</f>
        <v>881829.46768087347</v>
      </c>
      <c r="V2">
        <f>SUMIFS('state calcs'!V62:V112,'state calcs'!$A$62:$A$112,About!$B$2)</f>
        <v>887878.25599274272</v>
      </c>
      <c r="W2">
        <f>SUMIFS('state calcs'!W62:W112,'state calcs'!$A$62:$A$112,About!$B$2)</f>
        <v>893825.6424331601</v>
      </c>
      <c r="X2">
        <f>SUMIFS('state calcs'!X62:X112,'state calcs'!$A$62:$A$112,About!$B$2)</f>
        <v>899719.98579242185</v>
      </c>
      <c r="Y2">
        <f>SUMIFS('state calcs'!Y62:Y112,'state calcs'!$A$62:$A$112,About!$B$2)</f>
        <v>905566.02878690814</v>
      </c>
      <c r="Z2">
        <f>SUMIFS('state calcs'!Z62:Z112,'state calcs'!$A$62:$A$112,About!$B$2)</f>
        <v>911370.35579912958</v>
      </c>
      <c r="AA2">
        <f>SUMIFS('state calcs'!AA62:AA112,'state calcs'!$A$62:$A$112,About!$B$2)</f>
        <v>917110.17787477851</v>
      </c>
      <c r="AB2">
        <f>SUMIFS('state calcs'!AB62:AB112,'state calcs'!$A$62:$A$112,About!$B$2)</f>
        <v>922824.31104857789</v>
      </c>
      <c r="AC2">
        <f>SUMIFS('state calcs'!AC62:AC112,'state calcs'!$A$62:$A$112,About!$B$2)</f>
        <v>928469.59262470342</v>
      </c>
      <c r="AD2">
        <f>SUMIFS('state calcs'!AD62:AD112,'state calcs'!$A$62:$A$112,About!$B$2)</f>
        <v>934039.7664962823</v>
      </c>
      <c r="AE2">
        <f>SUMIFS('state calcs'!AE62:AE112,'state calcs'!$A$62:$A$112,About!$B$2)</f>
        <v>939553.34290781419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2026-06-12T19:29:18Z</dcterms:modified>
</cp:coreProperties>
</file>