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E\add-outputs\HOIpTP\"/>
    </mc:Choice>
  </mc:AlternateContent>
  <xr:revisionPtr revIDLastSave="0" documentId="8_{BC33B8FF-D67D-4DEB-888C-CBB08FDE5E8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X15" i="19" s="1"/>
  <c r="B14" i="19"/>
  <c r="AA14" i="19" s="1"/>
  <c r="Y13" i="19"/>
  <c r="P13" i="19"/>
  <c r="B13" i="19"/>
  <c r="J13" i="19" s="1"/>
  <c r="U12" i="19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Q8" i="19"/>
  <c r="B8" i="19"/>
  <c r="L8" i="19" s="1"/>
  <c r="B7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B3" i="19"/>
  <c r="Q3" i="19" s="1"/>
  <c r="AB2" i="19"/>
  <c r="P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B17" i="18"/>
  <c r="M17" i="18" s="1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B15" i="18"/>
  <c r="Y14" i="18"/>
  <c r="U14" i="18"/>
  <c r="R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X8" i="18"/>
  <c r="U8" i="18"/>
  <c r="R8" i="18"/>
  <c r="Q8" i="18"/>
  <c r="M8" i="18"/>
  <c r="F8" i="18"/>
  <c r="E8" i="18"/>
  <c r="B8" i="18"/>
  <c r="AA8" i="18" s="1"/>
  <c r="H7" i="18"/>
  <c r="C7" i="18"/>
  <c r="B7" i="18"/>
  <c r="AB7" i="18" s="1"/>
  <c r="X6" i="18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V3" i="18"/>
  <c r="P3" i="18"/>
  <c r="N3" i="18"/>
  <c r="J3" i="18"/>
  <c r="E3" i="18"/>
  <c r="B3" i="18"/>
  <c r="Z3" i="18" s="1"/>
  <c r="Z2" i="18"/>
  <c r="Y2" i="18"/>
  <c r="V2" i="18"/>
  <c r="U2" i="18"/>
  <c r="O2" i="18"/>
  <c r="K2" i="18"/>
  <c r="J2" i="18"/>
  <c r="D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AA17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W13" i="17"/>
  <c r="S13" i="17"/>
  <c r="R13" i="17"/>
  <c r="Q13" i="17"/>
  <c r="D13" i="17"/>
  <c r="C13" i="17"/>
  <c r="B13" i="17"/>
  <c r="X13" i="17" s="1"/>
  <c r="Z12" i="17"/>
  <c r="Y12" i="17"/>
  <c r="T12" i="17"/>
  <c r="S12" i="17"/>
  <c r="R12" i="17"/>
  <c r="P12" i="17"/>
  <c r="O12" i="17"/>
  <c r="J12" i="17"/>
  <c r="H12" i="17"/>
  <c r="G12" i="17"/>
  <c r="F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W8" i="17"/>
  <c r="V8" i="17"/>
  <c r="T8" i="17"/>
  <c r="S8" i="17"/>
  <c r="O8" i="17"/>
  <c r="F8" i="17"/>
  <c r="D8" i="17"/>
  <c r="B8" i="17"/>
  <c r="AB8" i="17" s="1"/>
  <c r="W7" i="17"/>
  <c r="S7" i="17"/>
  <c r="P7" i="17"/>
  <c r="O7" i="17"/>
  <c r="G7" i="17"/>
  <c r="B7" i="17"/>
  <c r="B6" i="17"/>
  <c r="Q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B17" i="16"/>
  <c r="D17" i="16" s="1"/>
  <c r="B16" i="16"/>
  <c r="AA15" i="16"/>
  <c r="X15" i="16"/>
  <c r="K15" i="16"/>
  <c r="B15" i="16"/>
  <c r="Y15" i="16" s="1"/>
  <c r="G14" i="16"/>
  <c r="F14" i="16"/>
  <c r="B14" i="16"/>
  <c r="X13" i="16"/>
  <c r="D13" i="16"/>
  <c r="B13" i="16"/>
  <c r="W13" i="16" s="1"/>
  <c r="Y12" i="16"/>
  <c r="X12" i="16"/>
  <c r="W12" i="16"/>
  <c r="I12" i="16"/>
  <c r="C12" i="16"/>
  <c r="B12" i="16"/>
  <c r="AB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Y7" i="16"/>
  <c r="X7" i="16"/>
  <c r="V7" i="16"/>
  <c r="T7" i="16"/>
  <c r="S7" i="16"/>
  <c r="R7" i="16"/>
  <c r="O7" i="16"/>
  <c r="M7" i="16"/>
  <c r="L7" i="16"/>
  <c r="H7" i="16"/>
  <c r="G7" i="16"/>
  <c r="F7" i="16"/>
  <c r="E7" i="16"/>
  <c r="D7" i="16"/>
  <c r="C7" i="16"/>
  <c r="B7" i="16"/>
  <c r="Z7" i="16" s="1"/>
  <c r="W6" i="16"/>
  <c r="V6" i="16"/>
  <c r="S6" i="16"/>
  <c r="Q6" i="16"/>
  <c r="N6" i="16"/>
  <c r="M6" i="16"/>
  <c r="I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A3" i="16"/>
  <c r="Z3" i="16"/>
  <c r="W3" i="16"/>
  <c r="T3" i="16"/>
  <c r="R3" i="16"/>
  <c r="O3" i="16"/>
  <c r="B3" i="16"/>
  <c r="AB3" i="16" s="1"/>
  <c r="Y2" i="16"/>
  <c r="T2" i="16"/>
  <c r="Q2" i="16"/>
  <c r="K2" i="16"/>
  <c r="D2" i="16"/>
  <c r="B2" i="16"/>
  <c r="AB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X15" i="15"/>
  <c r="U15" i="15"/>
  <c r="T15" i="15"/>
  <c r="S15" i="15"/>
  <c r="I15" i="15"/>
  <c r="B15" i="15"/>
  <c r="Y15" i="15" s="1"/>
  <c r="O14" i="15"/>
  <c r="B14" i="15"/>
  <c r="W13" i="15"/>
  <c r="V13" i="15"/>
  <c r="S13" i="15"/>
  <c r="R13" i="15"/>
  <c r="Q13" i="15"/>
  <c r="N13" i="15"/>
  <c r="M13" i="15"/>
  <c r="L13" i="15"/>
  <c r="K13" i="15"/>
  <c r="J13" i="15"/>
  <c r="H13" i="15"/>
  <c r="G13" i="15"/>
  <c r="F13" i="15"/>
  <c r="E13" i="15"/>
  <c r="D13" i="15"/>
  <c r="C13" i="15"/>
  <c r="B13" i="15"/>
  <c r="P13" i="15" s="1"/>
  <c r="X12" i="15"/>
  <c r="W12" i="15"/>
  <c r="T12" i="15"/>
  <c r="S12" i="15"/>
  <c r="R12" i="15"/>
  <c r="P12" i="15"/>
  <c r="O12" i="15"/>
  <c r="N12" i="15"/>
  <c r="M12" i="15"/>
  <c r="L12" i="15"/>
  <c r="J12" i="15"/>
  <c r="I12" i="15"/>
  <c r="H12" i="15"/>
  <c r="G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Y8" i="15"/>
  <c r="M8" i="15"/>
  <c r="L8" i="15"/>
  <c r="K8" i="15"/>
  <c r="H8" i="15"/>
  <c r="G8" i="15"/>
  <c r="B8" i="15"/>
  <c r="AA8" i="15" s="1"/>
  <c r="AB7" i="15"/>
  <c r="AA7" i="15"/>
  <c r="Z7" i="15"/>
  <c r="W7" i="15"/>
  <c r="V7" i="15"/>
  <c r="S7" i="15"/>
  <c r="R7" i="15"/>
  <c r="P7" i="15"/>
  <c r="O7" i="15"/>
  <c r="N7" i="15"/>
  <c r="L7" i="15"/>
  <c r="K7" i="15"/>
  <c r="J7" i="15"/>
  <c r="I7" i="15"/>
  <c r="H7" i="15"/>
  <c r="F7" i="15"/>
  <c r="E7" i="15"/>
  <c r="D7" i="15"/>
  <c r="C7" i="15"/>
  <c r="B7" i="15"/>
  <c r="X7" i="15" s="1"/>
  <c r="AB6" i="15"/>
  <c r="V6" i="15"/>
  <c r="R6" i="15"/>
  <c r="Q6" i="15"/>
  <c r="N6" i="15"/>
  <c r="L6" i="15"/>
  <c r="K6" i="15"/>
  <c r="I6" i="15"/>
  <c r="E6" i="15"/>
  <c r="D6" i="15"/>
  <c r="B6" i="15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AA3" i="15"/>
  <c r="W3" i="15"/>
  <c r="U3" i="15"/>
  <c r="Q3" i="15"/>
  <c r="B3" i="15"/>
  <c r="AB2" i="15"/>
  <c r="Z2" i="15"/>
  <c r="Y2" i="15"/>
  <c r="S2" i="15"/>
  <c r="R2" i="15"/>
  <c r="P2" i="15"/>
  <c r="O2" i="15"/>
  <c r="N2" i="15"/>
  <c r="L2" i="15"/>
  <c r="K2" i="15"/>
  <c r="J2" i="15"/>
  <c r="I2" i="15"/>
  <c r="H2" i="15"/>
  <c r="F2" i="15"/>
  <c r="E2" i="15"/>
  <c r="D2" i="15"/>
  <c r="C2" i="15"/>
  <c r="B2" i="15"/>
  <c r="X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B17" i="14"/>
  <c r="C17" i="14" s="1"/>
  <c r="H16" i="14"/>
  <c r="B16" i="14"/>
  <c r="W15" i="14"/>
  <c r="U15" i="14"/>
  <c r="R15" i="14"/>
  <c r="Q15" i="14"/>
  <c r="O15" i="14"/>
  <c r="N15" i="14"/>
  <c r="M15" i="14"/>
  <c r="H15" i="14"/>
  <c r="F15" i="14"/>
  <c r="B15" i="14"/>
  <c r="AB15" i="14" s="1"/>
  <c r="B14" i="14"/>
  <c r="X13" i="14"/>
  <c r="S13" i="14"/>
  <c r="R13" i="14"/>
  <c r="N13" i="14"/>
  <c r="K13" i="14"/>
  <c r="G13" i="14"/>
  <c r="E13" i="14"/>
  <c r="B13" i="14"/>
  <c r="AB13" i="14" s="1"/>
  <c r="B12" i="14"/>
  <c r="E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Y7" i="14"/>
  <c r="X7" i="14"/>
  <c r="W7" i="14"/>
  <c r="S7" i="14"/>
  <c r="R7" i="14"/>
  <c r="P7" i="14"/>
  <c r="O7" i="14"/>
  <c r="N7" i="14"/>
  <c r="M7" i="14"/>
  <c r="L7" i="14"/>
  <c r="K7" i="14"/>
  <c r="I7" i="14"/>
  <c r="H7" i="14"/>
  <c r="G7" i="14"/>
  <c r="E7" i="14"/>
  <c r="D7" i="14"/>
  <c r="C7" i="14"/>
  <c r="B7" i="14"/>
  <c r="Z7" i="14" s="1"/>
  <c r="B6" i="14"/>
  <c r="Z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Y3" i="14"/>
  <c r="W3" i="14"/>
  <c r="V3" i="14"/>
  <c r="T3" i="14"/>
  <c r="S3" i="14"/>
  <c r="P3" i="14"/>
  <c r="M3" i="14"/>
  <c r="L3" i="14"/>
  <c r="K3" i="14"/>
  <c r="J3" i="14"/>
  <c r="I3" i="14"/>
  <c r="F3" i="14"/>
  <c r="E3" i="14"/>
  <c r="D3" i="14"/>
  <c r="C3" i="14"/>
  <c r="B3" i="14"/>
  <c r="N3" i="14" s="1"/>
  <c r="R2" i="14"/>
  <c r="G2" i="14"/>
  <c r="F2" i="14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F17" i="13"/>
  <c r="E17" i="13"/>
  <c r="C17" i="13"/>
  <c r="B17" i="13"/>
  <c r="U16" i="13"/>
  <c r="T16" i="13"/>
  <c r="H16" i="13"/>
  <c r="G16" i="13"/>
  <c r="B16" i="13"/>
  <c r="AA16" i="13" s="1"/>
  <c r="AA15" i="13"/>
  <c r="Z15" i="13"/>
  <c r="Y15" i="13"/>
  <c r="W15" i="13"/>
  <c r="T15" i="13"/>
  <c r="O15" i="13"/>
  <c r="M15" i="13"/>
  <c r="F15" i="13"/>
  <c r="B15" i="13"/>
  <c r="AA14" i="13"/>
  <c r="Y14" i="13"/>
  <c r="V14" i="13"/>
  <c r="S14" i="13"/>
  <c r="Q14" i="13"/>
  <c r="P14" i="13"/>
  <c r="N14" i="13"/>
  <c r="M14" i="13"/>
  <c r="L14" i="13"/>
  <c r="J14" i="13"/>
  <c r="H14" i="13"/>
  <c r="F14" i="13"/>
  <c r="E14" i="13"/>
  <c r="B14" i="13"/>
  <c r="S13" i="13"/>
  <c r="K13" i="13"/>
  <c r="H13" i="13"/>
  <c r="B13" i="13"/>
  <c r="X12" i="13"/>
  <c r="W12" i="13"/>
  <c r="V12" i="13"/>
  <c r="U12" i="13"/>
  <c r="S12" i="13"/>
  <c r="R12" i="13"/>
  <c r="O12" i="13"/>
  <c r="M12" i="13"/>
  <c r="J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B7" i="13"/>
  <c r="L7" i="13" s="1"/>
  <c r="AA6" i="13"/>
  <c r="Z6" i="13"/>
  <c r="O6" i="13"/>
  <c r="M6" i="13"/>
  <c r="J6" i="13"/>
  <c r="H6" i="13"/>
  <c r="G6" i="13"/>
  <c r="B6" i="13"/>
  <c r="AB6" i="13" s="1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W3" i="13"/>
  <c r="V3" i="13"/>
  <c r="N3" i="13"/>
  <c r="J3" i="13"/>
  <c r="I3" i="13"/>
  <c r="B3" i="13"/>
  <c r="Q2" i="13"/>
  <c r="M2" i="13"/>
  <c r="L2" i="13"/>
  <c r="I2" i="13"/>
  <c r="H2" i="13"/>
  <c r="G2" i="13"/>
  <c r="B2" i="13"/>
  <c r="AB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B17" i="12"/>
  <c r="G17" i="12" s="1"/>
  <c r="AB16" i="12"/>
  <c r="AA16" i="12"/>
  <c r="Z16" i="12"/>
  <c r="J16" i="12"/>
  <c r="C16" i="12"/>
  <c r="B16" i="12"/>
  <c r="Y15" i="12"/>
  <c r="S15" i="12"/>
  <c r="Q15" i="12"/>
  <c r="P15" i="12"/>
  <c r="O15" i="12"/>
  <c r="N15" i="12"/>
  <c r="I15" i="12"/>
  <c r="B15" i="12"/>
  <c r="AB15" i="12" s="1"/>
  <c r="B14" i="12"/>
  <c r="X14" i="12" s="1"/>
  <c r="B13" i="12"/>
  <c r="AA12" i="12"/>
  <c r="Z12" i="12"/>
  <c r="H12" i="12"/>
  <c r="B12" i="12"/>
  <c r="AB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Z8" i="12"/>
  <c r="Y8" i="12"/>
  <c r="X8" i="12"/>
  <c r="W8" i="12"/>
  <c r="V8" i="12"/>
  <c r="S8" i="12"/>
  <c r="R8" i="12"/>
  <c r="P8" i="12"/>
  <c r="M8" i="12"/>
  <c r="J8" i="12"/>
  <c r="I8" i="12"/>
  <c r="H8" i="12"/>
  <c r="G8" i="12"/>
  <c r="F8" i="12"/>
  <c r="D8" i="12"/>
  <c r="C8" i="12"/>
  <c r="B8" i="12"/>
  <c r="U8" i="12" s="1"/>
  <c r="AB7" i="12"/>
  <c r="AA7" i="12"/>
  <c r="Z7" i="12"/>
  <c r="Y7" i="12"/>
  <c r="X7" i="12"/>
  <c r="W7" i="12"/>
  <c r="V7" i="12"/>
  <c r="S7" i="12"/>
  <c r="K7" i="12"/>
  <c r="G7" i="12"/>
  <c r="F7" i="12"/>
  <c r="E7" i="12"/>
  <c r="B7" i="12"/>
  <c r="W6" i="12"/>
  <c r="B6" i="12"/>
  <c r="F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T3" i="12"/>
  <c r="P3" i="12"/>
  <c r="L3" i="12"/>
  <c r="K3" i="12"/>
  <c r="J3" i="12"/>
  <c r="I3" i="12"/>
  <c r="F3" i="12"/>
  <c r="B3" i="12"/>
  <c r="AA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B17" i="11"/>
  <c r="O17" i="11" s="1"/>
  <c r="AB16" i="11"/>
  <c r="Y16" i="11"/>
  <c r="W16" i="11"/>
  <c r="V16" i="11"/>
  <c r="D16" i="11"/>
  <c r="B16" i="11"/>
  <c r="AA16" i="11" s="1"/>
  <c r="W15" i="11"/>
  <c r="R15" i="11"/>
  <c r="B15" i="11"/>
  <c r="P14" i="11"/>
  <c r="M14" i="11"/>
  <c r="L14" i="11"/>
  <c r="J14" i="11"/>
  <c r="I14" i="11"/>
  <c r="G14" i="11"/>
  <c r="B14" i="11"/>
  <c r="AB14" i="11" s="1"/>
  <c r="AB13" i="11"/>
  <c r="AA13" i="11"/>
  <c r="Z13" i="11"/>
  <c r="Y13" i="11"/>
  <c r="X13" i="11"/>
  <c r="V13" i="11"/>
  <c r="U13" i="11"/>
  <c r="R13" i="11"/>
  <c r="Q13" i="11"/>
  <c r="M13" i="11"/>
  <c r="L13" i="11"/>
  <c r="K13" i="11"/>
  <c r="J13" i="11"/>
  <c r="B13" i="11"/>
  <c r="AB12" i="11"/>
  <c r="Z12" i="11"/>
  <c r="X12" i="11"/>
  <c r="U12" i="11"/>
  <c r="T12" i="11"/>
  <c r="L12" i="11"/>
  <c r="K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Q8" i="11"/>
  <c r="K8" i="11"/>
  <c r="I8" i="11"/>
  <c r="E8" i="11"/>
  <c r="D8" i="11"/>
  <c r="C8" i="11"/>
  <c r="B8" i="11"/>
  <c r="X8" i="11" s="1"/>
  <c r="B7" i="11"/>
  <c r="E7" i="11" s="1"/>
  <c r="X6" i="11"/>
  <c r="U6" i="11"/>
  <c r="T6" i="11"/>
  <c r="R6" i="11"/>
  <c r="Q6" i="11"/>
  <c r="I6" i="11"/>
  <c r="G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U3" i="11"/>
  <c r="S3" i="11"/>
  <c r="R3" i="11"/>
  <c r="Q3" i="11"/>
  <c r="P3" i="11"/>
  <c r="L3" i="11"/>
  <c r="K3" i="11"/>
  <c r="E3" i="11"/>
  <c r="C3" i="11"/>
  <c r="B3" i="11"/>
  <c r="Q2" i="11"/>
  <c r="B2" i="11"/>
  <c r="G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B15" i="10"/>
  <c r="H15" i="10" s="1"/>
  <c r="AA14" i="10"/>
  <c r="Z14" i="10"/>
  <c r="Y14" i="10"/>
  <c r="B14" i="10"/>
  <c r="C14" i="10" s="1"/>
  <c r="Z13" i="10"/>
  <c r="Y13" i="10"/>
  <c r="P13" i="10"/>
  <c r="M13" i="10"/>
  <c r="B13" i="10"/>
  <c r="AA12" i="10"/>
  <c r="B12" i="10"/>
  <c r="AB12" i="10" s="1"/>
  <c r="C11" i="10"/>
  <c r="B11" i="10"/>
  <c r="B10" i="10"/>
  <c r="B9" i="10"/>
  <c r="I8" i="10"/>
  <c r="B8" i="10"/>
  <c r="B7" i="10"/>
  <c r="X7" i="10" s="1"/>
  <c r="AA6" i="10"/>
  <c r="R6" i="10"/>
  <c r="O6" i="10"/>
  <c r="L6" i="10"/>
  <c r="J6" i="10"/>
  <c r="H6" i="10"/>
  <c r="E6" i="10"/>
  <c r="B6" i="10"/>
  <c r="Y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B3" i="10"/>
  <c r="J3" i="10" s="1"/>
  <c r="AA2" i="10"/>
  <c r="Z2" i="10"/>
  <c r="U2" i="10"/>
  <c r="L2" i="10"/>
  <c r="E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B17" i="9"/>
  <c r="AA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Y15" i="9"/>
  <c r="B15" i="9"/>
  <c r="AA14" i="9"/>
  <c r="Z14" i="9"/>
  <c r="R14" i="9"/>
  <c r="L14" i="9"/>
  <c r="I14" i="9"/>
  <c r="G14" i="9"/>
  <c r="F14" i="9"/>
  <c r="D14" i="9"/>
  <c r="C14" i="9"/>
  <c r="B14" i="9"/>
  <c r="Y14" i="9" s="1"/>
  <c r="Y13" i="9"/>
  <c r="X13" i="9"/>
  <c r="B13" i="9"/>
  <c r="S13" i="9" s="1"/>
  <c r="B12" i="9"/>
  <c r="C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L8" i="9"/>
  <c r="K8" i="9"/>
  <c r="I8" i="9"/>
  <c r="F8" i="9"/>
  <c r="B8" i="9"/>
  <c r="AB8" i="9" s="1"/>
  <c r="B7" i="9"/>
  <c r="U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B3" i="9"/>
  <c r="AA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U15" i="8"/>
  <c r="P15" i="8"/>
  <c r="O15" i="8"/>
  <c r="M15" i="8"/>
  <c r="L15" i="8"/>
  <c r="J15" i="8"/>
  <c r="H15" i="8"/>
  <c r="F15" i="8"/>
  <c r="E15" i="8"/>
  <c r="B15" i="8"/>
  <c r="AB14" i="8"/>
  <c r="U14" i="8"/>
  <c r="R14" i="8"/>
  <c r="Q14" i="8"/>
  <c r="O14" i="8"/>
  <c r="N14" i="8"/>
  <c r="L14" i="8"/>
  <c r="K14" i="8"/>
  <c r="J14" i="8"/>
  <c r="H14" i="8"/>
  <c r="G14" i="8"/>
  <c r="B14" i="8"/>
  <c r="AA14" i="8" s="1"/>
  <c r="AA13" i="8"/>
  <c r="V13" i="8"/>
  <c r="U13" i="8"/>
  <c r="T13" i="8"/>
  <c r="Q13" i="8"/>
  <c r="O13" i="8"/>
  <c r="N13" i="8"/>
  <c r="M13" i="8"/>
  <c r="K13" i="8"/>
  <c r="J13" i="8"/>
  <c r="I13" i="8"/>
  <c r="H13" i="8"/>
  <c r="G13" i="8"/>
  <c r="E13" i="8"/>
  <c r="B13" i="8"/>
  <c r="AB13" i="8" s="1"/>
  <c r="AB12" i="8"/>
  <c r="AA12" i="8"/>
  <c r="Z12" i="8"/>
  <c r="Y12" i="8"/>
  <c r="X12" i="8"/>
  <c r="V12" i="8"/>
  <c r="U12" i="8"/>
  <c r="S12" i="8"/>
  <c r="R12" i="8"/>
  <c r="Q12" i="8"/>
  <c r="N12" i="8"/>
  <c r="H12" i="8"/>
  <c r="E12" i="8"/>
  <c r="D12" i="8"/>
  <c r="C12" i="8"/>
  <c r="B12" i="8"/>
  <c r="O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B7" i="8"/>
  <c r="P6" i="8"/>
  <c r="O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W3" i="8"/>
  <c r="V3" i="8"/>
  <c r="S3" i="8"/>
  <c r="R3" i="8"/>
  <c r="Q3" i="8"/>
  <c r="O3" i="8"/>
  <c r="N3" i="8"/>
  <c r="M3" i="8"/>
  <c r="L3" i="8"/>
  <c r="K3" i="8"/>
  <c r="I3" i="8"/>
  <c r="H3" i="8"/>
  <c r="G3" i="8"/>
  <c r="D3" i="8"/>
  <c r="C3" i="8"/>
  <c r="B3" i="8"/>
  <c r="J3" i="8" s="1"/>
  <c r="K2" i="8"/>
  <c r="I2" i="8"/>
  <c r="H2" i="8"/>
  <c r="G2" i="8"/>
  <c r="F2" i="8"/>
  <c r="B2" i="8"/>
  <c r="AA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I17" i="7"/>
  <c r="H17" i="7"/>
  <c r="F17" i="7"/>
  <c r="E17" i="7"/>
  <c r="B17" i="7"/>
  <c r="Z17" i="7" s="1"/>
  <c r="N16" i="7"/>
  <c r="M16" i="7"/>
  <c r="L16" i="7"/>
  <c r="J16" i="7"/>
  <c r="H16" i="7"/>
  <c r="G16" i="7"/>
  <c r="B16" i="7"/>
  <c r="AA16" i="7" s="1"/>
  <c r="AA15" i="7"/>
  <c r="U15" i="7"/>
  <c r="Q15" i="7"/>
  <c r="P15" i="7"/>
  <c r="N15" i="7"/>
  <c r="M15" i="7"/>
  <c r="L15" i="7"/>
  <c r="J15" i="7"/>
  <c r="I15" i="7"/>
  <c r="H15" i="7"/>
  <c r="G15" i="7"/>
  <c r="B15" i="7"/>
  <c r="C15" i="7" s="1"/>
  <c r="L14" i="7"/>
  <c r="J14" i="7"/>
  <c r="I14" i="7"/>
  <c r="H14" i="7"/>
  <c r="B14" i="7"/>
  <c r="AA14" i="7" s="1"/>
  <c r="AB13" i="7"/>
  <c r="AA13" i="7"/>
  <c r="B13" i="7"/>
  <c r="F13" i="7" s="1"/>
  <c r="AB12" i="7"/>
  <c r="X12" i="7"/>
  <c r="W12" i="7"/>
  <c r="V12" i="7"/>
  <c r="T12" i="7"/>
  <c r="S12" i="7"/>
  <c r="R12" i="7"/>
  <c r="P12" i="7"/>
  <c r="L12" i="7"/>
  <c r="J12" i="7"/>
  <c r="G12" i="7"/>
  <c r="B12" i="7"/>
  <c r="C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B8" i="7"/>
  <c r="Z8" i="7"/>
  <c r="Y8" i="7"/>
  <c r="W8" i="7"/>
  <c r="V8" i="7"/>
  <c r="U8" i="7"/>
  <c r="T8" i="7"/>
  <c r="R8" i="7"/>
  <c r="Q8" i="7"/>
  <c r="P8" i="7"/>
  <c r="N8" i="7"/>
  <c r="M8" i="7"/>
  <c r="L8" i="7"/>
  <c r="K8" i="7"/>
  <c r="J8" i="7"/>
  <c r="H8" i="7"/>
  <c r="G8" i="7"/>
  <c r="F8" i="7"/>
  <c r="E8" i="7"/>
  <c r="D8" i="7"/>
  <c r="C8" i="7"/>
  <c r="B8" i="7"/>
  <c r="X8" i="7" s="1"/>
  <c r="AA7" i="7"/>
  <c r="S7" i="7"/>
  <c r="P7" i="7"/>
  <c r="O7" i="7"/>
  <c r="N7" i="7"/>
  <c r="M7" i="7"/>
  <c r="K7" i="7"/>
  <c r="J7" i="7"/>
  <c r="I7" i="7"/>
  <c r="H7" i="7"/>
  <c r="F7" i="7"/>
  <c r="B7" i="7"/>
  <c r="AB7" i="7" s="1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V3" i="7"/>
  <c r="T3" i="7"/>
  <c r="S3" i="7"/>
  <c r="P3" i="7"/>
  <c r="O3" i="7"/>
  <c r="N3" i="7"/>
  <c r="M3" i="7"/>
  <c r="K3" i="7"/>
  <c r="J3" i="7"/>
  <c r="H3" i="7"/>
  <c r="G3" i="7"/>
  <c r="F3" i="7"/>
  <c r="B3" i="7"/>
  <c r="X3" i="7" s="1"/>
  <c r="B2" i="7"/>
  <c r="Z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B17" i="6"/>
  <c r="J17" i="6" s="1"/>
  <c r="E16" i="6"/>
  <c r="D16" i="6"/>
  <c r="C16" i="6"/>
  <c r="B16" i="6"/>
  <c r="Z15" i="6"/>
  <c r="Y15" i="6"/>
  <c r="V15" i="6"/>
  <c r="R15" i="6"/>
  <c r="Q15" i="6"/>
  <c r="P15" i="6"/>
  <c r="N15" i="6"/>
  <c r="M15" i="6"/>
  <c r="K15" i="6"/>
  <c r="J15" i="6"/>
  <c r="I15" i="6"/>
  <c r="H15" i="6"/>
  <c r="G15" i="6"/>
  <c r="F15" i="6"/>
  <c r="E15" i="6"/>
  <c r="D15" i="6"/>
  <c r="B15" i="6"/>
  <c r="W15" i="6" s="1"/>
  <c r="AB14" i="6"/>
  <c r="AA14" i="6"/>
  <c r="Y14" i="6"/>
  <c r="X14" i="6"/>
  <c r="S14" i="6"/>
  <c r="R14" i="6"/>
  <c r="Q14" i="6"/>
  <c r="P14" i="6"/>
  <c r="O14" i="6"/>
  <c r="M14" i="6"/>
  <c r="L14" i="6"/>
  <c r="K14" i="6"/>
  <c r="J14" i="6"/>
  <c r="I14" i="6"/>
  <c r="H14" i="6"/>
  <c r="F14" i="6"/>
  <c r="E14" i="6"/>
  <c r="D14" i="6"/>
  <c r="C14" i="6"/>
  <c r="B14" i="6"/>
  <c r="T14" i="6" s="1"/>
  <c r="B13" i="6"/>
  <c r="R13" i="6" s="1"/>
  <c r="AB12" i="6"/>
  <c r="Y12" i="6"/>
  <c r="W12" i="6"/>
  <c r="V12" i="6"/>
  <c r="U12" i="6"/>
  <c r="T12" i="6"/>
  <c r="S12" i="6"/>
  <c r="R12" i="6"/>
  <c r="P12" i="6"/>
  <c r="O12" i="6"/>
  <c r="L12" i="6"/>
  <c r="K12" i="6"/>
  <c r="J12" i="6"/>
  <c r="D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H8" i="6"/>
  <c r="G8" i="6"/>
  <c r="E8" i="6"/>
  <c r="D8" i="6"/>
  <c r="B8" i="6"/>
  <c r="AB8" i="6" s="1"/>
  <c r="B7" i="6"/>
  <c r="J7" i="6" s="1"/>
  <c r="AB6" i="6"/>
  <c r="N6" i="6"/>
  <c r="M6" i="6"/>
  <c r="K6" i="6"/>
  <c r="B6" i="6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AA3" i="6" s="1"/>
  <c r="AB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V17" i="5"/>
  <c r="U17" i="5"/>
  <c r="T17" i="5"/>
  <c r="S17" i="5"/>
  <c r="R17" i="5"/>
  <c r="Q17" i="5"/>
  <c r="P17" i="5"/>
  <c r="L17" i="5"/>
  <c r="K17" i="5"/>
  <c r="B17" i="5"/>
  <c r="O17" i="5" s="1"/>
  <c r="B16" i="5"/>
  <c r="T15" i="5"/>
  <c r="Q15" i="5"/>
  <c r="P15" i="5"/>
  <c r="O15" i="5"/>
  <c r="N15" i="5"/>
  <c r="M15" i="5"/>
  <c r="L15" i="5"/>
  <c r="K15" i="5"/>
  <c r="J15" i="5"/>
  <c r="I15" i="5"/>
  <c r="B15" i="5"/>
  <c r="Y15" i="5" s="1"/>
  <c r="B14" i="5"/>
  <c r="D14" i="5" s="1"/>
  <c r="Z13" i="5"/>
  <c r="Y13" i="5"/>
  <c r="X13" i="5"/>
  <c r="R13" i="5"/>
  <c r="M13" i="5"/>
  <c r="K13" i="5"/>
  <c r="J13" i="5"/>
  <c r="I13" i="5"/>
  <c r="B13" i="5"/>
  <c r="H12" i="5"/>
  <c r="G12" i="5"/>
  <c r="B12" i="5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D7" i="5" s="1"/>
  <c r="Z6" i="5"/>
  <c r="X6" i="5"/>
  <c r="W6" i="5"/>
  <c r="R6" i="5"/>
  <c r="I6" i="5"/>
  <c r="E6" i="5"/>
  <c r="B6" i="5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Q3" i="5"/>
  <c r="N3" i="5"/>
  <c r="M3" i="5"/>
  <c r="L3" i="5"/>
  <c r="B3" i="5"/>
  <c r="W3" i="5" s="1"/>
  <c r="F2" i="5"/>
  <c r="E2" i="5"/>
  <c r="D2" i="5"/>
  <c r="B2" i="5"/>
  <c r="C2" i="5" s="1"/>
  <c r="B2" i="1"/>
  <c r="AA6" i="7" l="1"/>
  <c r="W6" i="7"/>
  <c r="K6" i="7"/>
  <c r="Q7" i="8"/>
  <c r="G7" i="8"/>
  <c r="W7" i="8"/>
  <c r="C7" i="9"/>
  <c r="H2" i="7"/>
  <c r="C3" i="9"/>
  <c r="J12" i="9"/>
  <c r="G17" i="9"/>
  <c r="F7" i="11"/>
  <c r="E6" i="14"/>
  <c r="L6" i="17"/>
  <c r="F3" i="9"/>
  <c r="G7" i="9"/>
  <c r="N8" i="9"/>
  <c r="O12" i="9"/>
  <c r="J14" i="9"/>
  <c r="J17" i="9"/>
  <c r="Q8" i="10"/>
  <c r="G8" i="10"/>
  <c r="Z8" i="10"/>
  <c r="E15" i="10"/>
  <c r="N8" i="11"/>
  <c r="N14" i="11"/>
  <c r="D17" i="11"/>
  <c r="M3" i="12"/>
  <c r="K14" i="12"/>
  <c r="T15" i="12"/>
  <c r="O2" i="13"/>
  <c r="F7" i="13"/>
  <c r="W13" i="13"/>
  <c r="F13" i="13"/>
  <c r="Z13" i="13"/>
  <c r="T13" i="13"/>
  <c r="R13" i="13"/>
  <c r="P13" i="13"/>
  <c r="M13" i="13"/>
  <c r="Q2" i="14"/>
  <c r="M2" i="14"/>
  <c r="AA2" i="14"/>
  <c r="Y2" i="14"/>
  <c r="U2" i="14"/>
  <c r="G6" i="14"/>
  <c r="S15" i="14"/>
  <c r="G6" i="15"/>
  <c r="P6" i="15"/>
  <c r="J6" i="15"/>
  <c r="AA6" i="15"/>
  <c r="X6" i="15"/>
  <c r="W6" i="15"/>
  <c r="T6" i="15"/>
  <c r="O8" i="15"/>
  <c r="Q17" i="18"/>
  <c r="F6" i="7"/>
  <c r="J7" i="8"/>
  <c r="F17" i="9"/>
  <c r="O3" i="19"/>
  <c r="J3" i="19"/>
  <c r="I3" i="19"/>
  <c r="H3" i="19"/>
  <c r="G3" i="19"/>
  <c r="F3" i="19"/>
  <c r="D3" i="19"/>
  <c r="AB3" i="19"/>
  <c r="C3" i="19"/>
  <c r="Y3" i="19"/>
  <c r="W3" i="19"/>
  <c r="V3" i="19"/>
  <c r="U3" i="19"/>
  <c r="T3" i="19"/>
  <c r="S3" i="19"/>
  <c r="R3" i="19"/>
  <c r="P3" i="19"/>
  <c r="N3" i="19"/>
  <c r="M3" i="19"/>
  <c r="K3" i="19"/>
  <c r="X14" i="10"/>
  <c r="W14" i="10"/>
  <c r="Q14" i="10"/>
  <c r="H14" i="10"/>
  <c r="AB14" i="10"/>
  <c r="E14" i="10"/>
  <c r="C15" i="10"/>
  <c r="E7" i="13"/>
  <c r="N17" i="18"/>
  <c r="E3" i="19"/>
  <c r="T3" i="5"/>
  <c r="X7" i="5"/>
  <c r="O14" i="5"/>
  <c r="R15" i="5"/>
  <c r="W17" i="5"/>
  <c r="J8" i="6"/>
  <c r="G13" i="6"/>
  <c r="H17" i="6"/>
  <c r="I2" i="7"/>
  <c r="O6" i="7"/>
  <c r="Q7" i="7"/>
  <c r="E13" i="7"/>
  <c r="O14" i="7"/>
  <c r="S15" i="7"/>
  <c r="K17" i="7"/>
  <c r="L2" i="8"/>
  <c r="M7" i="8"/>
  <c r="S14" i="8"/>
  <c r="W2" i="10"/>
  <c r="J2" i="10"/>
  <c r="C2" i="10"/>
  <c r="V2" i="10"/>
  <c r="N2" i="10"/>
  <c r="G7" i="11"/>
  <c r="U3" i="5"/>
  <c r="Y7" i="5"/>
  <c r="V14" i="5"/>
  <c r="S15" i="5"/>
  <c r="X17" i="5"/>
  <c r="U8" i="6"/>
  <c r="H13" i="6"/>
  <c r="O15" i="6"/>
  <c r="K2" i="7"/>
  <c r="P6" i="7"/>
  <c r="R7" i="7"/>
  <c r="Q14" i="7"/>
  <c r="T15" i="7"/>
  <c r="L17" i="7"/>
  <c r="M2" i="8"/>
  <c r="O7" i="8"/>
  <c r="R13" i="8"/>
  <c r="T14" i="8"/>
  <c r="G3" i="9"/>
  <c r="I7" i="9"/>
  <c r="P8" i="9"/>
  <c r="U12" i="9"/>
  <c r="K14" i="9"/>
  <c r="K17" i="9"/>
  <c r="D2" i="10"/>
  <c r="C8" i="10"/>
  <c r="D14" i="10"/>
  <c r="F15" i="10"/>
  <c r="H7" i="11"/>
  <c r="O8" i="11"/>
  <c r="O14" i="11"/>
  <c r="J17" i="11"/>
  <c r="N3" i="12"/>
  <c r="L14" i="12"/>
  <c r="V15" i="12"/>
  <c r="P2" i="13"/>
  <c r="G7" i="13"/>
  <c r="G13" i="13"/>
  <c r="E2" i="14"/>
  <c r="H6" i="14"/>
  <c r="T15" i="14"/>
  <c r="R8" i="15"/>
  <c r="Y7" i="17"/>
  <c r="X7" i="17"/>
  <c r="V7" i="17"/>
  <c r="U7" i="17"/>
  <c r="R7" i="17"/>
  <c r="K7" i="17"/>
  <c r="J7" i="17"/>
  <c r="H7" i="17"/>
  <c r="F7" i="17"/>
  <c r="E7" i="17"/>
  <c r="D7" i="17"/>
  <c r="T17" i="18"/>
  <c r="Z3" i="19"/>
  <c r="U7" i="5"/>
  <c r="H12" i="9"/>
  <c r="D12" i="9"/>
  <c r="C7" i="13"/>
  <c r="E6" i="17"/>
  <c r="C6" i="17"/>
  <c r="M6" i="17"/>
  <c r="Z13" i="7"/>
  <c r="I13" i="7"/>
  <c r="R13" i="7"/>
  <c r="N13" i="7"/>
  <c r="H13" i="7"/>
  <c r="Q8" i="9"/>
  <c r="W12" i="9"/>
  <c r="M17" i="9"/>
  <c r="Y14" i="5"/>
  <c r="U7" i="7"/>
  <c r="S7" i="8"/>
  <c r="V14" i="8"/>
  <c r="S3" i="9"/>
  <c r="L7" i="9"/>
  <c r="R8" i="9"/>
  <c r="Y12" i="9"/>
  <c r="M14" i="9"/>
  <c r="P17" i="9"/>
  <c r="F2" i="10"/>
  <c r="K8" i="10"/>
  <c r="G14" i="10"/>
  <c r="K7" i="11"/>
  <c r="R8" i="11"/>
  <c r="Q14" i="11"/>
  <c r="P17" i="11"/>
  <c r="V14" i="12"/>
  <c r="Z15" i="12"/>
  <c r="R2" i="13"/>
  <c r="M6" i="14"/>
  <c r="D15" i="18"/>
  <c r="C15" i="18"/>
  <c r="AB15" i="18"/>
  <c r="AA15" i="18"/>
  <c r="Z15" i="18"/>
  <c r="Y15" i="18"/>
  <c r="X15" i="18"/>
  <c r="W15" i="18"/>
  <c r="S15" i="18"/>
  <c r="M15" i="18"/>
  <c r="K15" i="18"/>
  <c r="J15" i="18"/>
  <c r="E15" i="18"/>
  <c r="N17" i="6"/>
  <c r="D17" i="6"/>
  <c r="L17" i="6"/>
  <c r="Y7" i="13"/>
  <c r="S7" i="13"/>
  <c r="H7" i="13"/>
  <c r="Z7" i="13"/>
  <c r="X15" i="10"/>
  <c r="U15" i="10"/>
  <c r="N15" i="10"/>
  <c r="D15" i="10"/>
  <c r="Z15" i="10"/>
  <c r="V7" i="5"/>
  <c r="I8" i="6"/>
  <c r="G17" i="6"/>
  <c r="I13" i="6"/>
  <c r="F14" i="10"/>
  <c r="G15" i="10"/>
  <c r="I7" i="11"/>
  <c r="V17" i="16"/>
  <c r="U17" i="16"/>
  <c r="J17" i="16"/>
  <c r="H17" i="16"/>
  <c r="C17" i="16"/>
  <c r="AB17" i="16"/>
  <c r="AA3" i="19"/>
  <c r="AA7" i="5"/>
  <c r="U15" i="5"/>
  <c r="M17" i="6"/>
  <c r="J13" i="7"/>
  <c r="T14" i="7"/>
  <c r="V15" i="7"/>
  <c r="Q17" i="7"/>
  <c r="AB7" i="5"/>
  <c r="Z14" i="5"/>
  <c r="V15" i="5"/>
  <c r="T7" i="8"/>
  <c r="W14" i="8"/>
  <c r="Y3" i="9"/>
  <c r="M7" i="9"/>
  <c r="T8" i="9"/>
  <c r="Z12" i="9"/>
  <c r="N14" i="9"/>
  <c r="Q17" i="9"/>
  <c r="G2" i="10"/>
  <c r="N8" i="10"/>
  <c r="I14" i="10"/>
  <c r="I15" i="10"/>
  <c r="L7" i="11"/>
  <c r="T8" i="11"/>
  <c r="R14" i="11"/>
  <c r="AB17" i="11"/>
  <c r="Y3" i="12"/>
  <c r="W14" i="12"/>
  <c r="U2" i="13"/>
  <c r="M7" i="13"/>
  <c r="N13" i="13"/>
  <c r="X15" i="13"/>
  <c r="J15" i="13"/>
  <c r="AB15" i="13"/>
  <c r="D15" i="13"/>
  <c r="V15" i="13"/>
  <c r="S15" i="13"/>
  <c r="Q15" i="13"/>
  <c r="N15" i="13"/>
  <c r="L2" i="14"/>
  <c r="O6" i="14"/>
  <c r="Y15" i="14"/>
  <c r="G17" i="16"/>
  <c r="AB6" i="18"/>
  <c r="W6" i="18"/>
  <c r="Q6" i="18"/>
  <c r="P6" i="18"/>
  <c r="K6" i="18"/>
  <c r="J6" i="18"/>
  <c r="I6" i="18"/>
  <c r="Q15" i="18"/>
  <c r="C17" i="6"/>
  <c r="C7" i="11"/>
  <c r="G2" i="7"/>
  <c r="C17" i="11"/>
  <c r="K17" i="6"/>
  <c r="M2" i="7"/>
  <c r="M17" i="7"/>
  <c r="P7" i="8"/>
  <c r="Q14" i="12"/>
  <c r="K6" i="14"/>
  <c r="M13" i="6"/>
  <c r="N2" i="7"/>
  <c r="I6" i="6"/>
  <c r="P6" i="6"/>
  <c r="N13" i="6"/>
  <c r="O17" i="6"/>
  <c r="O2" i="7"/>
  <c r="S6" i="7"/>
  <c r="W7" i="7"/>
  <c r="AA14" i="5"/>
  <c r="W15" i="5"/>
  <c r="E6" i="6"/>
  <c r="O13" i="6"/>
  <c r="T15" i="6"/>
  <c r="P17" i="6"/>
  <c r="P2" i="7"/>
  <c r="U6" i="7"/>
  <c r="Y7" i="7"/>
  <c r="M13" i="7"/>
  <c r="X14" i="7"/>
  <c r="Y15" i="7"/>
  <c r="U17" i="7"/>
  <c r="S2" i="8"/>
  <c r="AA6" i="11"/>
  <c r="E6" i="11"/>
  <c r="O6" i="11"/>
  <c r="J6" i="11"/>
  <c r="M7" i="11"/>
  <c r="T14" i="11"/>
  <c r="Z3" i="12"/>
  <c r="V2" i="13"/>
  <c r="N7" i="13"/>
  <c r="O13" i="13"/>
  <c r="C15" i="13"/>
  <c r="O2" i="14"/>
  <c r="P6" i="14"/>
  <c r="Z15" i="14"/>
  <c r="R17" i="16"/>
  <c r="E6" i="18"/>
  <c r="AA7" i="19"/>
  <c r="R7" i="19"/>
  <c r="M7" i="19"/>
  <c r="L7" i="19"/>
  <c r="H7" i="19"/>
  <c r="G7" i="19"/>
  <c r="F7" i="19"/>
  <c r="C7" i="19"/>
  <c r="R14" i="12"/>
  <c r="Y14" i="12"/>
  <c r="W14" i="5"/>
  <c r="N2" i="8"/>
  <c r="R6" i="7"/>
  <c r="Q2" i="8"/>
  <c r="F12" i="7"/>
  <c r="Y12" i="7"/>
  <c r="N12" i="7"/>
  <c r="K12" i="7"/>
  <c r="K13" i="7"/>
  <c r="V14" i="7"/>
  <c r="W15" i="7"/>
  <c r="S17" i="7"/>
  <c r="R2" i="8"/>
  <c r="U7" i="8"/>
  <c r="W13" i="8"/>
  <c r="Y14" i="8"/>
  <c r="Z3" i="9"/>
  <c r="P7" i="9"/>
  <c r="U8" i="9"/>
  <c r="AA12" i="9"/>
  <c r="O14" i="9"/>
  <c r="R17" i="9"/>
  <c r="H2" i="10"/>
  <c r="AB8" i="10"/>
  <c r="J14" i="10"/>
  <c r="K15" i="10"/>
  <c r="I2" i="11"/>
  <c r="AB14" i="5"/>
  <c r="J6" i="6"/>
  <c r="X12" i="6"/>
  <c r="N12" i="6"/>
  <c r="P13" i="6"/>
  <c r="U15" i="6"/>
  <c r="Q17" i="6"/>
  <c r="Q2" i="7"/>
  <c r="V6" i="7"/>
  <c r="Z7" i="7"/>
  <c r="E12" i="7"/>
  <c r="O13" i="7"/>
  <c r="Y14" i="7"/>
  <c r="Z15" i="7"/>
  <c r="V17" i="7"/>
  <c r="T2" i="8"/>
  <c r="Y7" i="8"/>
  <c r="X13" i="8"/>
  <c r="Q7" i="9"/>
  <c r="Y8" i="9"/>
  <c r="AB12" i="9"/>
  <c r="P14" i="9"/>
  <c r="S17" i="9"/>
  <c r="K2" i="10"/>
  <c r="K14" i="10"/>
  <c r="L15" i="10"/>
  <c r="N2" i="11"/>
  <c r="C6" i="11"/>
  <c r="O7" i="11"/>
  <c r="V14" i="11"/>
  <c r="AB14" i="12"/>
  <c r="X2" i="13"/>
  <c r="R7" i="13"/>
  <c r="Q13" i="13"/>
  <c r="E15" i="13"/>
  <c r="P2" i="14"/>
  <c r="Q6" i="14"/>
  <c r="M6" i="15"/>
  <c r="Y17" i="16"/>
  <c r="T7" i="17"/>
  <c r="O6" i="18"/>
  <c r="U7" i="19"/>
  <c r="AB3" i="9"/>
  <c r="K3" i="9"/>
  <c r="N6" i="7"/>
  <c r="J17" i="7"/>
  <c r="X15" i="5"/>
  <c r="AB15" i="5"/>
  <c r="E15" i="5"/>
  <c r="X6" i="7"/>
  <c r="L14" i="10"/>
  <c r="P12" i="11"/>
  <c r="I12" i="11"/>
  <c r="Y12" i="11"/>
  <c r="X15" i="12"/>
  <c r="R15" i="12"/>
  <c r="L15" i="12"/>
  <c r="AA15" i="12"/>
  <c r="C15" i="12"/>
  <c r="W15" i="12"/>
  <c r="Y2" i="13"/>
  <c r="U7" i="13"/>
  <c r="R6" i="14"/>
  <c r="Y14" i="14"/>
  <c r="S14" i="14"/>
  <c r="P3" i="15"/>
  <c r="L3" i="15"/>
  <c r="E3" i="15"/>
  <c r="Z3" i="15"/>
  <c r="Y3" i="15"/>
  <c r="X3" i="15"/>
  <c r="T3" i="15"/>
  <c r="Z17" i="16"/>
  <c r="Q7" i="11"/>
  <c r="J7" i="11"/>
  <c r="AB7" i="11"/>
  <c r="D7" i="11"/>
  <c r="R7" i="11"/>
  <c r="N7" i="11"/>
  <c r="S14" i="7"/>
  <c r="Q13" i="7"/>
  <c r="T17" i="9"/>
  <c r="M15" i="10"/>
  <c r="P7" i="11"/>
  <c r="W14" i="11"/>
  <c r="AB6" i="5"/>
  <c r="K6" i="5"/>
  <c r="C15" i="5"/>
  <c r="AA15" i="5"/>
  <c r="L6" i="6"/>
  <c r="S17" i="6"/>
  <c r="S2" i="7"/>
  <c r="Z6" i="7"/>
  <c r="H12" i="7"/>
  <c r="S13" i="7"/>
  <c r="AB14" i="7"/>
  <c r="AA17" i="7"/>
  <c r="W2" i="8"/>
  <c r="Z15" i="8"/>
  <c r="G15" i="8"/>
  <c r="N15" i="8"/>
  <c r="K15" i="8"/>
  <c r="T7" i="9"/>
  <c r="C13" i="9"/>
  <c r="S14" i="9"/>
  <c r="W17" i="9"/>
  <c r="M2" i="10"/>
  <c r="M14" i="10"/>
  <c r="O15" i="10"/>
  <c r="D3" i="11"/>
  <c r="M3" i="11"/>
  <c r="J3" i="11"/>
  <c r="H6" i="11"/>
  <c r="S7" i="11"/>
  <c r="C12" i="11"/>
  <c r="X14" i="11"/>
  <c r="D7" i="12"/>
  <c r="P7" i="12"/>
  <c r="I7" i="12"/>
  <c r="D15" i="12"/>
  <c r="W7" i="13"/>
  <c r="U13" i="13"/>
  <c r="G15" i="13"/>
  <c r="V2" i="14"/>
  <c r="T6" i="14"/>
  <c r="R14" i="14"/>
  <c r="C3" i="15"/>
  <c r="O6" i="15"/>
  <c r="Z7" i="17"/>
  <c r="Z17" i="17"/>
  <c r="W17" i="17"/>
  <c r="U17" i="17"/>
  <c r="R17" i="17"/>
  <c r="O17" i="17"/>
  <c r="M17" i="17"/>
  <c r="L17" i="17"/>
  <c r="AA6" i="18"/>
  <c r="AB13" i="6"/>
  <c r="K13" i="6"/>
  <c r="S13" i="6"/>
  <c r="N14" i="7"/>
  <c r="J7" i="9"/>
  <c r="Q13" i="6"/>
  <c r="R17" i="6"/>
  <c r="R2" i="7"/>
  <c r="AB13" i="5"/>
  <c r="F13" i="5"/>
  <c r="T17" i="6"/>
  <c r="AB6" i="7"/>
  <c r="X14" i="8"/>
  <c r="I14" i="8"/>
  <c r="Z14" i="8"/>
  <c r="C14" i="8"/>
  <c r="P14" i="8"/>
  <c r="M14" i="8"/>
  <c r="D13" i="9"/>
  <c r="T14" i="9"/>
  <c r="X17" i="9"/>
  <c r="P2" i="10"/>
  <c r="N14" i="10"/>
  <c r="P15" i="10"/>
  <c r="T7" i="11"/>
  <c r="E12" i="11"/>
  <c r="AA14" i="11"/>
  <c r="E15" i="12"/>
  <c r="AA3" i="13"/>
  <c r="F3" i="13"/>
  <c r="P3" i="13"/>
  <c r="L3" i="13"/>
  <c r="X7" i="13"/>
  <c r="V13" i="13"/>
  <c r="H15" i="13"/>
  <c r="X2" i="14"/>
  <c r="W6" i="14"/>
  <c r="AB14" i="14"/>
  <c r="D3" i="15"/>
  <c r="Z2" i="17"/>
  <c r="W2" i="17"/>
  <c r="L2" i="17"/>
  <c r="I2" i="17"/>
  <c r="G2" i="17"/>
  <c r="F2" i="17"/>
  <c r="E17" i="17"/>
  <c r="I7" i="5"/>
  <c r="Y7" i="9"/>
  <c r="N7" i="9"/>
  <c r="F7" i="9"/>
  <c r="V7" i="9"/>
  <c r="S7" i="9"/>
  <c r="E17" i="9"/>
  <c r="G6" i="17"/>
  <c r="D7" i="9"/>
  <c r="I7" i="13"/>
  <c r="T13" i="6"/>
  <c r="T13" i="7"/>
  <c r="G7" i="7"/>
  <c r="D7" i="7"/>
  <c r="V7" i="7"/>
  <c r="L7" i="7"/>
  <c r="D14" i="8"/>
  <c r="O14" i="10"/>
  <c r="Q15" i="10"/>
  <c r="K6" i="11"/>
  <c r="U7" i="11"/>
  <c r="F12" i="11"/>
  <c r="F15" i="12"/>
  <c r="C3" i="13"/>
  <c r="AA7" i="13"/>
  <c r="X13" i="13"/>
  <c r="I15" i="13"/>
  <c r="Z2" i="14"/>
  <c r="X6" i="14"/>
  <c r="X15" i="14"/>
  <c r="V15" i="14"/>
  <c r="P15" i="14"/>
  <c r="K15" i="14"/>
  <c r="I15" i="14"/>
  <c r="G15" i="14"/>
  <c r="AA15" i="14"/>
  <c r="D15" i="14"/>
  <c r="F3" i="15"/>
  <c r="AB14" i="15"/>
  <c r="M14" i="15"/>
  <c r="D14" i="15"/>
  <c r="J2" i="17"/>
  <c r="Q17" i="17"/>
  <c r="Y2" i="7"/>
  <c r="L2" i="7"/>
  <c r="H6" i="7"/>
  <c r="X17" i="18"/>
  <c r="V17" i="18"/>
  <c r="U17" i="18"/>
  <c r="S17" i="18"/>
  <c r="R17" i="18"/>
  <c r="P17" i="18"/>
  <c r="O17" i="18"/>
  <c r="L17" i="18"/>
  <c r="J17" i="18"/>
  <c r="I17" i="18"/>
  <c r="G17" i="18"/>
  <c r="E17" i="18"/>
  <c r="D17" i="18"/>
  <c r="C17" i="18"/>
  <c r="AB17" i="18"/>
  <c r="AA17" i="18"/>
  <c r="Y17" i="18"/>
  <c r="W17" i="18"/>
  <c r="I6" i="7"/>
  <c r="D7" i="13"/>
  <c r="K7" i="8"/>
  <c r="M8" i="9"/>
  <c r="Z15" i="5"/>
  <c r="U2" i="8"/>
  <c r="Z7" i="8"/>
  <c r="R7" i="9"/>
  <c r="X15" i="7"/>
  <c r="K15" i="7"/>
  <c r="AB15" i="7"/>
  <c r="E15" i="7"/>
  <c r="R15" i="7"/>
  <c r="O15" i="7"/>
  <c r="Z2" i="8"/>
  <c r="D13" i="5"/>
  <c r="F15" i="5"/>
  <c r="T2" i="6"/>
  <c r="V13" i="6"/>
  <c r="V13" i="7"/>
  <c r="J6" i="5"/>
  <c r="G13" i="5"/>
  <c r="G15" i="5"/>
  <c r="D17" i="5"/>
  <c r="Z2" i="6"/>
  <c r="O6" i="6"/>
  <c r="Y13" i="6"/>
  <c r="L13" i="8"/>
  <c r="F13" i="8"/>
  <c r="S13" i="8"/>
  <c r="P13" i="8"/>
  <c r="E14" i="8"/>
  <c r="X7" i="9"/>
  <c r="V14" i="9"/>
  <c r="X2" i="10"/>
  <c r="G12" i="10"/>
  <c r="P14" i="10"/>
  <c r="R15" i="10"/>
  <c r="H3" i="11"/>
  <c r="L6" i="11"/>
  <c r="V7" i="11"/>
  <c r="G12" i="11"/>
  <c r="G15" i="12"/>
  <c r="D3" i="13"/>
  <c r="AB7" i="13"/>
  <c r="AB12" i="13"/>
  <c r="T12" i="13"/>
  <c r="L12" i="13"/>
  <c r="I12" i="13"/>
  <c r="D12" i="13"/>
  <c r="Y13" i="13"/>
  <c r="K15" i="13"/>
  <c r="AB2" i="14"/>
  <c r="C15" i="14"/>
  <c r="G3" i="15"/>
  <c r="S6" i="15"/>
  <c r="E14" i="15"/>
  <c r="Z6" i="16"/>
  <c r="T6" i="16"/>
  <c r="O6" i="16"/>
  <c r="L6" i="16"/>
  <c r="K6" i="16"/>
  <c r="J6" i="16"/>
  <c r="H6" i="16"/>
  <c r="G6" i="16"/>
  <c r="F6" i="16"/>
  <c r="X17" i="17"/>
  <c r="N7" i="5"/>
  <c r="F17" i="6"/>
  <c r="U6" i="14"/>
  <c r="S6" i="14"/>
  <c r="N6" i="14"/>
  <c r="L6" i="14"/>
  <c r="J6" i="14"/>
  <c r="F6" i="14"/>
  <c r="F12" i="14"/>
  <c r="S3" i="5"/>
  <c r="V3" i="5"/>
  <c r="Z7" i="5"/>
  <c r="Q6" i="7"/>
  <c r="O3" i="9"/>
  <c r="AA13" i="9"/>
  <c r="Q13" i="9"/>
  <c r="D15" i="5"/>
  <c r="U17" i="6"/>
  <c r="W7" i="9"/>
  <c r="M13" i="9"/>
  <c r="U14" i="9"/>
  <c r="X15" i="6"/>
  <c r="L15" i="6"/>
  <c r="S15" i="6"/>
  <c r="AA15" i="6"/>
  <c r="V17" i="6"/>
  <c r="C7" i="7"/>
  <c r="M12" i="7"/>
  <c r="W13" i="7"/>
  <c r="D15" i="7"/>
  <c r="M6" i="5"/>
  <c r="H13" i="5"/>
  <c r="H15" i="5"/>
  <c r="J17" i="5"/>
  <c r="AA2" i="6"/>
  <c r="AA6" i="6"/>
  <c r="U14" i="6"/>
  <c r="N14" i="6"/>
  <c r="W14" i="6"/>
  <c r="C15" i="6"/>
  <c r="AB15" i="6"/>
  <c r="W17" i="6"/>
  <c r="E7" i="7"/>
  <c r="O12" i="7"/>
  <c r="X13" i="7"/>
  <c r="F15" i="7"/>
  <c r="C13" i="8"/>
  <c r="F14" i="8"/>
  <c r="I15" i="8"/>
  <c r="AA7" i="9"/>
  <c r="W13" i="9"/>
  <c r="Y2" i="10"/>
  <c r="C6" i="10"/>
  <c r="Z12" i="10"/>
  <c r="R14" i="10"/>
  <c r="T15" i="10"/>
  <c r="I3" i="11"/>
  <c r="P6" i="11"/>
  <c r="W7" i="11"/>
  <c r="J12" i="11"/>
  <c r="J7" i="12"/>
  <c r="H15" i="12"/>
  <c r="O17" i="12"/>
  <c r="E3" i="13"/>
  <c r="H12" i="13"/>
  <c r="U14" i="13"/>
  <c r="K14" i="13"/>
  <c r="W14" i="13"/>
  <c r="T14" i="13"/>
  <c r="R14" i="13"/>
  <c r="O14" i="13"/>
  <c r="L15" i="13"/>
  <c r="AA6" i="14"/>
  <c r="E15" i="14"/>
  <c r="I3" i="15"/>
  <c r="U6" i="15"/>
  <c r="N14" i="15"/>
  <c r="E6" i="16"/>
  <c r="Y17" i="17"/>
  <c r="Z17" i="9"/>
  <c r="U17" i="9"/>
  <c r="O17" i="9"/>
  <c r="X17" i="6"/>
  <c r="AB7" i="9"/>
  <c r="S14" i="10"/>
  <c r="V15" i="10"/>
  <c r="X7" i="11"/>
  <c r="S2" i="13"/>
  <c r="F2" i="13"/>
  <c r="Z2" i="13"/>
  <c r="N2" i="13"/>
  <c r="J2" i="13"/>
  <c r="J3" i="15"/>
  <c r="J8" i="15"/>
  <c r="C8" i="15"/>
  <c r="AB8" i="15"/>
  <c r="Z8" i="15"/>
  <c r="X8" i="15"/>
  <c r="W8" i="15"/>
  <c r="T8" i="15"/>
  <c r="N8" i="15"/>
  <c r="E12" i="9"/>
  <c r="X12" i="9"/>
  <c r="S12" i="9"/>
  <c r="W8" i="9"/>
  <c r="O8" i="9"/>
  <c r="G8" i="9"/>
  <c r="X8" i="9"/>
  <c r="S8" i="9"/>
  <c r="AA13" i="10"/>
  <c r="F13" i="10"/>
  <c r="T14" i="10"/>
  <c r="W15" i="10"/>
  <c r="Z7" i="11"/>
  <c r="S14" i="11"/>
  <c r="C14" i="11"/>
  <c r="U14" i="11"/>
  <c r="K14" i="11"/>
  <c r="H14" i="11"/>
  <c r="J15" i="12"/>
  <c r="C2" i="13"/>
  <c r="K3" i="15"/>
  <c r="D8" i="15"/>
  <c r="K15" i="15"/>
  <c r="E15" i="15"/>
  <c r="AA15" i="15"/>
  <c r="V15" i="15"/>
  <c r="E17" i="6"/>
  <c r="Z17" i="6"/>
  <c r="Z14" i="7"/>
  <c r="M14" i="7"/>
  <c r="D14" i="7"/>
  <c r="U14" i="7"/>
  <c r="R14" i="7"/>
  <c r="AB17" i="7"/>
  <c r="T17" i="7"/>
  <c r="G17" i="7"/>
  <c r="D17" i="7"/>
  <c r="O2" i="8"/>
  <c r="V2" i="8"/>
  <c r="P2" i="8"/>
  <c r="D2" i="8"/>
  <c r="E6" i="8"/>
  <c r="C8" i="9"/>
  <c r="Z13" i="9"/>
  <c r="AA15" i="9"/>
  <c r="M15" i="9"/>
  <c r="D13" i="10"/>
  <c r="U14" i="10"/>
  <c r="Y15" i="10"/>
  <c r="AA7" i="11"/>
  <c r="M12" i="11"/>
  <c r="E14" i="11"/>
  <c r="K15" i="12"/>
  <c r="D2" i="13"/>
  <c r="K3" i="13"/>
  <c r="P15" i="13"/>
  <c r="J15" i="14"/>
  <c r="M3" i="15"/>
  <c r="E8" i="15"/>
  <c r="C15" i="15"/>
  <c r="AA17" i="6"/>
  <c r="C8" i="6"/>
  <c r="AB17" i="6"/>
  <c r="F14" i="7"/>
  <c r="C17" i="7"/>
  <c r="C2" i="8"/>
  <c r="F6" i="8"/>
  <c r="E8" i="9"/>
  <c r="X14" i="9"/>
  <c r="W14" i="9"/>
  <c r="Q14" i="9"/>
  <c r="H14" i="9"/>
  <c r="AB14" i="9"/>
  <c r="E14" i="9"/>
  <c r="K15" i="9"/>
  <c r="H13" i="10"/>
  <c r="V14" i="10"/>
  <c r="AA15" i="10"/>
  <c r="AB8" i="11"/>
  <c r="J8" i="11"/>
  <c r="S8" i="11"/>
  <c r="P8" i="11"/>
  <c r="O12" i="11"/>
  <c r="F14" i="11"/>
  <c r="U3" i="12"/>
  <c r="G3" i="12"/>
  <c r="C12" i="12"/>
  <c r="M15" i="12"/>
  <c r="E2" i="13"/>
  <c r="M3" i="13"/>
  <c r="R15" i="13"/>
  <c r="L15" i="14"/>
  <c r="N3" i="15"/>
  <c r="F8" i="15"/>
  <c r="G15" i="15"/>
  <c r="AB14" i="16"/>
  <c r="Y14" i="16"/>
  <c r="J14" i="16"/>
  <c r="C14" i="16"/>
  <c r="AB8" i="18"/>
  <c r="Y12" i="18"/>
  <c r="H2" i="19"/>
  <c r="N6" i="19"/>
  <c r="M8" i="19"/>
  <c r="C12" i="19"/>
  <c r="K13" i="19"/>
  <c r="T14" i="19"/>
  <c r="Q12" i="17"/>
  <c r="F2" i="18"/>
  <c r="K3" i="18"/>
  <c r="C8" i="18"/>
  <c r="Z12" i="18"/>
  <c r="M2" i="19"/>
  <c r="O6" i="19"/>
  <c r="N8" i="19"/>
  <c r="E12" i="19"/>
  <c r="L13" i="19"/>
  <c r="U14" i="19"/>
  <c r="T12" i="8"/>
  <c r="Q8" i="12"/>
  <c r="K6" i="13"/>
  <c r="U3" i="14"/>
  <c r="Q2" i="15"/>
  <c r="Q7" i="15"/>
  <c r="V12" i="15"/>
  <c r="T13" i="15"/>
  <c r="P2" i="16"/>
  <c r="C8" i="17"/>
  <c r="G2" i="18"/>
  <c r="M3" i="18"/>
  <c r="D8" i="18"/>
  <c r="N2" i="19"/>
  <c r="R6" i="19"/>
  <c r="O8" i="19"/>
  <c r="F12" i="19"/>
  <c r="M13" i="19"/>
  <c r="V14" i="19"/>
  <c r="O2" i="19"/>
  <c r="W6" i="19"/>
  <c r="P8" i="19"/>
  <c r="G12" i="19"/>
  <c r="O13" i="19"/>
  <c r="AB14" i="19"/>
  <c r="U3" i="7"/>
  <c r="I8" i="7"/>
  <c r="E3" i="8"/>
  <c r="W12" i="8"/>
  <c r="P6" i="13"/>
  <c r="X3" i="14"/>
  <c r="J7" i="14"/>
  <c r="U2" i="15"/>
  <c r="T7" i="15"/>
  <c r="Z12" i="15"/>
  <c r="Z13" i="15"/>
  <c r="U2" i="16"/>
  <c r="I7" i="16"/>
  <c r="H8" i="17"/>
  <c r="U12" i="17"/>
  <c r="H15" i="17"/>
  <c r="L2" i="18"/>
  <c r="Q3" i="18"/>
  <c r="G8" i="18"/>
  <c r="H13" i="18"/>
  <c r="R2" i="19"/>
  <c r="R8" i="19"/>
  <c r="I12" i="19"/>
  <c r="Q13" i="19"/>
  <c r="C15" i="19"/>
  <c r="V2" i="15"/>
  <c r="U7" i="15"/>
  <c r="AA12" i="15"/>
  <c r="AA13" i="15"/>
  <c r="W2" i="16"/>
  <c r="J7" i="16"/>
  <c r="J8" i="17"/>
  <c r="V12" i="17"/>
  <c r="I15" i="17"/>
  <c r="M2" i="18"/>
  <c r="R3" i="18"/>
  <c r="J8" i="18"/>
  <c r="P13" i="18"/>
  <c r="S2" i="19"/>
  <c r="S8" i="19"/>
  <c r="J12" i="19"/>
  <c r="T13" i="19"/>
  <c r="E15" i="19"/>
  <c r="Z3" i="14"/>
  <c r="AB13" i="15"/>
  <c r="X2" i="16"/>
  <c r="N8" i="17"/>
  <c r="W12" i="17"/>
  <c r="N15" i="17"/>
  <c r="N2" i="18"/>
  <c r="S3" i="18"/>
  <c r="K8" i="18"/>
  <c r="U2" i="19"/>
  <c r="T8" i="19"/>
  <c r="L12" i="19"/>
  <c r="V13" i="19"/>
  <c r="F15" i="19"/>
  <c r="V2" i="19"/>
  <c r="V8" i="19"/>
  <c r="P12" i="19"/>
  <c r="W13" i="19"/>
  <c r="G15" i="19"/>
  <c r="AA2" i="15"/>
  <c r="Y7" i="15"/>
  <c r="D12" i="15"/>
  <c r="AA2" i="16"/>
  <c r="P8" i="17"/>
  <c r="P2" i="18"/>
  <c r="W3" i="18"/>
  <c r="N8" i="18"/>
  <c r="H14" i="18"/>
  <c r="W2" i="19"/>
  <c r="W8" i="19"/>
  <c r="J15" i="19"/>
  <c r="P7" i="16"/>
  <c r="Q8" i="17"/>
  <c r="AB12" i="17"/>
  <c r="R2" i="18"/>
  <c r="Y3" i="18"/>
  <c r="O8" i="18"/>
  <c r="L14" i="18"/>
  <c r="X2" i="19"/>
  <c r="Y8" i="19"/>
  <c r="R12" i="19"/>
  <c r="Z13" i="19"/>
  <c r="L15" i="19"/>
  <c r="C17" i="19"/>
  <c r="C3" i="16"/>
  <c r="R8" i="17"/>
  <c r="S2" i="18"/>
  <c r="P8" i="18"/>
  <c r="Q14" i="18"/>
  <c r="Z2" i="19"/>
  <c r="Z8" i="19"/>
  <c r="T12" i="19"/>
  <c r="AA13" i="19"/>
  <c r="M15" i="19"/>
  <c r="E17" i="19"/>
  <c r="O15" i="19"/>
  <c r="F17" i="19"/>
  <c r="AB8" i="19"/>
  <c r="V12" i="19"/>
  <c r="F14" i="19"/>
  <c r="P15" i="19"/>
  <c r="G17" i="19"/>
  <c r="P3" i="8"/>
  <c r="G3" i="14"/>
  <c r="V7" i="14"/>
  <c r="Q13" i="14"/>
  <c r="G2" i="15"/>
  <c r="G7" i="15"/>
  <c r="K12" i="15"/>
  <c r="I13" i="15"/>
  <c r="S3" i="16"/>
  <c r="U7" i="16"/>
  <c r="K12" i="16"/>
  <c r="U8" i="17"/>
  <c r="E12" i="17"/>
  <c r="N13" i="17"/>
  <c r="X2" i="18"/>
  <c r="S8" i="18"/>
  <c r="V14" i="18"/>
  <c r="C8" i="19"/>
  <c r="Y12" i="19"/>
  <c r="G14" i="19"/>
  <c r="Q15" i="19"/>
  <c r="M17" i="19"/>
  <c r="T8" i="18"/>
  <c r="X14" i="18"/>
  <c r="D8" i="19"/>
  <c r="AA12" i="19"/>
  <c r="H14" i="19"/>
  <c r="W15" i="19"/>
  <c r="O17" i="19"/>
  <c r="E8" i="19"/>
  <c r="AB12" i="19"/>
  <c r="J14" i="19"/>
  <c r="Y15" i="19"/>
  <c r="Q17" i="19"/>
  <c r="X3" i="16"/>
  <c r="Y8" i="17"/>
  <c r="D7" i="18"/>
  <c r="V8" i="18"/>
  <c r="AA14" i="18"/>
  <c r="D6" i="19"/>
  <c r="F8" i="19"/>
  <c r="K14" i="19"/>
  <c r="AA15" i="19"/>
  <c r="R17" i="19"/>
  <c r="AA8" i="17"/>
  <c r="I12" i="17"/>
  <c r="U13" i="17"/>
  <c r="D3" i="18"/>
  <c r="G7" i="18"/>
  <c r="W8" i="18"/>
  <c r="E6" i="19"/>
  <c r="G8" i="19"/>
  <c r="C13" i="19"/>
  <c r="L14" i="19"/>
  <c r="AB15" i="19"/>
  <c r="V17" i="19"/>
  <c r="G6" i="19"/>
  <c r="H8" i="19"/>
  <c r="D13" i="19"/>
  <c r="O14" i="19"/>
  <c r="Y17" i="19"/>
  <c r="L3" i="7"/>
  <c r="AA8" i="7"/>
  <c r="Z3" i="8"/>
  <c r="M2" i="15"/>
  <c r="M7" i="15"/>
  <c r="Q12" i="15"/>
  <c r="O13" i="15"/>
  <c r="J13" i="16"/>
  <c r="M12" i="17"/>
  <c r="H3" i="18"/>
  <c r="AA7" i="18"/>
  <c r="Y8" i="18"/>
  <c r="C2" i="19"/>
  <c r="H6" i="19"/>
  <c r="J8" i="19"/>
  <c r="E13" i="19"/>
  <c r="Q14" i="19"/>
  <c r="AA17" i="19"/>
  <c r="I3" i="18"/>
  <c r="F2" i="19"/>
  <c r="J6" i="19"/>
  <c r="K8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<sst xmlns="http://schemas.openxmlformats.org/spreadsheetml/2006/main" count="3113" uniqueCount="587">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</sst>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114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NE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8.3109087998042824E-3</v>
      </c>
      <c r="C2" s="7">
        <f>$B2 * IFERROR(VLOOKUP("transport|PM25|Premature mortality", US_national_yearly!$D:$AM, 11, FALSE) / VLOOKUP("transport|PM25|Premature mortality", US_national_yearly!$D:$AM, 10, FALSE), 1)</f>
        <v>8.4139458556804596E-3</v>
      </c>
      <c r="D2" s="7">
        <f>$B2 * IFERROR(VLOOKUP("transport|PM25|Premature mortality", US_national_yearly!$D:$AM, 12, FALSE) / VLOOKUP("transport|PM25|Premature mortality", US_national_yearly!$D:$AM, 10, FALSE), 1)</f>
        <v>8.5169829115566368E-3</v>
      </c>
      <c r="E2" s="7">
        <f>$B2 * IFERROR(VLOOKUP("transport|PM25|Premature mortality", US_national_yearly!$D:$AM, 13, FALSE) / VLOOKUP("transport|PM25|Premature mortality", US_national_yearly!$D:$AM, 10, FALSE), 1)</f>
        <v>8.6200199674328123E-3</v>
      </c>
      <c r="F2" s="7">
        <f>$B2 * IFERROR(VLOOKUP("transport|PM25|Premature mortality", US_national_yearly!$D:$AM, 14, FALSE) / VLOOKUP("transport|PM25|Premature mortality", US_national_yearly!$D:$AM, 10, FALSE), 1)</f>
        <v>8.7230570233089895E-3</v>
      </c>
      <c r="G2" s="7">
        <f>$B2 * IFERROR(VLOOKUP("transport|PM25|Premature mortality", US_national_yearly!$D:$AM, 15, FALSE) / VLOOKUP("transport|PM25|Premature mortality", US_national_yearly!$D:$AM, 10, FALSE), 1)</f>
        <v>8.923720912540763E-3</v>
      </c>
      <c r="H2" s="7">
        <f>$B2 * IFERROR(VLOOKUP("transport|PM25|Premature mortality", US_national_yearly!$D:$AM, 16, FALSE) / VLOOKUP("transport|PM25|Premature mortality", US_national_yearly!$D:$AM, 10, FALSE), 1)</f>
        <v>9.1243848017725365E-3</v>
      </c>
      <c r="I2" s="7">
        <f>$B2 * IFERROR(VLOOKUP("transport|PM25|Premature mortality", US_national_yearly!$D:$AM, 17, FALSE) / VLOOKUP("transport|PM25|Premature mortality", US_national_yearly!$D:$AM, 10, FALSE), 1)</f>
        <v>9.2561892911935586E-3</v>
      </c>
      <c r="J2" s="7">
        <f>$B2 * IFERROR(VLOOKUP("transport|PM25|Premature mortality", US_national_yearly!$D:$AM, 18, FALSE) / VLOOKUP("transport|PM25|Premature mortality", US_national_yearly!$D:$AM, 10, FALSE), 1)</f>
        <v>9.3879937806145841E-3</v>
      </c>
      <c r="K2" s="7">
        <f>$B2 * IFERROR(VLOOKUP("transport|PM25|Premature mortality", US_national_yearly!$D:$AM, 19, FALSE) / VLOOKUP("transport|PM25|Premature mortality", US_national_yearly!$D:$AM, 10, FALSE), 1)</f>
        <v>9.5197982700356096E-3</v>
      </c>
      <c r="L2" s="7">
        <f>$B2 * IFERROR(VLOOKUP("transport|PM25|Premature mortality", US_national_yearly!$D:$AM, 20, FALSE) / VLOOKUP("transport|PM25|Premature mortality", US_national_yearly!$D:$AM, 10, FALSE), 1)</f>
        <v>9.6516027594566352E-3</v>
      </c>
      <c r="M2" s="7">
        <f>$B2 * IFERROR(VLOOKUP("transport|PM25|Premature mortality", US_national_yearly!$D:$AM, 21, FALSE) / VLOOKUP("transport|PM25|Premature mortality", US_national_yearly!$D:$AM, 10, FALSE), 1)</f>
        <v>9.783407248877659E-3</v>
      </c>
      <c r="N2" s="7">
        <f>$B2 * IFERROR(VLOOKUP("transport|PM25|Premature mortality", US_national_yearly!$D:$AM, 22, FALSE) / VLOOKUP("transport|PM25|Premature mortality", US_national_yearly!$D:$AM, 10, FALSE), 1)</f>
        <v>9.8857450463429655E-3</v>
      </c>
      <c r="O2" s="7">
        <f>$B2 * IFERROR(VLOOKUP("transport|PM25|Premature mortality", US_national_yearly!$D:$AM, 23, FALSE) / VLOOKUP("transport|PM25|Premature mortality", US_national_yearly!$D:$AM, 10, FALSE), 1)</f>
        <v>9.9880828438082721E-3</v>
      </c>
      <c r="P2" s="7">
        <f>$B2 * IFERROR(VLOOKUP("transport|PM25|Premature mortality", US_national_yearly!$D:$AM, 24, FALSE) / VLOOKUP("transport|PM25|Premature mortality", US_national_yearly!$D:$AM, 10, FALSE), 1)</f>
        <v>1.0090420641273579E-2</v>
      </c>
      <c r="Q2" s="7">
        <f>$B2 * IFERROR(VLOOKUP("transport|PM25|Premature mortality", US_national_yearly!$D:$AM, 25, FALSE) / VLOOKUP("transport|PM25|Premature mortality", US_national_yearly!$D:$AM, 10, FALSE), 1)</f>
        <v>1.0192758438738885E-2</v>
      </c>
      <c r="R2" s="7">
        <f>$B2 * IFERROR(VLOOKUP("transport|PM25|Premature mortality", US_national_yearly!$D:$AM, 26, FALSE) / VLOOKUP("transport|PM25|Premature mortality", US_national_yearly!$D:$AM, 10, FALSE), 1)</f>
        <v>1.0295096236204193E-2</v>
      </c>
      <c r="S2" s="7">
        <f>$B2 * IFERROR(VLOOKUP("transport|PM25|Premature mortality", US_national_yearly!$D:$AM, 27, FALSE) / VLOOKUP("transport|PM25|Premature mortality", US_national_yearly!$D:$AM, 10, FALSE), 1)</f>
        <v>1.0349311760744006E-2</v>
      </c>
      <c r="T2" s="7">
        <f>$B2 * IFERROR(VLOOKUP("transport|PM25|Premature mortality", US_national_yearly!$D:$AM, 28, FALSE) / VLOOKUP("transport|PM25|Premature mortality", US_national_yearly!$D:$AM, 10, FALSE), 1)</f>
        <v>1.0403527285283817E-2</v>
      </c>
      <c r="U2" s="7">
        <f>$B2 * IFERROR(VLOOKUP("transport|PM25|Premature mortality", US_national_yearly!$D:$AM, 29, FALSE) / VLOOKUP("transport|PM25|Premature mortality", US_national_yearly!$D:$AM, 10, FALSE), 1)</f>
        <v>1.0457742809823629E-2</v>
      </c>
      <c r="V2" s="7">
        <f>$B2 * IFERROR(VLOOKUP("transport|PM25|Premature mortality", US_national_yearly!$D:$AM, 30, FALSE) / VLOOKUP("transport|PM25|Premature mortality", US_national_yearly!$D:$AM, 10, FALSE), 1)</f>
        <v>1.051195833436344E-2</v>
      </c>
      <c r="W2" s="7">
        <f>$B2 * IFERROR(VLOOKUP("transport|PM25|Premature mortality", US_national_yearly!$D:$AM, 31, FALSE) / VLOOKUP("transport|PM25|Premature mortality", US_national_yearly!$D:$AM, 10, FALSE), 1)</f>
        <v>1.056617385890325E-2</v>
      </c>
      <c r="X2" s="7">
        <f>$B2 * IFERROR(VLOOKUP("transport|PM25|Premature mortality", US_national_yearly!$D:$AM, 32, FALSE) / VLOOKUP("transport|PM25|Premature mortality", US_national_yearly!$D:$AM, 10, FALSE), 1)</f>
        <v>1.0575653862755172E-2</v>
      </c>
      <c r="Y2" s="7">
        <f>$B2 * IFERROR(VLOOKUP("transport|PM25|Premature mortality", US_national_yearly!$D:$AM, 33, FALSE) / VLOOKUP("transport|PM25|Premature mortality", US_national_yearly!$D:$AM, 10, FALSE), 1)</f>
        <v>1.0585133866607095E-2</v>
      </c>
      <c r="Z2" s="7">
        <f>$B2 * IFERROR(VLOOKUP("transport|PM25|Premature mortality", US_national_yearly!$D:$AM, 34, FALSE) / VLOOKUP("transport|PM25|Premature mortality", US_national_yearly!$D:$AM, 10, FALSE), 1)</f>
        <v>1.0594613870459017E-2</v>
      </c>
      <c r="AA2" s="7">
        <f>$B2 * IFERROR(VLOOKUP("transport|PM25|Premature mortality", US_national_yearly!$D:$AM, 35, FALSE) / VLOOKUP("transport|PM25|Premature mortality", US_national_yearly!$D:$AM, 10, FALSE), 1)</f>
        <v>1.060409387431094E-2</v>
      </c>
      <c r="AB2" s="7">
        <f>$B2 * IFERROR(VLOOKUP("transport|PM25|Premature mortality", US_national_yearly!$D:$AM, 36, FALSE) / VLOOKUP("transport|PM25|Premature mortality", US_national_yearly!$D:$AM, 10, FALSE), 1)</f>
        <v>1.061357387816286E-2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2.5012426885452037E-5</v>
      </c>
      <c r="C3" s="7">
        <f>$B3 * IFERROR(VLOOKUP("transport|PM25|Infant mortality", US_national_yearly!$D:$AM, 11, FALSE) / VLOOKUP("transport|PM25|Infant mortality", US_national_yearly!$D:$AM, 10, FALSE), 1)</f>
        <v>2.4794341347013115E-5</v>
      </c>
      <c r="D3" s="7">
        <f>$B3 * IFERROR(VLOOKUP("transport|PM25|Infant mortality", US_national_yearly!$D:$AM, 12, FALSE) / VLOOKUP("transport|PM25|Infant mortality", US_national_yearly!$D:$AM, 10, FALSE), 1)</f>
        <v>2.4576255808574186E-5</v>
      </c>
      <c r="E3" s="7">
        <f>$B3 * IFERROR(VLOOKUP("transport|PM25|Infant mortality", US_national_yearly!$D:$AM, 13, FALSE) / VLOOKUP("transport|PM25|Infant mortality", US_national_yearly!$D:$AM, 10, FALSE), 1)</f>
        <v>2.4358170270135264E-5</v>
      </c>
      <c r="F3" s="7">
        <f>$B3 * IFERROR(VLOOKUP("transport|PM25|Infant mortality", US_national_yearly!$D:$AM, 14, FALSE) / VLOOKUP("transport|PM25|Infant mortality", US_national_yearly!$D:$AM, 10, FALSE), 1)</f>
        <v>2.4140084731696336E-5</v>
      </c>
      <c r="G3" s="7">
        <f>$B3 * IFERROR(VLOOKUP("transport|PM25|Infant mortality", US_national_yearly!$D:$AM, 15, FALSE) / VLOOKUP("transport|PM25|Infant mortality", US_national_yearly!$D:$AM, 10, FALSE), 1)</f>
        <v>1.6054447646930394E-5</v>
      </c>
      <c r="H3" s="7">
        <f>$B3 * IFERROR(VLOOKUP("transport|PM25|Infant mortality", US_national_yearly!$D:$AM, 16, FALSE) / VLOOKUP("transport|PM25|Infant mortality", US_national_yearly!$D:$AM, 10, FALSE), 1)</f>
        <v>7.968810562164447E-6</v>
      </c>
      <c r="I3" s="7">
        <f>$B3 * IFERROR(VLOOKUP("transport|PM25|Infant mortality", US_national_yearly!$D:$AM, 17, FALSE) / VLOOKUP("transport|PM25|Infant mortality", US_national_yearly!$D:$AM, 10, FALSE), 1)</f>
        <v>7.9167212218395576E-6</v>
      </c>
      <c r="J3" s="7">
        <f>$B3 * IFERROR(VLOOKUP("transport|PM25|Infant mortality", US_national_yearly!$D:$AM, 18, FALSE) / VLOOKUP("transport|PM25|Infant mortality", US_national_yearly!$D:$AM, 10, FALSE), 1)</f>
        <v>7.8646318815146665E-6</v>
      </c>
      <c r="K3" s="7">
        <f>$B3 * IFERROR(VLOOKUP("transport|PM25|Infant mortality", US_national_yearly!$D:$AM, 19, FALSE) / VLOOKUP("transport|PM25|Infant mortality", US_national_yearly!$D:$AM, 10, FALSE), 1)</f>
        <v>7.8125425411897771E-6</v>
      </c>
      <c r="L3" s="7">
        <f>$B3 * IFERROR(VLOOKUP("transport|PM25|Infant mortality", US_national_yearly!$D:$AM, 20, FALSE) / VLOOKUP("transport|PM25|Infant mortality", US_national_yearly!$D:$AM, 10, FALSE), 1)</f>
        <v>7.7604532008648877E-6</v>
      </c>
      <c r="M3" s="7">
        <f>$B3 * IFERROR(VLOOKUP("transport|PM25|Infant mortality", US_national_yearly!$D:$AM, 21, FALSE) / VLOOKUP("transport|PM25|Infant mortality", US_national_yearly!$D:$AM, 10, FALSE), 1)</f>
        <v>7.7083638605399983E-6</v>
      </c>
      <c r="N3" s="7">
        <f>$B3 * IFERROR(VLOOKUP("transport|PM25|Infant mortality", US_national_yearly!$D:$AM, 22, FALSE) / VLOOKUP("transport|PM25|Infant mortality", US_national_yearly!$D:$AM, 10, FALSE), 1)</f>
        <v>7.6756459879627765E-6</v>
      </c>
      <c r="O3" s="7">
        <f>$B3 * IFERROR(VLOOKUP("transport|PM25|Infant mortality", US_national_yearly!$D:$AM, 23, FALSE) / VLOOKUP("transport|PM25|Infant mortality", US_national_yearly!$D:$AM, 10, FALSE), 1)</f>
        <v>7.6429281153855564E-6</v>
      </c>
      <c r="P3" s="7">
        <f>$B3 * IFERROR(VLOOKUP("transport|PM25|Infant mortality", US_national_yearly!$D:$AM, 24, FALSE) / VLOOKUP("transport|PM25|Infant mortality", US_national_yearly!$D:$AM, 10, FALSE), 1)</f>
        <v>7.6102102428083338E-6</v>
      </c>
      <c r="Q3" s="7">
        <f>$B3 * IFERROR(VLOOKUP("transport|PM25|Infant mortality", US_national_yearly!$D:$AM, 25, FALSE) / VLOOKUP("transport|PM25|Infant mortality", US_national_yearly!$D:$AM, 10, FALSE), 1)</f>
        <v>7.5774923702311129E-6</v>
      </c>
      <c r="R3" s="7">
        <f>$B3 * IFERROR(VLOOKUP("transport|PM25|Infant mortality", US_national_yearly!$D:$AM, 26, FALSE) / VLOOKUP("transport|PM25|Infant mortality", US_national_yearly!$D:$AM, 10, FALSE), 1)</f>
        <v>7.5447744976538919E-6</v>
      </c>
      <c r="S3" s="7">
        <f>$B3 * IFERROR(VLOOKUP("transport|PM25|Infant mortality", US_national_yearly!$D:$AM, 27, FALSE) / VLOOKUP("transport|PM25|Infant mortality", US_national_yearly!$D:$AM, 10, FALSE), 1)</f>
        <v>7.5039910005171763E-6</v>
      </c>
      <c r="T3" s="7">
        <f>$B3 * IFERROR(VLOOKUP("transport|PM25|Infant mortality", US_national_yearly!$D:$AM, 28, FALSE) / VLOOKUP("transport|PM25|Infant mortality", US_national_yearly!$D:$AM, 10, FALSE), 1)</f>
        <v>7.4632075033804599E-6</v>
      </c>
      <c r="U3" s="7">
        <f>$B3 * IFERROR(VLOOKUP("transport|PM25|Infant mortality", US_national_yearly!$D:$AM, 29, FALSE) / VLOOKUP("transport|PM25|Infant mortality", US_national_yearly!$D:$AM, 10, FALSE), 1)</f>
        <v>7.4224240062437451E-6</v>
      </c>
      <c r="V3" s="7">
        <f>$B3 * IFERROR(VLOOKUP("transport|PM25|Infant mortality", US_national_yearly!$D:$AM, 30, FALSE) / VLOOKUP("transport|PM25|Infant mortality", US_national_yearly!$D:$AM, 10, FALSE), 1)</f>
        <v>7.3816405091070295E-6</v>
      </c>
      <c r="W3" s="7">
        <f>$B3 * IFERROR(VLOOKUP("transport|PM25|Infant mortality", US_national_yearly!$D:$AM, 31, FALSE) / VLOOKUP("transport|PM25|Infant mortality", US_national_yearly!$D:$AM, 10, FALSE), 1)</f>
        <v>7.340857011970313E-6</v>
      </c>
      <c r="X3" s="7">
        <f>$B3 * IFERROR(VLOOKUP("transport|PM25|Infant mortality", US_national_yearly!$D:$AM, 32, FALSE) / VLOOKUP("transport|PM25|Infant mortality", US_national_yearly!$D:$AM, 10, FALSE), 1)</f>
        <v>7.2968872761091177E-6</v>
      </c>
      <c r="Y3" s="7">
        <f>$B3 * IFERROR(VLOOKUP("transport|PM25|Infant mortality", US_national_yearly!$D:$AM, 33, FALSE) / VLOOKUP("transport|PM25|Infant mortality", US_national_yearly!$D:$AM, 10, FALSE), 1)</f>
        <v>7.2529175402479199E-6</v>
      </c>
      <c r="Z3" s="7">
        <f>$B3 * IFERROR(VLOOKUP("transport|PM25|Infant mortality", US_national_yearly!$D:$AM, 34, FALSE) / VLOOKUP("transport|PM25|Infant mortality", US_national_yearly!$D:$AM, 10, FALSE), 1)</f>
        <v>7.2089478043867246E-6</v>
      </c>
      <c r="AA3" s="7">
        <f>$B3 * IFERROR(VLOOKUP("transport|PM25|Infant mortality", US_national_yearly!$D:$AM, 35, FALSE) / VLOOKUP("transport|PM25|Infant mortality", US_national_yearly!$D:$AM, 10, FALSE), 1)</f>
        <v>7.1649780685255277E-6</v>
      </c>
      <c r="AB3" s="7">
        <f>$B3 * IFERROR(VLOOKUP("transport|PM25|Infant mortality", US_national_yearly!$D:$AM, 36, FALSE) / VLOOKUP("transport|PM25|Infant mortality", US_national_yearly!$D:$AM, 10, FALSE), 1)</f>
        <v>7.1210083326643324E-6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2.7832682654551563E-2</v>
      </c>
      <c r="C6" s="7">
        <f>$B6 * IFERROR(VLOOKUP("transport|PM25|Asthma symptoms cough", US_national_yearly!$D:$AM, 11, FALSE) / VLOOKUP("transport|PM25|Asthma symptoms cough", US_national_yearly!$D:$AM, 10, FALSE), 1)</f>
        <v>2.7832682654551563E-2</v>
      </c>
      <c r="D6" s="7">
        <f>$B6 * IFERROR(VLOOKUP("transport|PM25|Asthma symptoms cough", US_national_yearly!$D:$AM, 12, FALSE) / VLOOKUP("transport|PM25|Asthma symptoms cough", US_national_yearly!$D:$AM, 10, FALSE), 1)</f>
        <v>2.7832682654551563E-2</v>
      </c>
      <c r="E6" s="7">
        <f>$B6 * IFERROR(VLOOKUP("transport|PM25|Asthma symptoms cough", US_national_yearly!$D:$AM, 13, FALSE) / VLOOKUP("transport|PM25|Asthma symptoms cough", US_national_yearly!$D:$AM, 10, FALSE), 1)</f>
        <v>2.7832682654551563E-2</v>
      </c>
      <c r="F6" s="7">
        <f>$B6 * IFERROR(VLOOKUP("transport|PM25|Asthma symptoms cough", US_national_yearly!$D:$AM, 14, FALSE) / VLOOKUP("transport|PM25|Asthma symptoms cough", US_national_yearly!$D:$AM, 10, FALSE), 1)</f>
        <v>2.7832682654551563E-2</v>
      </c>
      <c r="G6" s="7">
        <f>$B6 * IFERROR(VLOOKUP("transport|PM25|Asthma symptoms cough", US_national_yearly!$D:$AM, 15, FALSE) / VLOOKUP("transport|PM25|Asthma symptoms cough", US_national_yearly!$D:$AM, 10, FALSE), 1)</f>
        <v>2.7832682654551563E-2</v>
      </c>
      <c r="H6" s="7">
        <f>$B6 * IFERROR(VLOOKUP("transport|PM25|Asthma symptoms cough", US_national_yearly!$D:$AM, 16, FALSE) / VLOOKUP("transport|PM25|Asthma symptoms cough", US_national_yearly!$D:$AM, 10, FALSE), 1)</f>
        <v>2.7832682654551563E-2</v>
      </c>
      <c r="I6" s="7">
        <f>$B6 * IFERROR(VLOOKUP("transport|PM25|Asthma symptoms cough", US_national_yearly!$D:$AM, 17, FALSE) / VLOOKUP("transport|PM25|Asthma symptoms cough", US_national_yearly!$D:$AM, 10, FALSE), 1)</f>
        <v>2.7832682654551563E-2</v>
      </c>
      <c r="J6" s="7">
        <f>$B6 * IFERROR(VLOOKUP("transport|PM25|Asthma symptoms cough", US_national_yearly!$D:$AM, 18, FALSE) / VLOOKUP("transport|PM25|Asthma symptoms cough", US_national_yearly!$D:$AM, 10, FALSE), 1)</f>
        <v>2.7832682654551563E-2</v>
      </c>
      <c r="K6" s="7">
        <f>$B6 * IFERROR(VLOOKUP("transport|PM25|Asthma symptoms cough", US_national_yearly!$D:$AM, 19, FALSE) / VLOOKUP("transport|PM25|Asthma symptoms cough", US_national_yearly!$D:$AM, 10, FALSE), 1)</f>
        <v>2.7832682654551563E-2</v>
      </c>
      <c r="L6" s="7">
        <f>$B6 * IFERROR(VLOOKUP("transport|PM25|Asthma symptoms cough", US_national_yearly!$D:$AM, 20, FALSE) / VLOOKUP("transport|PM25|Asthma symptoms cough", US_national_yearly!$D:$AM, 10, FALSE), 1)</f>
        <v>2.7832682654551563E-2</v>
      </c>
      <c r="M6" s="7">
        <f>$B6 * IFERROR(VLOOKUP("transport|PM25|Asthma symptoms cough", US_national_yearly!$D:$AM, 21, FALSE) / VLOOKUP("transport|PM25|Asthma symptoms cough", US_national_yearly!$D:$AM, 10, FALSE), 1)</f>
        <v>2.7832682654551563E-2</v>
      </c>
      <c r="N6" s="7">
        <f>$B6 * IFERROR(VLOOKUP("transport|PM25|Asthma symptoms cough", US_national_yearly!$D:$AM, 22, FALSE) / VLOOKUP("transport|PM25|Asthma symptoms cough", US_national_yearly!$D:$AM, 10, FALSE), 1)</f>
        <v>2.7832682654551563E-2</v>
      </c>
      <c r="O6" s="7">
        <f>$B6 * IFERROR(VLOOKUP("transport|PM25|Asthma symptoms cough", US_national_yearly!$D:$AM, 23, FALSE) / VLOOKUP("transport|PM25|Asthma symptoms cough", US_national_yearly!$D:$AM, 10, FALSE), 1)</f>
        <v>2.7832682654551563E-2</v>
      </c>
      <c r="P6" s="7">
        <f>$B6 * IFERROR(VLOOKUP("transport|PM25|Asthma symptoms cough", US_national_yearly!$D:$AM, 24, FALSE) / VLOOKUP("transport|PM25|Asthma symptoms cough", US_national_yearly!$D:$AM, 10, FALSE), 1)</f>
        <v>2.7832682654551563E-2</v>
      </c>
      <c r="Q6" s="7">
        <f>$B6 * IFERROR(VLOOKUP("transport|PM25|Asthma symptoms cough", US_national_yearly!$D:$AM, 25, FALSE) / VLOOKUP("transport|PM25|Asthma symptoms cough", US_national_yearly!$D:$AM, 10, FALSE), 1)</f>
        <v>2.7832682654551563E-2</v>
      </c>
      <c r="R6" s="7">
        <f>$B6 * IFERROR(VLOOKUP("transport|PM25|Asthma symptoms cough", US_national_yearly!$D:$AM, 26, FALSE) / VLOOKUP("transport|PM25|Asthma symptoms cough", US_national_yearly!$D:$AM, 10, FALSE), 1)</f>
        <v>2.7832682654551563E-2</v>
      </c>
      <c r="S6" s="7">
        <f>$B6 * IFERROR(VLOOKUP("transport|PM25|Asthma symptoms cough", US_national_yearly!$D:$AM, 27, FALSE) / VLOOKUP("transport|PM25|Asthma symptoms cough", US_national_yearly!$D:$AM, 10, FALSE), 1)</f>
        <v>2.7832682654551563E-2</v>
      </c>
      <c r="T6" s="7">
        <f>$B6 * IFERROR(VLOOKUP("transport|PM25|Asthma symptoms cough", US_national_yearly!$D:$AM, 28, FALSE) / VLOOKUP("transport|PM25|Asthma symptoms cough", US_national_yearly!$D:$AM, 10, FALSE), 1)</f>
        <v>2.7832682654551563E-2</v>
      </c>
      <c r="U6" s="7">
        <f>$B6 * IFERROR(VLOOKUP("transport|PM25|Asthma symptoms cough", US_national_yearly!$D:$AM, 29, FALSE) / VLOOKUP("transport|PM25|Asthma symptoms cough", US_national_yearly!$D:$AM, 10, FALSE), 1)</f>
        <v>2.7832682654551563E-2</v>
      </c>
      <c r="V6" s="7">
        <f>$B6 * IFERROR(VLOOKUP("transport|PM25|Asthma symptoms cough", US_national_yearly!$D:$AM, 30, FALSE) / VLOOKUP("transport|PM25|Asthma symptoms cough", US_national_yearly!$D:$AM, 10, FALSE), 1)</f>
        <v>2.7832682654551563E-2</v>
      </c>
      <c r="W6" s="7">
        <f>$B6 * IFERROR(VLOOKUP("transport|PM25|Asthma symptoms cough", US_national_yearly!$D:$AM, 31, FALSE) / VLOOKUP("transport|PM25|Asthma symptoms cough", US_national_yearly!$D:$AM, 10, FALSE), 1)</f>
        <v>2.7832682654551563E-2</v>
      </c>
      <c r="X6" s="7">
        <f>$B6 * IFERROR(VLOOKUP("transport|PM25|Asthma symptoms cough", US_national_yearly!$D:$AM, 32, FALSE) / VLOOKUP("transport|PM25|Asthma symptoms cough", US_national_yearly!$D:$AM, 10, FALSE), 1)</f>
        <v>2.7832682654551563E-2</v>
      </c>
      <c r="Y6" s="7">
        <f>$B6 * IFERROR(VLOOKUP("transport|PM25|Asthma symptoms cough", US_national_yearly!$D:$AM, 33, FALSE) / VLOOKUP("transport|PM25|Asthma symptoms cough", US_national_yearly!$D:$AM, 10, FALSE), 1)</f>
        <v>2.7832682654551563E-2</v>
      </c>
      <c r="Z6" s="7">
        <f>$B6 * IFERROR(VLOOKUP("transport|PM25|Asthma symptoms cough", US_national_yearly!$D:$AM, 34, FALSE) / VLOOKUP("transport|PM25|Asthma symptoms cough", US_national_yearly!$D:$AM, 10, FALSE), 1)</f>
        <v>2.7832682654551563E-2</v>
      </c>
      <c r="AA6" s="7">
        <f>$B6 * IFERROR(VLOOKUP("transport|PM25|Asthma symptoms cough", US_national_yearly!$D:$AM, 35, FALSE) / VLOOKUP("transport|PM25|Asthma symptoms cough", US_national_yearly!$D:$AM, 10, FALSE), 1)</f>
        <v>2.7832682654551563E-2</v>
      </c>
      <c r="AB6" s="7">
        <f>$B6 * IFERROR(VLOOKUP("transport|PM25|Asthma symptoms cough", US_national_yearly!$D:$AM, 36, FALSE) / VLOOKUP("transport|PM25|Asthma symptoms cough", US_national_yearly!$D:$AM, 10, FALSE), 1)</f>
        <v>2.7832682654551563E-2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3.7479975414303167E-2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3.7479975414303167E-2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3.7479975414303167E-2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3.7479975414303167E-2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3.7479975414303167E-2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3.7479975414303167E-2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3.7479975414303167E-2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3.7479975414303167E-2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3.7479975414303167E-2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3.7479975414303167E-2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3.7479975414303167E-2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3.7479975414303167E-2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3.7479975414303167E-2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3.7479975414303167E-2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3.7479975414303167E-2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3.7479975414303167E-2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3.7479975414303167E-2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3.7479975414303167E-2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3.7479975414303167E-2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3.7479975414303167E-2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3.7479975414303167E-2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3.7479975414303167E-2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3.7479975414303167E-2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3.7479975414303167E-2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3.7479975414303167E-2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3.7479975414303167E-2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3.7479975414303167E-2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5.7265797816251018E-2</v>
      </c>
      <c r="C8" s="7">
        <f>$B8 * IFERROR(VLOOKUP("transport|PM25|Asthma symptoms wheeze", US_national_yearly!$D:$AM, 11, FALSE) / VLOOKUP("transport|PM25|Asthma symptoms wheeze", US_national_yearly!$D:$AM, 10, FALSE), 1)</f>
        <v>5.7265797816251018E-2</v>
      </c>
      <c r="D8" s="7">
        <f>$B8 * IFERROR(VLOOKUP("transport|PM25|Asthma symptoms wheeze", US_national_yearly!$D:$AM, 12, FALSE) / VLOOKUP("transport|PM25|Asthma symptoms wheeze", US_national_yearly!$D:$AM, 10, FALSE), 1)</f>
        <v>5.7265797816251018E-2</v>
      </c>
      <c r="E8" s="7">
        <f>$B8 * IFERROR(VLOOKUP("transport|PM25|Asthma symptoms wheeze", US_national_yearly!$D:$AM, 13, FALSE) / VLOOKUP("transport|PM25|Asthma symptoms wheeze", US_national_yearly!$D:$AM, 10, FALSE), 1)</f>
        <v>5.7265797816251018E-2</v>
      </c>
      <c r="F8" s="7">
        <f>$B8 * IFERROR(VLOOKUP("transport|PM25|Asthma symptoms wheeze", US_national_yearly!$D:$AM, 14, FALSE) / VLOOKUP("transport|PM25|Asthma symptoms wheeze", US_national_yearly!$D:$AM, 10, FALSE), 1)</f>
        <v>5.7265797816251018E-2</v>
      </c>
      <c r="G8" s="7">
        <f>$B8 * IFERROR(VLOOKUP("transport|PM25|Asthma symptoms wheeze", US_national_yearly!$D:$AM, 15, FALSE) / VLOOKUP("transport|PM25|Asthma symptoms wheeze", US_national_yearly!$D:$AM, 10, FALSE), 1)</f>
        <v>5.7265797816251018E-2</v>
      </c>
      <c r="H8" s="7">
        <f>$B8 * IFERROR(VLOOKUP("transport|PM25|Asthma symptoms wheeze", US_national_yearly!$D:$AM, 16, FALSE) / VLOOKUP("transport|PM25|Asthma symptoms wheeze", US_national_yearly!$D:$AM, 10, FALSE), 1)</f>
        <v>5.7265797816251018E-2</v>
      </c>
      <c r="I8" s="7">
        <f>$B8 * IFERROR(VLOOKUP("transport|PM25|Asthma symptoms wheeze", US_national_yearly!$D:$AM, 17, FALSE) / VLOOKUP("transport|PM25|Asthma symptoms wheeze", US_national_yearly!$D:$AM, 10, FALSE), 1)</f>
        <v>5.7265797816251018E-2</v>
      </c>
      <c r="J8" s="7">
        <f>$B8 * IFERROR(VLOOKUP("transport|PM25|Asthma symptoms wheeze", US_national_yearly!$D:$AM, 18, FALSE) / VLOOKUP("transport|PM25|Asthma symptoms wheeze", US_national_yearly!$D:$AM, 10, FALSE), 1)</f>
        <v>5.7265797816251018E-2</v>
      </c>
      <c r="K8" s="7">
        <f>$B8 * IFERROR(VLOOKUP("transport|PM25|Asthma symptoms wheeze", US_national_yearly!$D:$AM, 19, FALSE) / VLOOKUP("transport|PM25|Asthma symptoms wheeze", US_national_yearly!$D:$AM, 10, FALSE), 1)</f>
        <v>5.7265797816251018E-2</v>
      </c>
      <c r="L8" s="7">
        <f>$B8 * IFERROR(VLOOKUP("transport|PM25|Asthma symptoms wheeze", US_national_yearly!$D:$AM, 20, FALSE) / VLOOKUP("transport|PM25|Asthma symptoms wheeze", US_national_yearly!$D:$AM, 10, FALSE), 1)</f>
        <v>5.7265797816251018E-2</v>
      </c>
      <c r="M8" s="7">
        <f>$B8 * IFERROR(VLOOKUP("transport|PM25|Asthma symptoms wheeze", US_national_yearly!$D:$AM, 21, FALSE) / VLOOKUP("transport|PM25|Asthma symptoms wheeze", US_national_yearly!$D:$AM, 10, FALSE), 1)</f>
        <v>5.7265797816251018E-2</v>
      </c>
      <c r="N8" s="7">
        <f>$B8 * IFERROR(VLOOKUP("transport|PM25|Asthma symptoms wheeze", US_national_yearly!$D:$AM, 22, FALSE) / VLOOKUP("transport|PM25|Asthma symptoms wheeze", US_national_yearly!$D:$AM, 10, FALSE), 1)</f>
        <v>5.7265797816251018E-2</v>
      </c>
      <c r="O8" s="7">
        <f>$B8 * IFERROR(VLOOKUP("transport|PM25|Asthma symptoms wheeze", US_national_yearly!$D:$AM, 23, FALSE) / VLOOKUP("transport|PM25|Asthma symptoms wheeze", US_national_yearly!$D:$AM, 10, FALSE), 1)</f>
        <v>5.7265797816251018E-2</v>
      </c>
      <c r="P8" s="7">
        <f>$B8 * IFERROR(VLOOKUP("transport|PM25|Asthma symptoms wheeze", US_national_yearly!$D:$AM, 24, FALSE) / VLOOKUP("transport|PM25|Asthma symptoms wheeze", US_national_yearly!$D:$AM, 10, FALSE), 1)</f>
        <v>5.7265797816251018E-2</v>
      </c>
      <c r="Q8" s="7">
        <f>$B8 * IFERROR(VLOOKUP("transport|PM25|Asthma symptoms wheeze", US_national_yearly!$D:$AM, 25, FALSE) / VLOOKUP("transport|PM25|Asthma symptoms wheeze", US_national_yearly!$D:$AM, 10, FALSE), 1)</f>
        <v>5.7265797816251018E-2</v>
      </c>
      <c r="R8" s="7">
        <f>$B8 * IFERROR(VLOOKUP("transport|PM25|Asthma symptoms wheeze", US_national_yearly!$D:$AM, 26, FALSE) / VLOOKUP("transport|PM25|Asthma symptoms wheeze", US_national_yearly!$D:$AM, 10, FALSE), 1)</f>
        <v>5.7265797816251018E-2</v>
      </c>
      <c r="S8" s="7">
        <f>$B8 * IFERROR(VLOOKUP("transport|PM25|Asthma symptoms wheeze", US_national_yearly!$D:$AM, 27, FALSE) / VLOOKUP("transport|PM25|Asthma symptoms wheeze", US_national_yearly!$D:$AM, 10, FALSE), 1)</f>
        <v>5.7265797816251018E-2</v>
      </c>
      <c r="T8" s="7">
        <f>$B8 * IFERROR(VLOOKUP("transport|PM25|Asthma symptoms wheeze", US_national_yearly!$D:$AM, 28, FALSE) / VLOOKUP("transport|PM25|Asthma symptoms wheeze", US_national_yearly!$D:$AM, 10, FALSE), 1)</f>
        <v>5.7265797816251018E-2</v>
      </c>
      <c r="U8" s="7">
        <f>$B8 * IFERROR(VLOOKUP("transport|PM25|Asthma symptoms wheeze", US_national_yearly!$D:$AM, 29, FALSE) / VLOOKUP("transport|PM25|Asthma symptoms wheeze", US_national_yearly!$D:$AM, 10, FALSE), 1)</f>
        <v>5.7265797816251018E-2</v>
      </c>
      <c r="V8" s="7">
        <f>$B8 * IFERROR(VLOOKUP("transport|PM25|Asthma symptoms wheeze", US_national_yearly!$D:$AM, 30, FALSE) / VLOOKUP("transport|PM25|Asthma symptoms wheeze", US_national_yearly!$D:$AM, 10, FALSE), 1)</f>
        <v>5.7265797816251018E-2</v>
      </c>
      <c r="W8" s="7">
        <f>$B8 * IFERROR(VLOOKUP("transport|PM25|Asthma symptoms wheeze", US_national_yearly!$D:$AM, 31, FALSE) / VLOOKUP("transport|PM25|Asthma symptoms wheeze", US_national_yearly!$D:$AM, 10, FALSE), 1)</f>
        <v>5.7265797816251018E-2</v>
      </c>
      <c r="X8" s="7">
        <f>$B8 * IFERROR(VLOOKUP("transport|PM25|Asthma symptoms wheeze", US_national_yearly!$D:$AM, 32, FALSE) / VLOOKUP("transport|PM25|Asthma symptoms wheeze", US_national_yearly!$D:$AM, 10, FALSE), 1)</f>
        <v>5.7265797816251018E-2</v>
      </c>
      <c r="Y8" s="7">
        <f>$B8 * IFERROR(VLOOKUP("transport|PM25|Asthma symptoms wheeze", US_national_yearly!$D:$AM, 33, FALSE) / VLOOKUP("transport|PM25|Asthma symptoms wheeze", US_national_yearly!$D:$AM, 10, FALSE), 1)</f>
        <v>5.7265797816251018E-2</v>
      </c>
      <c r="Z8" s="7">
        <f>$B8 * IFERROR(VLOOKUP("transport|PM25|Asthma symptoms wheeze", US_national_yearly!$D:$AM, 34, FALSE) / VLOOKUP("transport|PM25|Asthma symptoms wheeze", US_national_yearly!$D:$AM, 10, FALSE), 1)</f>
        <v>5.7265797816251018E-2</v>
      </c>
      <c r="AA8" s="7">
        <f>$B8 * IFERROR(VLOOKUP("transport|PM25|Asthma symptoms wheeze", US_national_yearly!$D:$AM, 35, FALSE) / VLOOKUP("transport|PM25|Asthma symptoms wheeze", US_national_yearly!$D:$AM, 10, FALSE), 1)</f>
        <v>5.7265797816251018E-2</v>
      </c>
      <c r="AB8" s="7">
        <f>$B8 * IFERROR(VLOOKUP("transport|PM25|Asthma symptoms wheeze", US_national_yearly!$D:$AM, 36, FALSE) / VLOOKUP("transport|PM25|Asthma symptoms wheeze", US_national_yearly!$D:$AM, 10, FALSE), 1)</f>
        <v>5.7265797816251018E-2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5.1861047728138084E-4</v>
      </c>
      <c r="C12" s="7">
        <f>$B12 * IFERROR(VLOOKUP("transport|PM25|Respiratory hospital admissions", US_national_yearly!$D:$AM, 11, FALSE) / VLOOKUP("transport|PM25|Respiratory hospital admissions", US_national_yearly!$D:$AM, 10, FALSE), 1)</f>
        <v>5.2158294350759923E-4</v>
      </c>
      <c r="D12" s="7">
        <f>$B12 * IFERROR(VLOOKUP("transport|PM25|Respiratory hospital admissions", US_national_yearly!$D:$AM, 12, FALSE) / VLOOKUP("transport|PM25|Respiratory hospital admissions", US_national_yearly!$D:$AM, 10, FALSE), 1)</f>
        <v>5.2455540973381752E-4</v>
      </c>
      <c r="E12" s="7">
        <f>$B12 * IFERROR(VLOOKUP("transport|PM25|Respiratory hospital admissions", US_national_yearly!$D:$AM, 13, FALSE) / VLOOKUP("transport|PM25|Respiratory hospital admissions", US_national_yearly!$D:$AM, 10, FALSE), 1)</f>
        <v>5.2752787596003592E-4</v>
      </c>
      <c r="F12" s="7">
        <f>$B12 * IFERROR(VLOOKUP("transport|PM25|Respiratory hospital admissions", US_national_yearly!$D:$AM, 14, FALSE) / VLOOKUP("transport|PM25|Respiratory hospital admissions", US_national_yearly!$D:$AM, 10, FALSE), 1)</f>
        <v>5.3050034218625431E-4</v>
      </c>
      <c r="G12" s="7">
        <f>$B12 * IFERROR(VLOOKUP("transport|PM25|Respiratory hospital admissions", US_national_yearly!$D:$AM, 15, FALSE) / VLOOKUP("transport|PM25|Respiratory hospital admissions", US_national_yearly!$D:$AM, 10, FALSE), 1)</f>
        <v>5.3371073250193645E-4</v>
      </c>
      <c r="H12" s="7">
        <f>$B12 * IFERROR(VLOOKUP("transport|PM25|Respiratory hospital admissions", US_national_yearly!$D:$AM, 16, FALSE) / VLOOKUP("transport|PM25|Respiratory hospital admissions", US_national_yearly!$D:$AM, 10, FALSE), 1)</f>
        <v>5.3692112281761859E-4</v>
      </c>
      <c r="I12" s="7">
        <f>$B12 * IFERROR(VLOOKUP("transport|PM25|Respiratory hospital admissions", US_national_yearly!$D:$AM, 17, FALSE) / VLOOKUP("transport|PM25|Respiratory hospital admissions", US_national_yearly!$D:$AM, 10, FALSE), 1)</f>
        <v>5.399885287902499E-4</v>
      </c>
      <c r="J12" s="7">
        <f>$B12 * IFERROR(VLOOKUP("transport|PM25|Respiratory hospital admissions", US_national_yearly!$D:$AM, 18, FALSE) / VLOOKUP("transport|PM25|Respiratory hospital admissions", US_national_yearly!$D:$AM, 10, FALSE), 1)</f>
        <v>5.4305593476288154E-4</v>
      </c>
      <c r="K12" s="7">
        <f>$B12 * IFERROR(VLOOKUP("transport|PM25|Respiratory hospital admissions", US_national_yearly!$D:$AM, 19, FALSE) / VLOOKUP("transport|PM25|Respiratory hospital admissions", US_national_yearly!$D:$AM, 10, FALSE), 1)</f>
        <v>5.4612334073551308E-4</v>
      </c>
      <c r="L12" s="7">
        <f>$B12 * IFERROR(VLOOKUP("transport|PM25|Respiratory hospital admissions", US_national_yearly!$D:$AM, 20, FALSE) / VLOOKUP("transport|PM25|Respiratory hospital admissions", US_national_yearly!$D:$AM, 10, FALSE), 1)</f>
        <v>5.4919074670814461E-4</v>
      </c>
      <c r="M12" s="7">
        <f>$B12 * IFERROR(VLOOKUP("transport|PM25|Respiratory hospital admissions", US_national_yearly!$D:$AM, 21, FALSE) / VLOOKUP("transport|PM25|Respiratory hospital admissions", US_national_yearly!$D:$AM, 10, FALSE), 1)</f>
        <v>5.5225815268077603E-4</v>
      </c>
      <c r="N12" s="7">
        <f>$B12 * IFERROR(VLOOKUP("transport|PM25|Respiratory hospital admissions", US_national_yearly!$D:$AM, 22, FALSE) / VLOOKUP("transport|PM25|Respiratory hospital admissions", US_national_yearly!$D:$AM, 10, FALSE), 1)</f>
        <v>5.544597194598503E-4</v>
      </c>
      <c r="O12" s="7">
        <f>$B12 * IFERROR(VLOOKUP("transport|PM25|Respiratory hospital admissions", US_national_yearly!$D:$AM, 23, FALSE) / VLOOKUP("transport|PM25|Respiratory hospital admissions", US_national_yearly!$D:$AM, 10, FALSE), 1)</f>
        <v>5.5666128623892445E-4</v>
      </c>
      <c r="P12" s="7">
        <f>$B12 * IFERROR(VLOOKUP("transport|PM25|Respiratory hospital admissions", US_national_yearly!$D:$AM, 24, FALSE) / VLOOKUP("transport|PM25|Respiratory hospital admissions", US_national_yearly!$D:$AM, 10, FALSE), 1)</f>
        <v>5.588628530179985E-4</v>
      </c>
      <c r="Q12" s="7">
        <f>$B12 * IFERROR(VLOOKUP("transport|PM25|Respiratory hospital admissions", US_national_yearly!$D:$AM, 25, FALSE) / VLOOKUP("transport|PM25|Respiratory hospital admissions", US_national_yearly!$D:$AM, 10, FALSE), 1)</f>
        <v>5.6106441979707255E-4</v>
      </c>
      <c r="R12" s="7">
        <f>$B12 * IFERROR(VLOOKUP("transport|PM25|Respiratory hospital admissions", US_national_yearly!$D:$AM, 26, FALSE) / VLOOKUP("transport|PM25|Respiratory hospital admissions", US_national_yearly!$D:$AM, 10, FALSE), 1)</f>
        <v>5.6326598657614692E-4</v>
      </c>
      <c r="S12" s="7">
        <f>$B12 * IFERROR(VLOOKUP("transport|PM25|Respiratory hospital admissions", US_national_yearly!$D:$AM, 27, FALSE) / VLOOKUP("transport|PM25|Respiratory hospital admissions", US_national_yearly!$D:$AM, 10, FALSE), 1)</f>
        <v>5.6536216824559088E-4</v>
      </c>
      <c r="T12" s="7">
        <f>$B12 * IFERROR(VLOOKUP("transport|PM25|Respiratory hospital admissions", US_national_yearly!$D:$AM, 28, FALSE) / VLOOKUP("transport|PM25|Respiratory hospital admissions", US_national_yearly!$D:$AM, 10, FALSE), 1)</f>
        <v>5.6745834991503495E-4</v>
      </c>
      <c r="U12" s="7">
        <f>$B12 * IFERROR(VLOOKUP("transport|PM25|Respiratory hospital admissions", US_national_yearly!$D:$AM, 29, FALSE) / VLOOKUP("transport|PM25|Respiratory hospital admissions", US_national_yearly!$D:$AM, 10, FALSE), 1)</f>
        <v>5.6955453158447891E-4</v>
      </c>
      <c r="V12" s="7">
        <f>$B12 * IFERROR(VLOOKUP("transport|PM25|Respiratory hospital admissions", US_national_yearly!$D:$AM, 30, FALSE) / VLOOKUP("transport|PM25|Respiratory hospital admissions", US_national_yearly!$D:$AM, 10, FALSE), 1)</f>
        <v>5.7165071325392287E-4</v>
      </c>
      <c r="W12" s="7">
        <f>$B12 * IFERROR(VLOOKUP("transport|PM25|Respiratory hospital admissions", US_national_yearly!$D:$AM, 31, FALSE) / VLOOKUP("transport|PM25|Respiratory hospital admissions", US_national_yearly!$D:$AM, 10, FALSE), 1)</f>
        <v>5.7374689492336684E-4</v>
      </c>
      <c r="X12" s="7">
        <f>$B12 * IFERROR(VLOOKUP("transport|PM25|Respiratory hospital admissions", US_national_yearly!$D:$AM, 32, FALSE) / VLOOKUP("transport|PM25|Respiratory hospital admissions", US_national_yearly!$D:$AM, 10, FALSE), 1)</f>
        <v>5.75763448428622E-4</v>
      </c>
      <c r="Y12" s="7">
        <f>$B12 * IFERROR(VLOOKUP("transport|PM25|Respiratory hospital admissions", US_national_yearly!$D:$AM, 33, FALSE) / VLOOKUP("transport|PM25|Respiratory hospital admissions", US_national_yearly!$D:$AM, 10, FALSE), 1)</f>
        <v>5.7778000193387706E-4</v>
      </c>
      <c r="Z12" s="7">
        <f>$B12 * IFERROR(VLOOKUP("transport|PM25|Respiratory hospital admissions", US_national_yearly!$D:$AM, 34, FALSE) / VLOOKUP("transport|PM25|Respiratory hospital admissions", US_national_yearly!$D:$AM, 10, FALSE), 1)</f>
        <v>5.7979655543913212E-4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5.8181310894438718E-4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5.8382966244964224E-4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3.0405445999932544E-3</v>
      </c>
      <c r="C13" s="7">
        <f>$B13 * IFERROR(VLOOKUP("transport|PM25|Non-fatal heart attacks", US_national_yearly!$D:$AM, 11, FALSE) / VLOOKUP("transport|PM25|Non-fatal heart attacks", US_national_yearly!$D:$AM, 10, FALSE), 1)</f>
        <v>3.1289413001969668E-3</v>
      </c>
      <c r="D13" s="7">
        <f>$B13 * IFERROR(VLOOKUP("transport|PM25|Non-fatal heart attacks", US_national_yearly!$D:$AM, 12, FALSE) / VLOOKUP("transport|PM25|Non-fatal heart attacks", US_national_yearly!$D:$AM, 10, FALSE), 1)</f>
        <v>3.2173380004006788E-3</v>
      </c>
      <c r="E13" s="7">
        <f>$B13 * IFERROR(VLOOKUP("transport|PM25|Non-fatal heart attacks", US_national_yearly!$D:$AM, 13, FALSE) / VLOOKUP("transport|PM25|Non-fatal heart attacks", US_national_yearly!$D:$AM, 10, FALSE), 1)</f>
        <v>3.3057347006043903E-3</v>
      </c>
      <c r="F13" s="7">
        <f>$B13 * IFERROR(VLOOKUP("transport|PM25|Non-fatal heart attacks", US_national_yearly!$D:$AM, 14, FALSE) / VLOOKUP("transport|PM25|Non-fatal heart attacks", US_national_yearly!$D:$AM, 10, FALSE), 1)</f>
        <v>3.3941314008081032E-3</v>
      </c>
      <c r="G13" s="7">
        <f>$B13 * IFERROR(VLOOKUP("transport|PM25|Non-fatal heart attacks", US_national_yearly!$D:$AM, 15, FALSE) / VLOOKUP("transport|PM25|Non-fatal heart attacks", US_national_yearly!$D:$AM, 10, FALSE), 1)</f>
        <v>3.4774950774312491E-3</v>
      </c>
      <c r="H13" s="7">
        <f>$B13 * IFERROR(VLOOKUP("transport|PM25|Non-fatal heart attacks", US_national_yearly!$D:$AM, 16, FALSE) / VLOOKUP("transport|PM25|Non-fatal heart attacks", US_national_yearly!$D:$AM, 10, FALSE), 1)</f>
        <v>3.5608587540543941E-3</v>
      </c>
      <c r="I13" s="7">
        <f>$B13 * IFERROR(VLOOKUP("transport|PM25|Non-fatal heart attacks", US_national_yearly!$D:$AM, 17, FALSE) / VLOOKUP("transport|PM25|Non-fatal heart attacks", US_national_yearly!$D:$AM, 10, FALSE), 1)</f>
        <v>3.627855410378722E-3</v>
      </c>
      <c r="J13" s="7">
        <f>$B13 * IFERROR(VLOOKUP("transport|PM25|Non-fatal heart attacks", US_national_yearly!$D:$AM, 18, FALSE) / VLOOKUP("transport|PM25|Non-fatal heart attacks", US_national_yearly!$D:$AM, 10, FALSE), 1)</f>
        <v>3.69485206670305E-3</v>
      </c>
      <c r="K13" s="7">
        <f>$B13 * IFERROR(VLOOKUP("transport|PM25|Non-fatal heart attacks", US_national_yearly!$D:$AM, 19, FALSE) / VLOOKUP("transport|PM25|Non-fatal heart attacks", US_national_yearly!$D:$AM, 10, FALSE), 1)</f>
        <v>3.7618487230273788E-3</v>
      </c>
      <c r="L13" s="7">
        <f>$B13 * IFERROR(VLOOKUP("transport|PM25|Non-fatal heart attacks", US_national_yearly!$D:$AM, 20, FALSE) / VLOOKUP("transport|PM25|Non-fatal heart attacks", US_national_yearly!$D:$AM, 10, FALSE), 1)</f>
        <v>3.8288453793517072E-3</v>
      </c>
      <c r="M13" s="7">
        <f>$B13 * IFERROR(VLOOKUP("transport|PM25|Non-fatal heart attacks", US_national_yearly!$D:$AM, 21, FALSE) / VLOOKUP("transport|PM25|Non-fatal heart attacks", US_national_yearly!$D:$AM, 10, FALSE), 1)</f>
        <v>3.8958420356760355E-3</v>
      </c>
      <c r="N13" s="7">
        <f>$B13 * IFERROR(VLOOKUP("transport|PM25|Non-fatal heart attacks", US_national_yearly!$D:$AM, 22, FALSE) / VLOOKUP("transport|PM25|Non-fatal heart attacks", US_national_yearly!$D:$AM, 10, FALSE), 1)</f>
        <v>3.9390482633882623E-3</v>
      </c>
      <c r="O13" s="7">
        <f>$B13 * IFERROR(VLOOKUP("transport|PM25|Non-fatal heart attacks", US_national_yearly!$D:$AM, 23, FALSE) / VLOOKUP("transport|PM25|Non-fatal heart attacks", US_national_yearly!$D:$AM, 10, FALSE), 1)</f>
        <v>3.9822544911004886E-3</v>
      </c>
      <c r="P13" s="7">
        <f>$B13 * IFERROR(VLOOKUP("transport|PM25|Non-fatal heart attacks", US_national_yearly!$D:$AM, 24, FALSE) / VLOOKUP("transport|PM25|Non-fatal heart attacks", US_national_yearly!$D:$AM, 10, FALSE), 1)</f>
        <v>4.0254607188127157E-3</v>
      </c>
      <c r="Q13" s="7">
        <f>$B13 * IFERROR(VLOOKUP("transport|PM25|Non-fatal heart attacks", US_national_yearly!$D:$AM, 25, FALSE) / VLOOKUP("transport|PM25|Non-fatal heart attacks", US_national_yearly!$D:$AM, 10, FALSE), 1)</f>
        <v>4.0686669465249421E-3</v>
      </c>
      <c r="R13" s="7">
        <f>$B13 * IFERROR(VLOOKUP("transport|PM25|Non-fatal heart attacks", US_national_yearly!$D:$AM, 26, FALSE) / VLOOKUP("transport|PM25|Non-fatal heart attacks", US_national_yearly!$D:$AM, 10, FALSE), 1)</f>
        <v>4.1118731742371684E-3</v>
      </c>
      <c r="S13" s="7">
        <f>$B13 * IFERROR(VLOOKUP("transport|PM25|Non-fatal heart attacks", US_national_yearly!$D:$AM, 27, FALSE) / VLOOKUP("transport|PM25|Non-fatal heart attacks", US_national_yearly!$D:$AM, 10, FALSE), 1)</f>
        <v>4.1346268081429325E-3</v>
      </c>
      <c r="T13" s="7">
        <f>$B13 * IFERROR(VLOOKUP("transport|PM25|Non-fatal heart attacks", US_national_yearly!$D:$AM, 28, FALSE) / VLOOKUP("transport|PM25|Non-fatal heart attacks", US_national_yearly!$D:$AM, 10, FALSE), 1)</f>
        <v>4.1573804420486967E-3</v>
      </c>
      <c r="U13" s="7">
        <f>$B13 * IFERROR(VLOOKUP("transport|PM25|Non-fatal heart attacks", US_national_yearly!$D:$AM, 29, FALSE) / VLOOKUP("transport|PM25|Non-fatal heart attacks", US_national_yearly!$D:$AM, 10, FALSE), 1)</f>
        <v>4.1801340759544618E-3</v>
      </c>
      <c r="V13" s="7">
        <f>$B13 * IFERROR(VLOOKUP("transport|PM25|Non-fatal heart attacks", US_national_yearly!$D:$AM, 30, FALSE) / VLOOKUP("transport|PM25|Non-fatal heart attacks", US_national_yearly!$D:$AM, 10, FALSE), 1)</f>
        <v>4.2028877098602259E-3</v>
      </c>
      <c r="W13" s="7">
        <f>$B13 * IFERROR(VLOOKUP("transport|PM25|Non-fatal heart attacks", US_national_yearly!$D:$AM, 31, FALSE) / VLOOKUP("transport|PM25|Non-fatal heart attacks", US_national_yearly!$D:$AM, 10, FALSE), 1)</f>
        <v>4.2256413437659901E-3</v>
      </c>
      <c r="X13" s="7">
        <f>$B13 * IFERROR(VLOOKUP("transport|PM25|Non-fatal heart attacks", US_national_yearly!$D:$AM, 32, FALSE) / VLOOKUP("transport|PM25|Non-fatal heart attacks", US_national_yearly!$D:$AM, 10, FALSE), 1)</f>
        <v>4.2429146420083098E-3</v>
      </c>
      <c r="Y13" s="7">
        <f>$B13 * IFERROR(VLOOKUP("transport|PM25|Non-fatal heart attacks", US_national_yearly!$D:$AM, 33, FALSE) / VLOOKUP("transport|PM25|Non-fatal heart attacks", US_national_yearly!$D:$AM, 10, FALSE), 1)</f>
        <v>4.2601879402506303E-3</v>
      </c>
      <c r="Z13" s="7">
        <f>$B13 * IFERROR(VLOOKUP("transport|PM25|Non-fatal heart attacks", US_national_yearly!$D:$AM, 34, FALSE) / VLOOKUP("transport|PM25|Non-fatal heart attacks", US_national_yearly!$D:$AM, 10, FALSE), 1)</f>
        <v>4.2774612384929491E-3</v>
      </c>
      <c r="AA13" s="7">
        <f>$B13 * IFERROR(VLOOKUP("transport|PM25|Non-fatal heart attacks", US_national_yearly!$D:$AM, 35, FALSE) / VLOOKUP("transport|PM25|Non-fatal heart attacks", US_national_yearly!$D:$AM, 10, FALSE), 1)</f>
        <v>4.2947345367352696E-3</v>
      </c>
      <c r="AB13" s="7">
        <f>$B13 * IFERROR(VLOOKUP("transport|PM25|Non-fatal heart attacks", US_national_yearly!$D:$AM, 36, FALSE) / VLOOKUP("transport|PM25|Non-fatal heart attacks", US_national_yearly!$D:$AM, 10, FALSE), 1)</f>
        <v>4.3120078349775893E-3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3.033921918249304</v>
      </c>
      <c r="C14" s="7">
        <f>$B14 * IFERROR(VLOOKUP("transport|PM25|Minor restricted activity days", US_national_yearly!$D:$AM, 11, FALSE) / VLOOKUP("transport|PM25|Minor restricted activity days", US_national_yearly!$D:$AM, 10, FALSE), 1)</f>
        <v>3.0413311153691507</v>
      </c>
      <c r="D14" s="7">
        <f>$B14 * IFERROR(VLOOKUP("transport|PM25|Minor restricted activity days", US_national_yearly!$D:$AM, 12, FALSE) / VLOOKUP("transport|PM25|Minor restricted activity days", US_national_yearly!$D:$AM, 10, FALSE), 1)</f>
        <v>3.0487403124889974</v>
      </c>
      <c r="E14" s="7">
        <f>$B14 * IFERROR(VLOOKUP("transport|PM25|Minor restricted activity days", US_national_yearly!$D:$AM, 13, FALSE) / VLOOKUP("transport|PM25|Minor restricted activity days", US_national_yearly!$D:$AM, 10, FALSE), 1)</f>
        <v>3.0561495096088445</v>
      </c>
      <c r="F14" s="7">
        <f>$B14 * IFERROR(VLOOKUP("transport|PM25|Minor restricted activity days", US_national_yearly!$D:$AM, 14, FALSE) / VLOOKUP("transport|PM25|Minor restricted activity days", US_national_yearly!$D:$AM, 10, FALSE), 1)</f>
        <v>3.0635587067286902</v>
      </c>
      <c r="G14" s="7">
        <f>$B14 * IFERROR(VLOOKUP("transport|PM25|Minor restricted activity days", US_national_yearly!$D:$AM, 15, FALSE) / VLOOKUP("transport|PM25|Minor restricted activity days", US_national_yearly!$D:$AM, 10, FALSE), 1)</f>
        <v>3.0744907553409697</v>
      </c>
      <c r="H14" s="7">
        <f>$B14 * IFERROR(VLOOKUP("transport|PM25|Minor restricted activity days", US_national_yearly!$D:$AM, 16, FALSE) / VLOOKUP("transport|PM25|Minor restricted activity days", US_national_yearly!$D:$AM, 10, FALSE), 1)</f>
        <v>3.0854228039532487</v>
      </c>
      <c r="I14" s="7">
        <f>$B14 * IFERROR(VLOOKUP("transport|PM25|Minor restricted activity days", US_national_yearly!$D:$AM, 17, FALSE) / VLOOKUP("transport|PM25|Minor restricted activity days", US_national_yearly!$D:$AM, 10, FALSE), 1)</f>
        <v>3.104111600976307</v>
      </c>
      <c r="J14" s="7">
        <f>$B14 * IFERROR(VLOOKUP("transport|PM25|Minor restricted activity days", US_national_yearly!$D:$AM, 18, FALSE) / VLOOKUP("transport|PM25|Minor restricted activity days", US_national_yearly!$D:$AM, 10, FALSE), 1)</f>
        <v>3.1228003979993639</v>
      </c>
      <c r="K14" s="7">
        <f>$B14 * IFERROR(VLOOKUP("transport|PM25|Minor restricted activity days", US_national_yearly!$D:$AM, 19, FALSE) / VLOOKUP("transport|PM25|Minor restricted activity days", US_national_yearly!$D:$AM, 10, FALSE), 1)</f>
        <v>3.1414891950224222</v>
      </c>
      <c r="L14" s="7">
        <f>$B14 * IFERROR(VLOOKUP("transport|PM25|Minor restricted activity days", US_national_yearly!$D:$AM, 20, FALSE) / VLOOKUP("transport|PM25|Minor restricted activity days", US_national_yearly!$D:$AM, 10, FALSE), 1)</f>
        <v>3.16017799204548</v>
      </c>
      <c r="M14" s="7">
        <f>$B14 * IFERROR(VLOOKUP("transport|PM25|Minor restricted activity days", US_national_yearly!$D:$AM, 21, FALSE) / VLOOKUP("transport|PM25|Minor restricted activity days", US_national_yearly!$D:$AM, 10, FALSE), 1)</f>
        <v>3.1788667890685374</v>
      </c>
      <c r="N14" s="7">
        <f>$B14 * IFERROR(VLOOKUP("transport|PM25|Minor restricted activity days", US_national_yearly!$D:$AM, 22, FALSE) / VLOOKUP("transport|PM25|Minor restricted activity days", US_national_yearly!$D:$AM, 10, FALSE), 1)</f>
        <v>3.2043246515468122</v>
      </c>
      <c r="O14" s="7">
        <f>$B14 * IFERROR(VLOOKUP("transport|PM25|Minor restricted activity days", US_national_yearly!$D:$AM, 23, FALSE) / VLOOKUP("transport|PM25|Minor restricted activity days", US_national_yearly!$D:$AM, 10, FALSE), 1)</f>
        <v>3.2297825140250862</v>
      </c>
      <c r="P14" s="7">
        <f>$B14 * IFERROR(VLOOKUP("transport|PM25|Minor restricted activity days", US_national_yearly!$D:$AM, 24, FALSE) / VLOOKUP("transport|PM25|Minor restricted activity days", US_national_yearly!$D:$AM, 10, FALSE), 1)</f>
        <v>3.2552403765033606</v>
      </c>
      <c r="Q14" s="7">
        <f>$B14 * IFERROR(VLOOKUP("transport|PM25|Minor restricted activity days", US_national_yearly!$D:$AM, 25, FALSE) / VLOOKUP("transport|PM25|Minor restricted activity days", US_national_yearly!$D:$AM, 10, FALSE), 1)</f>
        <v>3.2806982389816346</v>
      </c>
      <c r="R14" s="7">
        <f>$B14 * IFERROR(VLOOKUP("transport|PM25|Minor restricted activity days", US_national_yearly!$D:$AM, 26, FALSE) / VLOOKUP("transport|PM25|Minor restricted activity days", US_national_yearly!$D:$AM, 10, FALSE), 1)</f>
        <v>3.3061561014599086</v>
      </c>
      <c r="S14" s="7">
        <f>$B14 * IFERROR(VLOOKUP("transport|PM25|Minor restricted activity days", US_national_yearly!$D:$AM, 27, FALSE) / VLOOKUP("transport|PM25|Minor restricted activity days", US_national_yearly!$D:$AM, 10, FALSE), 1)</f>
        <v>3.3317892838950538</v>
      </c>
      <c r="T14" s="7">
        <f>$B14 * IFERROR(VLOOKUP("transport|PM25|Minor restricted activity days", US_national_yearly!$D:$AM, 28, FALSE) / VLOOKUP("transport|PM25|Minor restricted activity days", US_national_yearly!$D:$AM, 10, FALSE), 1)</f>
        <v>3.3574224663301986</v>
      </c>
      <c r="U14" s="7">
        <f>$B14 * IFERROR(VLOOKUP("transport|PM25|Minor restricted activity days", US_national_yearly!$D:$AM, 29, FALSE) / VLOOKUP("transport|PM25|Minor restricted activity days", US_national_yearly!$D:$AM, 10, FALSE), 1)</f>
        <v>3.3830556487653438</v>
      </c>
      <c r="V14" s="7">
        <f>$B14 * IFERROR(VLOOKUP("transport|PM25|Minor restricted activity days", US_national_yearly!$D:$AM, 30, FALSE) / VLOOKUP("transport|PM25|Minor restricted activity days", US_national_yearly!$D:$AM, 10, FALSE), 1)</f>
        <v>3.408688831200489</v>
      </c>
      <c r="W14" s="7">
        <f>$B14 * IFERROR(VLOOKUP("transport|PM25|Minor restricted activity days", US_national_yearly!$D:$AM, 31, FALSE) / VLOOKUP("transport|PM25|Minor restricted activity days", US_national_yearly!$D:$AM, 10, FALSE), 1)</f>
        <v>3.4343220136356343</v>
      </c>
      <c r="X14" s="7">
        <f>$B14 * IFERROR(VLOOKUP("transport|PM25|Minor restricted activity days", US_national_yearly!$D:$AM, 32, FALSE) / VLOOKUP("transport|PM25|Minor restricted activity days", US_national_yearly!$D:$AM, 10, FALSE), 1)</f>
        <v>3.4565741947365569</v>
      </c>
      <c r="Y14" s="7">
        <f>$B14 * IFERROR(VLOOKUP("transport|PM25|Minor restricted activity days", US_national_yearly!$D:$AM, 33, FALSE) / VLOOKUP("transport|PM25|Minor restricted activity days", US_national_yearly!$D:$AM, 10, FALSE), 1)</f>
        <v>3.4788263758374791</v>
      </c>
      <c r="Z14" s="7">
        <f>$B14 * IFERROR(VLOOKUP("transport|PM25|Minor restricted activity days", US_national_yearly!$D:$AM, 34, FALSE) / VLOOKUP("transport|PM25|Minor restricted activity days", US_national_yearly!$D:$AM, 10, FALSE), 1)</f>
        <v>3.5010785569384018</v>
      </c>
      <c r="AA14" s="7">
        <f>$B14 * IFERROR(VLOOKUP("transport|PM25|Minor restricted activity days", US_national_yearly!$D:$AM, 35, FALSE) / VLOOKUP("transport|PM25|Minor restricted activity days", US_national_yearly!$D:$AM, 10, FALSE), 1)</f>
        <v>3.523330738039324</v>
      </c>
      <c r="AB14" s="7">
        <f>$B14 * IFERROR(VLOOKUP("transport|PM25|Minor restricted activity days", US_national_yearly!$D:$AM, 36, FALSE) / VLOOKUP("transport|PM25|Minor restricted activity days", US_national_yearly!$D:$AM, 10, FALSE), 1)</f>
        <v>3.5455829191402466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0.51633593394383548</v>
      </c>
      <c r="C15" s="7">
        <f>$B15 * IFERROR(VLOOKUP("transport|PM25|Work loss days", US_national_yearly!$D:$AM, 11, FALSE) / VLOOKUP("transport|PM25|Work loss days", US_national_yearly!$D:$AM, 10, FALSE), 1)</f>
        <v>0.51793638936993736</v>
      </c>
      <c r="D15" s="7">
        <f>$B15 * IFERROR(VLOOKUP("transport|PM25|Work loss days", US_national_yearly!$D:$AM, 12, FALSE) / VLOOKUP("transport|PM25|Work loss days", US_national_yearly!$D:$AM, 10, FALSE), 1)</f>
        <v>0.51953684479603945</v>
      </c>
      <c r="E15" s="7">
        <f>$B15 * IFERROR(VLOOKUP("transport|PM25|Work loss days", US_national_yearly!$D:$AM, 13, FALSE) / VLOOKUP("transport|PM25|Work loss days", US_national_yearly!$D:$AM, 10, FALSE), 1)</f>
        <v>0.52113730022214133</v>
      </c>
      <c r="F15" s="7">
        <f>$B15 * IFERROR(VLOOKUP("transport|PM25|Work loss days", US_national_yearly!$D:$AM, 14, FALSE) / VLOOKUP("transport|PM25|Work loss days", US_national_yearly!$D:$AM, 10, FALSE), 1)</f>
        <v>0.52273775564824321</v>
      </c>
      <c r="G15" s="7">
        <f>$B15 * IFERROR(VLOOKUP("transport|PM25|Work loss days", US_national_yearly!$D:$AM, 15, FALSE) / VLOOKUP("transport|PM25|Work loss days", US_national_yearly!$D:$AM, 10, FALSE), 1)</f>
        <v>0.52483605483845863</v>
      </c>
      <c r="H15" s="7">
        <f>$B15 * IFERROR(VLOOKUP("transport|PM25|Work loss days", US_national_yearly!$D:$AM, 16, FALSE) / VLOOKUP("transport|PM25|Work loss days", US_national_yearly!$D:$AM, 10, FALSE), 1)</f>
        <v>0.52693435402867406</v>
      </c>
      <c r="I15" s="7">
        <f>$B15 * IFERROR(VLOOKUP("transport|PM25|Work loss days", US_national_yearly!$D:$AM, 17, FALSE) / VLOOKUP("transport|PM25|Work loss days", US_national_yearly!$D:$AM, 10, FALSE), 1)</f>
        <v>0.5300243303675094</v>
      </c>
      <c r="J15" s="7">
        <f>$B15 * IFERROR(VLOOKUP("transport|PM25|Work loss days", US_national_yearly!$D:$AM, 18, FALSE) / VLOOKUP("transport|PM25|Work loss days", US_national_yearly!$D:$AM, 10, FALSE), 1)</f>
        <v>0.53311430670634474</v>
      </c>
      <c r="K15" s="7">
        <f>$B15 * IFERROR(VLOOKUP("transport|PM25|Work loss days", US_national_yearly!$D:$AM, 19, FALSE) / VLOOKUP("transport|PM25|Work loss days", US_national_yearly!$D:$AM, 10, FALSE), 1)</f>
        <v>0.53620428304517997</v>
      </c>
      <c r="L15" s="7">
        <f>$B15 * IFERROR(VLOOKUP("transport|PM25|Work loss days", US_national_yearly!$D:$AM, 20, FALSE) / VLOOKUP("transport|PM25|Work loss days", US_national_yearly!$D:$AM, 10, FALSE), 1)</f>
        <v>0.53929425938401532</v>
      </c>
      <c r="M15" s="7">
        <f>$B15 * IFERROR(VLOOKUP("transport|PM25|Work loss days", US_national_yearly!$D:$AM, 21, FALSE) / VLOOKUP("transport|PM25|Work loss days", US_national_yearly!$D:$AM, 10, FALSE), 1)</f>
        <v>0.54238423572285066</v>
      </c>
      <c r="N15" s="7">
        <f>$B15 * IFERROR(VLOOKUP("transport|PM25|Work loss days", US_national_yearly!$D:$AM, 22, FALSE) / VLOOKUP("transport|PM25|Work loss days", US_national_yearly!$D:$AM, 10, FALSE), 1)</f>
        <v>0.54627320482187935</v>
      </c>
      <c r="O15" s="7">
        <f>$B15 * IFERROR(VLOOKUP("transport|PM25|Work loss days", US_national_yearly!$D:$AM, 23, FALSE) / VLOOKUP("transport|PM25|Work loss days", US_national_yearly!$D:$AM, 10, FALSE), 1)</f>
        <v>0.55016217392090794</v>
      </c>
      <c r="P15" s="7">
        <f>$B15 * IFERROR(VLOOKUP("transport|PM25|Work loss days", US_national_yearly!$D:$AM, 24, FALSE) / VLOOKUP("transport|PM25|Work loss days", US_national_yearly!$D:$AM, 10, FALSE), 1)</f>
        <v>0.55405114301993663</v>
      </c>
      <c r="Q15" s="7">
        <f>$B15 * IFERROR(VLOOKUP("transport|PM25|Work loss days", US_national_yearly!$D:$AM, 25, FALSE) / VLOOKUP("transport|PM25|Work loss days", US_national_yearly!$D:$AM, 10, FALSE), 1)</f>
        <v>0.55794011211896521</v>
      </c>
      <c r="R15" s="7">
        <f>$B15 * IFERROR(VLOOKUP("transport|PM25|Work loss days", US_national_yearly!$D:$AM, 26, FALSE) / VLOOKUP("transport|PM25|Work loss days", US_national_yearly!$D:$AM, 10, FALSE), 1)</f>
        <v>0.56182908121799391</v>
      </c>
      <c r="S15" s="7">
        <f>$B15 * IFERROR(VLOOKUP("transport|PM25|Work loss days", US_national_yearly!$D:$AM, 27, FALSE) / VLOOKUP("transport|PM25|Work loss days", US_national_yearly!$D:$AM, 10, FALSE), 1)</f>
        <v>0.56613044707503934</v>
      </c>
      <c r="T15" s="7">
        <f>$B15 * IFERROR(VLOOKUP("transport|PM25|Work loss days", US_national_yearly!$D:$AM, 28, FALSE) / VLOOKUP("transport|PM25|Work loss days", US_national_yearly!$D:$AM, 10, FALSE), 1)</f>
        <v>0.570431812932085</v>
      </c>
      <c r="U15" s="7">
        <f>$B15 * IFERROR(VLOOKUP("transport|PM25|Work loss days", US_national_yearly!$D:$AM, 29, FALSE) / VLOOKUP("transport|PM25|Work loss days", US_national_yearly!$D:$AM, 10, FALSE), 1)</f>
        <v>0.57473317878913033</v>
      </c>
      <c r="V15" s="7">
        <f>$B15 * IFERROR(VLOOKUP("transport|PM25|Work loss days", US_national_yearly!$D:$AM, 30, FALSE) / VLOOKUP("transport|PM25|Work loss days", US_national_yearly!$D:$AM, 10, FALSE), 1)</f>
        <v>0.57903454464617599</v>
      </c>
      <c r="W15" s="7">
        <f>$B15 * IFERROR(VLOOKUP("transport|PM25|Work loss days", US_national_yearly!$D:$AM, 31, FALSE) / VLOOKUP("transport|PM25|Work loss days", US_national_yearly!$D:$AM, 10, FALSE), 1)</f>
        <v>0.58333591050322142</v>
      </c>
      <c r="X15" s="7">
        <f>$B15 * IFERROR(VLOOKUP("transport|PM25|Work loss days", US_national_yearly!$D:$AM, 32, FALSE) / VLOOKUP("transport|PM25|Work loss days", US_national_yearly!$D:$AM, 10, FALSE), 1)</f>
        <v>0.58715238211237364</v>
      </c>
      <c r="Y15" s="7">
        <f>$B15 * IFERROR(VLOOKUP("transport|PM25|Work loss days", US_national_yearly!$D:$AM, 33, FALSE) / VLOOKUP("transport|PM25|Work loss days", US_national_yearly!$D:$AM, 10, FALSE), 1)</f>
        <v>0.59096885372152586</v>
      </c>
      <c r="Z15" s="7">
        <f>$B15 * IFERROR(VLOOKUP("transport|PM25|Work loss days", US_national_yearly!$D:$AM, 34, FALSE) / VLOOKUP("transport|PM25|Work loss days", US_national_yearly!$D:$AM, 10, FALSE), 1)</f>
        <v>0.59478532533067818</v>
      </c>
      <c r="AA15" s="7">
        <f>$B15 * IFERROR(VLOOKUP("transport|PM25|Work loss days", US_national_yearly!$D:$AM, 35, FALSE) / VLOOKUP("transport|PM25|Work loss days", US_national_yearly!$D:$AM, 10, FALSE), 1)</f>
        <v>0.59860179693983051</v>
      </c>
      <c r="AB15" s="7">
        <f>$B15 * IFERROR(VLOOKUP("transport|PM25|Work loss days", US_national_yearly!$D:$AM, 36, FALSE) / VLOOKUP("transport|PM25|Work loss days", US_national_yearly!$D:$AM, 10, FALSE), 1)</f>
        <v>0.60241826854898273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6.1071855850504625E-4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6.2896725489752228E-4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6.4721595128999841E-4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6.6546464768247454E-4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6.8371334407495068E-4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7.0119233551360508E-4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7.1867132695225969E-4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7.3362032006569588E-4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7.4856931317913186E-4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7.6351830629256795E-4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7.7846729940600425E-4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7.9341629251944022E-4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8.0338312753360983E-4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8.1334996254777954E-4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8.2331679756194904E-4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8.3328363257611875E-4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8.4325046759028824E-4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8.4852385382715298E-4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8.5379724006401749E-4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8.590706263008819E-4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8.6434401253774652E-4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8.6961739877461103E-4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8.7316751175523324E-4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8.7671762473585544E-4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8.8026773771647765E-4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8.8381785069709985E-4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8.8736796367772216E-4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2.1366256158497957E-4</v>
      </c>
      <c r="C2" s="7">
        <f>$B2 * IFERROR(VLOOKUP("transport|NOx|Premature mortality", US_national_yearly!$D:$AM, 11, FALSE) / VLOOKUP("transport|NOx|Premature mortality", US_national_yearly!$D:$AM, 10, FALSE), 1)</f>
        <v>2.1680090347081892E-4</v>
      </c>
      <c r="D2" s="7">
        <f>$B2 * IFERROR(VLOOKUP("transport|NOx|Premature mortality", US_national_yearly!$D:$AM, 12, FALSE) / VLOOKUP("transport|NOx|Premature mortality", US_national_yearly!$D:$AM, 10, FALSE), 1)</f>
        <v>2.1993924535665822E-4</v>
      </c>
      <c r="E2" s="7">
        <f>$B2 * IFERROR(VLOOKUP("transport|NOx|Premature mortality", US_national_yearly!$D:$AM, 13, FALSE) / VLOOKUP("transport|NOx|Premature mortality", US_national_yearly!$D:$AM, 10, FALSE), 1)</f>
        <v>2.230775872424976E-4</v>
      </c>
      <c r="F2" s="7">
        <f>$B2 * IFERROR(VLOOKUP("transport|NOx|Premature mortality", US_national_yearly!$D:$AM, 14, FALSE) / VLOOKUP("transport|NOx|Premature mortality", US_national_yearly!$D:$AM, 10, FALSE), 1)</f>
        <v>2.2621592912833695E-4</v>
      </c>
      <c r="G2" s="7">
        <f>$B2 * IFERROR(VLOOKUP("transport|NOx|Premature mortality", US_national_yearly!$D:$AM, 15, FALSE) / VLOOKUP("transport|NOx|Premature mortality", US_national_yearly!$D:$AM, 10, FALSE), 1)</f>
        <v>2.3185313313528764E-4</v>
      </c>
      <c r="H2" s="7">
        <f>$B2 * IFERROR(VLOOKUP("transport|NOx|Premature mortality", US_national_yearly!$D:$AM, 16, FALSE) / VLOOKUP("transport|NOx|Premature mortality", US_national_yearly!$D:$AM, 10, FALSE), 1)</f>
        <v>2.3749033714223848E-4</v>
      </c>
      <c r="I2" s="7">
        <f>$B2 * IFERROR(VLOOKUP("transport|NOx|Premature mortality", US_national_yearly!$D:$AM, 17, FALSE) / VLOOKUP("transport|NOx|Premature mortality", US_national_yearly!$D:$AM, 10, FALSE), 1)</f>
        <v>2.4112925925879035E-4</v>
      </c>
      <c r="J2" s="7">
        <f>$B2 * IFERROR(VLOOKUP("transport|NOx|Premature mortality", US_national_yearly!$D:$AM, 18, FALSE) / VLOOKUP("transport|NOx|Premature mortality", US_national_yearly!$D:$AM, 10, FALSE), 1)</f>
        <v>2.4476818137534229E-4</v>
      </c>
      <c r="K2" s="7">
        <f>$B2 * IFERROR(VLOOKUP("transport|NOx|Premature mortality", US_national_yearly!$D:$AM, 19, FALSE) / VLOOKUP("transport|NOx|Premature mortality", US_national_yearly!$D:$AM, 10, FALSE), 1)</f>
        <v>2.4840710349189422E-4</v>
      </c>
      <c r="L2" s="7">
        <f>$B2 * IFERROR(VLOOKUP("transport|NOx|Premature mortality", US_national_yearly!$D:$AM, 20, FALSE) / VLOOKUP("transport|NOx|Premature mortality", US_national_yearly!$D:$AM, 10, FALSE), 1)</f>
        <v>2.520460256084461E-4</v>
      </c>
      <c r="M2" s="7">
        <f>$B2 * IFERROR(VLOOKUP("transport|NOx|Premature mortality", US_national_yearly!$D:$AM, 21, FALSE) / VLOOKUP("transport|NOx|Premature mortality", US_national_yearly!$D:$AM, 10, FALSE), 1)</f>
        <v>2.5568494772499803E-4</v>
      </c>
      <c r="N2" s="7">
        <f>$B2 * IFERROR(VLOOKUP("transport|NOx|Premature mortality", US_national_yearly!$D:$AM, 22, FALSE) / VLOOKUP("transport|NOx|Premature mortality", US_national_yearly!$D:$AM, 10, FALSE), 1)</f>
        <v>2.5838064708247094E-4</v>
      </c>
      <c r="O2" s="7">
        <f>$B2 * IFERROR(VLOOKUP("transport|NOx|Premature mortality", US_national_yearly!$D:$AM, 23, FALSE) / VLOOKUP("transport|NOx|Premature mortality", US_national_yearly!$D:$AM, 10, FALSE), 1)</f>
        <v>2.6107634643994385E-4</v>
      </c>
      <c r="P2" s="7">
        <f>$B2 * IFERROR(VLOOKUP("transport|NOx|Premature mortality", US_national_yearly!$D:$AM, 24, FALSE) / VLOOKUP("transport|NOx|Premature mortality", US_national_yearly!$D:$AM, 10, FALSE), 1)</f>
        <v>2.6377204579741676E-4</v>
      </c>
      <c r="Q2" s="7">
        <f>$B2 * IFERROR(VLOOKUP("transport|NOx|Premature mortality", US_national_yearly!$D:$AM, 25, FALSE) / VLOOKUP("transport|NOx|Premature mortality", US_national_yearly!$D:$AM, 10, FALSE), 1)</f>
        <v>2.6646774515488972E-4</v>
      </c>
      <c r="R2" s="7">
        <f>$B2 * IFERROR(VLOOKUP("transport|NOx|Premature mortality", US_national_yearly!$D:$AM, 26, FALSE) / VLOOKUP("transport|NOx|Premature mortality", US_national_yearly!$D:$AM, 10, FALSE), 1)</f>
        <v>2.6916344451236263E-4</v>
      </c>
      <c r="S2" s="7">
        <f>$B2 * IFERROR(VLOOKUP("transport|NOx|Premature mortality", US_national_yearly!$D:$AM, 27, FALSE) / VLOOKUP("transport|NOx|Premature mortality", US_national_yearly!$D:$AM, 10, FALSE), 1)</f>
        <v>2.7038866701566589E-4</v>
      </c>
      <c r="T2" s="7">
        <f>$B2 * IFERROR(VLOOKUP("transport|NOx|Premature mortality", US_national_yearly!$D:$AM, 28, FALSE) / VLOOKUP("transport|NOx|Premature mortality", US_national_yearly!$D:$AM, 10, FALSE), 1)</f>
        <v>2.7161388951896915E-4</v>
      </c>
      <c r="U2" s="7">
        <f>$B2 * IFERROR(VLOOKUP("transport|NOx|Premature mortality", US_national_yearly!$D:$AM, 29, FALSE) / VLOOKUP("transport|NOx|Premature mortality", US_national_yearly!$D:$AM, 10, FALSE), 1)</f>
        <v>2.7283911202227235E-4</v>
      </c>
      <c r="V2" s="7">
        <f>$B2 * IFERROR(VLOOKUP("transport|NOx|Premature mortality", US_national_yearly!$D:$AM, 30, FALSE) / VLOOKUP("transport|NOx|Premature mortality", US_national_yearly!$D:$AM, 10, FALSE), 1)</f>
        <v>2.7406433452557561E-4</v>
      </c>
      <c r="W2" s="7">
        <f>$B2 * IFERROR(VLOOKUP("transport|NOx|Premature mortality", US_national_yearly!$D:$AM, 31, FALSE) / VLOOKUP("transport|NOx|Premature mortality", US_national_yearly!$D:$AM, 10, FALSE), 1)</f>
        <v>2.7528955702887887E-4</v>
      </c>
      <c r="X2" s="7">
        <f>$B2 * IFERROR(VLOOKUP("transport|NOx|Premature mortality", US_national_yearly!$D:$AM, 32, FALSE) / VLOOKUP("transport|NOx|Premature mortality", US_national_yearly!$D:$AM, 10, FALSE), 1)</f>
        <v>2.7533199803310996E-4</v>
      </c>
      <c r="Y2" s="7">
        <f>$B2 * IFERROR(VLOOKUP("transport|NOx|Premature mortality", US_national_yearly!$D:$AM, 33, FALSE) / VLOOKUP("transport|NOx|Premature mortality", US_national_yearly!$D:$AM, 10, FALSE), 1)</f>
        <v>2.7537443903734104E-4</v>
      </c>
      <c r="Z2" s="7">
        <f>$B2 * IFERROR(VLOOKUP("transport|NOx|Premature mortality", US_national_yearly!$D:$AM, 34, FALSE) / VLOOKUP("transport|NOx|Premature mortality", US_national_yearly!$D:$AM, 10, FALSE), 1)</f>
        <v>2.7541688004157207E-4</v>
      </c>
      <c r="AA2" s="7">
        <f>$B2 * IFERROR(VLOOKUP("transport|NOx|Premature mortality", US_national_yearly!$D:$AM, 35, FALSE) / VLOOKUP("transport|NOx|Premature mortality", US_national_yearly!$D:$AM, 10, FALSE), 1)</f>
        <v>2.754593210458032E-4</v>
      </c>
      <c r="AB2" s="7">
        <f>$B2 * IFERROR(VLOOKUP("transport|NOx|Premature mortality", US_national_yearly!$D:$AM, 36, FALSE) / VLOOKUP("transport|NOx|Premature mortality", US_national_yearly!$D:$AM, 10, FALSE), 1)</f>
        <v>2.7550176205003429E-4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5.9282721765203941E-7</v>
      </c>
      <c r="C3" s="7">
        <f>$B3 * IFERROR(VLOOKUP("transport|NOx|Infant mortality", US_national_yearly!$D:$AM, 11, FALSE) / VLOOKUP("transport|NOx|Infant mortality", US_national_yearly!$D:$AM, 10, FALSE), 1)</f>
        <v>5.8717902778381698E-7</v>
      </c>
      <c r="D3" s="7">
        <f>$B3 * IFERROR(VLOOKUP("transport|NOx|Infant mortality", US_national_yearly!$D:$AM, 12, FALSE) / VLOOKUP("transport|NOx|Infant mortality", US_national_yearly!$D:$AM, 10, FALSE), 1)</f>
        <v>5.8153083791559445E-7</v>
      </c>
      <c r="E3" s="7">
        <f>$B3 * IFERROR(VLOOKUP("transport|NOx|Infant mortality", US_national_yearly!$D:$AM, 13, FALSE) / VLOOKUP("transport|NOx|Infant mortality", US_national_yearly!$D:$AM, 10, FALSE), 1)</f>
        <v>5.7588264804737192E-7</v>
      </c>
      <c r="F3" s="7">
        <f>$B3 * IFERROR(VLOOKUP("transport|NOx|Infant mortality", US_national_yearly!$D:$AM, 14, FALSE) / VLOOKUP("transport|NOx|Infant mortality", US_national_yearly!$D:$AM, 10, FALSE), 1)</f>
        <v>5.702344581791495E-7</v>
      </c>
      <c r="G3" s="7">
        <f>$B3 * IFERROR(VLOOKUP("transport|NOx|Infant mortality", US_national_yearly!$D:$AM, 15, FALSE) / VLOOKUP("transport|NOx|Infant mortality", US_national_yearly!$D:$AM, 10, FALSE), 1)</f>
        <v>3.7854979207720181E-7</v>
      </c>
      <c r="H3" s="7">
        <f>$B3 * IFERROR(VLOOKUP("transport|NOx|Infant mortality", US_national_yearly!$D:$AM, 16, FALSE) / VLOOKUP("transport|NOx|Infant mortality", US_national_yearly!$D:$AM, 10, FALSE), 1)</f>
        <v>1.8686512597525415E-7</v>
      </c>
      <c r="I3" s="7">
        <f>$B3 * IFERROR(VLOOKUP("transport|NOx|Infant mortality", US_national_yearly!$D:$AM, 17, FALSE) / VLOOKUP("transport|NOx|Infant mortality", US_national_yearly!$D:$AM, 10, FALSE), 1)</f>
        <v>1.8554381111505978E-7</v>
      </c>
      <c r="J3" s="7">
        <f>$B3 * IFERROR(VLOOKUP("transport|NOx|Infant mortality", US_national_yearly!$D:$AM, 18, FALSE) / VLOOKUP("transport|NOx|Infant mortality", US_national_yearly!$D:$AM, 10, FALSE), 1)</f>
        <v>1.8422249625486538E-7</v>
      </c>
      <c r="K3" s="7">
        <f>$B3 * IFERROR(VLOOKUP("transport|NOx|Infant mortality", US_national_yearly!$D:$AM, 19, FALSE) / VLOOKUP("transport|NOx|Infant mortality", US_national_yearly!$D:$AM, 10, FALSE), 1)</f>
        <v>1.82901181394671E-7</v>
      </c>
      <c r="L3" s="7">
        <f>$B3 * IFERROR(VLOOKUP("transport|NOx|Infant mortality", US_national_yearly!$D:$AM, 20, FALSE) / VLOOKUP("transport|NOx|Infant mortality", US_national_yearly!$D:$AM, 10, FALSE), 1)</f>
        <v>1.815798665344766E-7</v>
      </c>
      <c r="M3" s="7">
        <f>$B3 * IFERROR(VLOOKUP("transport|NOx|Infant mortality", US_national_yearly!$D:$AM, 21, FALSE) / VLOOKUP("transport|NOx|Infant mortality", US_national_yearly!$D:$AM, 10, FALSE), 1)</f>
        <v>1.802585516742822E-7</v>
      </c>
      <c r="N3" s="7">
        <f>$B3 * IFERROR(VLOOKUP("transport|NOx|Infant mortality", US_national_yearly!$D:$AM, 22, FALSE) / VLOOKUP("transport|NOx|Infant mortality", US_national_yearly!$D:$AM, 10, FALSE), 1)</f>
        <v>1.7938151811754245E-7</v>
      </c>
      <c r="O3" s="7">
        <f>$B3 * IFERROR(VLOOKUP("transport|NOx|Infant mortality", US_national_yearly!$D:$AM, 23, FALSE) / VLOOKUP("transport|NOx|Infant mortality", US_national_yearly!$D:$AM, 10, FALSE), 1)</f>
        <v>1.7850448456080268E-7</v>
      </c>
      <c r="P3" s="7">
        <f>$B3 * IFERROR(VLOOKUP("transport|NOx|Infant mortality", US_national_yearly!$D:$AM, 24, FALSE) / VLOOKUP("transport|NOx|Infant mortality", US_national_yearly!$D:$AM, 10, FALSE), 1)</f>
        <v>1.7762745100406293E-7</v>
      </c>
      <c r="Q3" s="7">
        <f>$B3 * IFERROR(VLOOKUP("transport|NOx|Infant mortality", US_national_yearly!$D:$AM, 25, FALSE) / VLOOKUP("transport|NOx|Infant mortality", US_national_yearly!$D:$AM, 10, FALSE), 1)</f>
        <v>1.7675041744732318E-7</v>
      </c>
      <c r="R3" s="7">
        <f>$B3 * IFERROR(VLOOKUP("transport|NOx|Infant mortality", US_national_yearly!$D:$AM, 26, FALSE) / VLOOKUP("transport|NOx|Infant mortality", US_national_yearly!$D:$AM, 10, FALSE), 1)</f>
        <v>1.758733838905834E-7</v>
      </c>
      <c r="S3" s="7">
        <f>$B3 * IFERROR(VLOOKUP("transport|NOx|Infant mortality", US_national_yearly!$D:$AM, 27, FALSE) / VLOOKUP("transport|NOx|Infant mortality", US_national_yearly!$D:$AM, 10, FALSE), 1)</f>
        <v>1.7481905008615071E-7</v>
      </c>
      <c r="T3" s="7">
        <f>$B3 * IFERROR(VLOOKUP("transport|NOx|Infant mortality", US_national_yearly!$D:$AM, 28, FALSE) / VLOOKUP("transport|NOx|Infant mortality", US_national_yearly!$D:$AM, 10, FALSE), 1)</f>
        <v>1.7376471628171802E-7</v>
      </c>
      <c r="U3" s="7">
        <f>$B3 * IFERROR(VLOOKUP("transport|NOx|Infant mortality", US_national_yearly!$D:$AM, 29, FALSE) / VLOOKUP("transport|NOx|Infant mortality", US_national_yearly!$D:$AM, 10, FALSE), 1)</f>
        <v>1.7271038247728533E-7</v>
      </c>
      <c r="V3" s="7">
        <f>$B3 * IFERROR(VLOOKUP("transport|NOx|Infant mortality", US_national_yearly!$D:$AM, 30, FALSE) / VLOOKUP("transport|NOx|Infant mortality", US_national_yearly!$D:$AM, 10, FALSE), 1)</f>
        <v>1.7165604867285264E-7</v>
      </c>
      <c r="W3" s="7">
        <f>$B3 * IFERROR(VLOOKUP("transport|NOx|Infant mortality", US_national_yearly!$D:$AM, 31, FALSE) / VLOOKUP("transport|NOx|Infant mortality", US_national_yearly!$D:$AM, 10, FALSE), 1)</f>
        <v>1.7060171486841995E-7</v>
      </c>
      <c r="X3" s="7">
        <f>$B3 * IFERROR(VLOOKUP("transport|NOx|Infant mortality", US_national_yearly!$D:$AM, 32, FALSE) / VLOOKUP("transport|NOx|Infant mortality", US_national_yearly!$D:$AM, 10, FALSE), 1)</f>
        <v>1.6948512438402389E-7</v>
      </c>
      <c r="Y3" s="7">
        <f>$B3 * IFERROR(VLOOKUP("transport|NOx|Infant mortality", US_national_yearly!$D:$AM, 33, FALSE) / VLOOKUP("transport|NOx|Infant mortality", US_national_yearly!$D:$AM, 10, FALSE), 1)</f>
        <v>1.6836853389962783E-7</v>
      </c>
      <c r="Z3" s="7">
        <f>$B3 * IFERROR(VLOOKUP("transport|NOx|Infant mortality", US_national_yearly!$D:$AM, 34, FALSE) / VLOOKUP("transport|NOx|Infant mortality", US_national_yearly!$D:$AM, 10, FALSE), 1)</f>
        <v>1.6725194341523175E-7</v>
      </c>
      <c r="AA3" s="7">
        <f>$B3 * IFERROR(VLOOKUP("transport|NOx|Infant mortality", US_national_yearly!$D:$AM, 35, FALSE) / VLOOKUP("transport|NOx|Infant mortality", US_national_yearly!$D:$AM, 10, FALSE), 1)</f>
        <v>1.6613535293083567E-7</v>
      </c>
      <c r="AB3" s="7">
        <f>$B3 * IFERROR(VLOOKUP("transport|NOx|Infant mortality", US_national_yearly!$D:$AM, 36, FALSE) / VLOOKUP("transport|NOx|Infant mortality", US_national_yearly!$D:$AM, 10, FALSE), 1)</f>
        <v>1.6501876244643961E-7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6.6724642831386856E-4</v>
      </c>
      <c r="C6" s="7">
        <f>$B6 * IFERROR(VLOOKUP("transport|NOx|Asthma symptoms cough", US_national_yearly!$D:$AM, 11, FALSE) / VLOOKUP("transport|NOx|Asthma symptoms cough", US_national_yearly!$D:$AM, 10, FALSE), 1)</f>
        <v>6.7636877789364642E-4</v>
      </c>
      <c r="D6" s="7">
        <f>$B6 * IFERROR(VLOOKUP("transport|NOx|Asthma symptoms cough", US_national_yearly!$D:$AM, 12, FALSE) / VLOOKUP("transport|NOx|Asthma symptoms cough", US_national_yearly!$D:$AM, 10, FALSE), 1)</f>
        <v>6.8549112747342416E-4</v>
      </c>
      <c r="E6" s="7">
        <f>$B6 * IFERROR(VLOOKUP("transport|NOx|Asthma symptoms cough", US_national_yearly!$D:$AM, 13, FALSE) / VLOOKUP("transport|NOx|Asthma symptoms cough", US_national_yearly!$D:$AM, 10, FALSE), 1)</f>
        <v>6.9461347705320202E-4</v>
      </c>
      <c r="F6" s="7">
        <f>$B6 * IFERROR(VLOOKUP("transport|NOx|Asthma symptoms cough", US_national_yearly!$D:$AM, 14, FALSE) / VLOOKUP("transport|NOx|Asthma symptoms cough", US_national_yearly!$D:$AM, 10, FALSE), 1)</f>
        <v>7.0373582663297977E-4</v>
      </c>
      <c r="G6" s="7">
        <f>$B6 * IFERROR(VLOOKUP("transport|NOx|Asthma symptoms cough", US_national_yearly!$D:$AM, 15, FALSE) / VLOOKUP("transport|NOx|Asthma symptoms cough", US_national_yearly!$D:$AM, 10, FALSE), 1)</f>
        <v>7.1101874801020098E-4</v>
      </c>
      <c r="H6" s="7">
        <f>$B6 * IFERROR(VLOOKUP("transport|NOx|Asthma symptoms cough", US_national_yearly!$D:$AM, 16, FALSE) / VLOOKUP("transport|NOx|Asthma symptoms cough", US_national_yearly!$D:$AM, 10, FALSE), 1)</f>
        <v>7.183016693874223E-4</v>
      </c>
      <c r="I6" s="7">
        <f>$B6 * IFERROR(VLOOKUP("transport|NOx|Asthma symptoms cough", US_national_yearly!$D:$AM, 17, FALSE) / VLOOKUP("transport|NOx|Asthma symptoms cough", US_national_yearly!$D:$AM, 10, FALSE), 1)</f>
        <v>7.2080834681062902E-4</v>
      </c>
      <c r="J6" s="7">
        <f>$B6 * IFERROR(VLOOKUP("transport|NOx|Asthma symptoms cough", US_national_yearly!$D:$AM, 18, FALSE) / VLOOKUP("transport|NOx|Asthma symptoms cough", US_national_yearly!$D:$AM, 10, FALSE), 1)</f>
        <v>7.2331502423383584E-4</v>
      </c>
      <c r="K6" s="7">
        <f>$B6 * IFERROR(VLOOKUP("transport|NOx|Asthma symptoms cough", US_national_yearly!$D:$AM, 19, FALSE) / VLOOKUP("transport|NOx|Asthma symptoms cough", US_national_yearly!$D:$AM, 10, FALSE), 1)</f>
        <v>7.2582170165704256E-4</v>
      </c>
      <c r="L6" s="7">
        <f>$B6 * IFERROR(VLOOKUP("transport|NOx|Asthma symptoms cough", US_national_yearly!$D:$AM, 20, FALSE) / VLOOKUP("transport|NOx|Asthma symptoms cough", US_national_yearly!$D:$AM, 10, FALSE), 1)</f>
        <v>7.2832837908024927E-4</v>
      </c>
      <c r="M6" s="7">
        <f>$B6 * IFERROR(VLOOKUP("transport|NOx|Asthma symptoms cough", US_national_yearly!$D:$AM, 21, FALSE) / VLOOKUP("transport|NOx|Asthma symptoms cough", US_national_yearly!$D:$AM, 10, FALSE), 1)</f>
        <v>7.308350565034562E-4</v>
      </c>
      <c r="N6" s="7">
        <f>$B6 * IFERROR(VLOOKUP("transport|NOx|Asthma symptoms cough", US_national_yearly!$D:$AM, 22, FALSE) / VLOOKUP("transport|NOx|Asthma symptoms cough", US_national_yearly!$D:$AM, 10, FALSE), 1)</f>
        <v>7.3374173564108786E-4</v>
      </c>
      <c r="O6" s="7">
        <f>$B6 * IFERROR(VLOOKUP("transport|NOx|Asthma symptoms cough", US_national_yearly!$D:$AM, 23, FALSE) / VLOOKUP("transport|NOx|Asthma symptoms cough", US_national_yearly!$D:$AM, 10, FALSE), 1)</f>
        <v>7.3664841477871963E-4</v>
      </c>
      <c r="P6" s="7">
        <f>$B6 * IFERROR(VLOOKUP("transport|NOx|Asthma symptoms cough", US_national_yearly!$D:$AM, 24, FALSE) / VLOOKUP("transport|NOx|Asthma symptoms cough", US_national_yearly!$D:$AM, 10, FALSE), 1)</f>
        <v>7.395550939163514E-4</v>
      </c>
      <c r="Q6" s="7">
        <f>$B6 * IFERROR(VLOOKUP("transport|NOx|Asthma symptoms cough", US_national_yearly!$D:$AM, 25, FALSE) / VLOOKUP("transport|NOx|Asthma symptoms cough", US_national_yearly!$D:$AM, 10, FALSE), 1)</f>
        <v>7.4246177305398327E-4</v>
      </c>
      <c r="R6" s="7">
        <f>$B6 * IFERROR(VLOOKUP("transport|NOx|Asthma symptoms cough", US_national_yearly!$D:$AM, 26, FALSE) / VLOOKUP("transport|NOx|Asthma symptoms cough", US_national_yearly!$D:$AM, 10, FALSE), 1)</f>
        <v>7.4536845219161504E-4</v>
      </c>
      <c r="S6" s="7">
        <f>$B6 * IFERROR(VLOOKUP("transport|NOx|Asthma symptoms cough", US_national_yearly!$D:$AM, 27, FALSE) / VLOOKUP("transport|NOx|Asthma symptoms cough", US_national_yearly!$D:$AM, 10, FALSE), 1)</f>
        <v>7.4916550091580752E-4</v>
      </c>
      <c r="T6" s="7">
        <f>$B6 * IFERROR(VLOOKUP("transport|NOx|Asthma symptoms cough", US_national_yearly!$D:$AM, 28, FALSE) / VLOOKUP("transport|NOx|Asthma symptoms cough", US_national_yearly!$D:$AM, 10, FALSE), 1)</f>
        <v>7.5296254963999989E-4</v>
      </c>
      <c r="U6" s="7">
        <f>$B6 * IFERROR(VLOOKUP("transport|NOx|Asthma symptoms cough", US_national_yearly!$D:$AM, 29, FALSE) / VLOOKUP("transport|NOx|Asthma symptoms cough", US_national_yearly!$D:$AM, 10, FALSE), 1)</f>
        <v>7.5675959836419215E-4</v>
      </c>
      <c r="V6" s="7">
        <f>$B6 * IFERROR(VLOOKUP("transport|NOx|Asthma symptoms cough", US_national_yearly!$D:$AM, 30, FALSE) / VLOOKUP("transport|NOx|Asthma symptoms cough", US_national_yearly!$D:$AM, 10, FALSE), 1)</f>
        <v>7.6055664708838463E-4</v>
      </c>
      <c r="W6" s="7">
        <f>$B6 * IFERROR(VLOOKUP("transport|NOx|Asthma symptoms cough", US_national_yearly!$D:$AM, 31, FALSE) / VLOOKUP("transport|NOx|Asthma symptoms cough", US_national_yearly!$D:$AM, 10, FALSE), 1)</f>
        <v>7.6435369581257699E-4</v>
      </c>
      <c r="X6" s="7">
        <f>$B6 * IFERROR(VLOOKUP("transport|NOx|Asthma symptoms cough", US_national_yearly!$D:$AM, 32, FALSE) / VLOOKUP("transport|NOx|Asthma symptoms cough", US_national_yearly!$D:$AM, 10, FALSE), 1)</f>
        <v>7.6788169965837734E-4</v>
      </c>
      <c r="Y6" s="7">
        <f>$B6 * IFERROR(VLOOKUP("transport|NOx|Asthma symptoms cough", US_national_yearly!$D:$AM, 33, FALSE) / VLOOKUP("transport|NOx|Asthma symptoms cough", US_national_yearly!$D:$AM, 10, FALSE), 1)</f>
        <v>7.7140970350417757E-4</v>
      </c>
      <c r="Z6" s="7">
        <f>$B6 * IFERROR(VLOOKUP("transport|NOx|Asthma symptoms cough", US_national_yearly!$D:$AM, 34, FALSE) / VLOOKUP("transport|NOx|Asthma symptoms cough", US_national_yearly!$D:$AM, 10, FALSE), 1)</f>
        <v>7.7493770734997792E-4</v>
      </c>
      <c r="AA6" s="7">
        <f>$B6 * IFERROR(VLOOKUP("transport|NOx|Asthma symptoms cough", US_national_yearly!$D:$AM, 35, FALSE) / VLOOKUP("transport|NOx|Asthma symptoms cough", US_national_yearly!$D:$AM, 10, FALSE), 1)</f>
        <v>7.7846571119577815E-4</v>
      </c>
      <c r="AB6" s="7">
        <f>$B6 * IFERROR(VLOOKUP("transport|NOx|Asthma symptoms cough", US_national_yearly!$D:$AM, 36, FALSE) / VLOOKUP("transport|NOx|Asthma symptoms cough", US_national_yearly!$D:$AM, 10, FALSE), 1)</f>
        <v>7.8199371504157861E-4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8.9852587881302599E-4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9.108101965984507E-4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9.2309451438387518E-4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9.3537883216929989E-4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9.4766314995472459E-4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9.5747046108042935E-4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9.6727777220613411E-4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9.7065330847591444E-4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9.7402884474569488E-4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9.7740438101547532E-4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9.8077991728525576E-4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9.8415545355503621E-4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9.880696392400661E-4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9.91983824925096E-4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9.9589801061012568E-4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9.9981219629515579E-4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1.0037263819801857E-3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1.0088395551580667E-3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1.013952728335948E-3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1.0190659015138293E-3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1.0241790746917101E-3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1.0292922478695914E-3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1.0340431204378011E-3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1.0387939930060108E-3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1.0435448655742206E-3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1.0482957381424303E-3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1.05304661071064E-3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1.3728603713948771E-3</v>
      </c>
      <c r="C8" s="7">
        <f>$B8 * IFERROR(VLOOKUP("transport|NOx|Asthma symptoms wheeze", US_national_yearly!$D:$AM, 11, FALSE) / VLOOKUP("transport|NOx|Asthma symptoms wheeze", US_national_yearly!$D:$AM, 10, FALSE), 1)</f>
        <v>1.391629617235585E-3</v>
      </c>
      <c r="D8" s="7">
        <f>$B8 * IFERROR(VLOOKUP("transport|NOx|Asthma symptoms wheeze", US_national_yearly!$D:$AM, 12, FALSE) / VLOOKUP("transport|NOx|Asthma symptoms wheeze", US_national_yearly!$D:$AM, 10, FALSE), 1)</f>
        <v>1.4103988630762934E-3</v>
      </c>
      <c r="E8" s="7">
        <f>$B8 * IFERROR(VLOOKUP("transport|NOx|Asthma symptoms wheeze", US_national_yearly!$D:$AM, 13, FALSE) / VLOOKUP("transport|NOx|Asthma symptoms wheeze", US_national_yearly!$D:$AM, 10, FALSE), 1)</f>
        <v>1.429168108917001E-3</v>
      </c>
      <c r="F8" s="7">
        <f>$B8 * IFERROR(VLOOKUP("transport|NOx|Asthma symptoms wheeze", US_national_yearly!$D:$AM, 14, FALSE) / VLOOKUP("transport|NOx|Asthma symptoms wheeze", US_national_yearly!$D:$AM, 10, FALSE), 1)</f>
        <v>1.4479373547577089E-3</v>
      </c>
      <c r="G8" s="7">
        <f>$B8 * IFERROR(VLOOKUP("transport|NOx|Asthma symptoms wheeze", US_national_yearly!$D:$AM, 15, FALSE) / VLOOKUP("transport|NOx|Asthma symptoms wheeze", US_national_yearly!$D:$AM, 10, FALSE), 1)</f>
        <v>1.4629219747477682E-3</v>
      </c>
      <c r="H8" s="7">
        <f>$B8 * IFERROR(VLOOKUP("transport|NOx|Asthma symptoms wheeze", US_national_yearly!$D:$AM, 16, FALSE) / VLOOKUP("transport|NOx|Asthma symptoms wheeze", US_national_yearly!$D:$AM, 10, FALSE), 1)</f>
        <v>1.4779065947378275E-3</v>
      </c>
      <c r="I8" s="7">
        <f>$B8 * IFERROR(VLOOKUP("transport|NOx|Asthma symptoms wheeze", US_national_yearly!$D:$AM, 17, FALSE) / VLOOKUP("transport|NOx|Asthma symptoms wheeze", US_national_yearly!$D:$AM, 10, FALSE), 1)</f>
        <v>1.483064086741053E-3</v>
      </c>
      <c r="J8" s="7">
        <f>$B8 * IFERROR(VLOOKUP("transport|NOx|Asthma symptoms wheeze", US_national_yearly!$D:$AM, 18, FALSE) / VLOOKUP("transport|NOx|Asthma symptoms wheeze", US_national_yearly!$D:$AM, 10, FALSE), 1)</f>
        <v>1.4882215787442789E-3</v>
      </c>
      <c r="K8" s="7">
        <f>$B8 * IFERROR(VLOOKUP("transport|NOx|Asthma symptoms wheeze", US_national_yearly!$D:$AM, 19, FALSE) / VLOOKUP("transport|NOx|Asthma symptoms wheeze", US_national_yearly!$D:$AM, 10, FALSE), 1)</f>
        <v>1.4933790707475044E-3</v>
      </c>
      <c r="L8" s="7">
        <f>$B8 * IFERROR(VLOOKUP("transport|NOx|Asthma symptoms wheeze", US_national_yearly!$D:$AM, 20, FALSE) / VLOOKUP("transport|NOx|Asthma symptoms wheeze", US_national_yearly!$D:$AM, 10, FALSE), 1)</f>
        <v>1.4985365627507303E-3</v>
      </c>
      <c r="M8" s="7">
        <f>$B8 * IFERROR(VLOOKUP("transport|NOx|Asthma symptoms wheeze", US_national_yearly!$D:$AM, 21, FALSE) / VLOOKUP("transport|NOx|Asthma symptoms wheeze", US_national_yearly!$D:$AM, 10, FALSE), 1)</f>
        <v>1.503694054753956E-3</v>
      </c>
      <c r="N8" s="7">
        <f>$B8 * IFERROR(VLOOKUP("transport|NOx|Asthma symptoms wheeze", US_national_yearly!$D:$AM, 22, FALSE) / VLOOKUP("transport|NOx|Asthma symptoms wheeze", US_national_yearly!$D:$AM, 10, FALSE), 1)</f>
        <v>1.5096745507984298E-3</v>
      </c>
      <c r="O8" s="7">
        <f>$B8 * IFERROR(VLOOKUP("transport|NOx|Asthma symptoms wheeze", US_national_yearly!$D:$AM, 23, FALSE) / VLOOKUP("transport|NOx|Asthma symptoms wheeze", US_national_yearly!$D:$AM, 10, FALSE), 1)</f>
        <v>1.515655046842904E-3</v>
      </c>
      <c r="P8" s="7">
        <f>$B8 * IFERROR(VLOOKUP("transport|NOx|Asthma symptoms wheeze", US_national_yearly!$D:$AM, 24, FALSE) / VLOOKUP("transport|NOx|Asthma symptoms wheeze", US_national_yearly!$D:$AM, 10, FALSE), 1)</f>
        <v>1.5216355428873778E-3</v>
      </c>
      <c r="Q8" s="7">
        <f>$B8 * IFERROR(VLOOKUP("transport|NOx|Asthma symptoms wheeze", US_national_yearly!$D:$AM, 25, FALSE) / VLOOKUP("transport|NOx|Asthma symptoms wheeze", US_national_yearly!$D:$AM, 10, FALSE), 1)</f>
        <v>1.527616038931852E-3</v>
      </c>
      <c r="R8" s="7">
        <f>$B8 * IFERROR(VLOOKUP("transport|NOx|Asthma symptoms wheeze", US_national_yearly!$D:$AM, 26, FALSE) / VLOOKUP("transport|NOx|Asthma symptoms wheeze", US_national_yearly!$D:$AM, 10, FALSE), 1)</f>
        <v>1.5335965349763257E-3</v>
      </c>
      <c r="S8" s="7">
        <f>$B8 * IFERROR(VLOOKUP("transport|NOx|Asthma symptoms wheeze", US_national_yearly!$D:$AM, 27, FALSE) / VLOOKUP("transport|NOx|Asthma symptoms wheeze", US_national_yearly!$D:$AM, 10, FALSE), 1)</f>
        <v>1.5414089675796568E-3</v>
      </c>
      <c r="T8" s="7">
        <f>$B8 * IFERROR(VLOOKUP("transport|NOx|Asthma symptoms wheeze", US_national_yearly!$D:$AM, 28, FALSE) / VLOOKUP("transport|NOx|Asthma symptoms wheeze", US_national_yearly!$D:$AM, 10, FALSE), 1)</f>
        <v>1.5492214001829876E-3</v>
      </c>
      <c r="U8" s="7">
        <f>$B8 * IFERROR(VLOOKUP("transport|NOx|Asthma symptoms wheeze", US_national_yearly!$D:$AM, 29, FALSE) / VLOOKUP("transport|NOx|Asthma symptoms wheeze", US_national_yearly!$D:$AM, 10, FALSE), 1)</f>
        <v>1.5570338327863184E-3</v>
      </c>
      <c r="V8" s="7">
        <f>$B8 * IFERROR(VLOOKUP("transport|NOx|Asthma symptoms wheeze", US_national_yearly!$D:$AM, 30, FALSE) / VLOOKUP("transport|NOx|Asthma symptoms wheeze", US_national_yearly!$D:$AM, 10, FALSE), 1)</f>
        <v>1.5648462653896497E-3</v>
      </c>
      <c r="W8" s="7">
        <f>$B8 * IFERROR(VLOOKUP("transport|NOx|Asthma symptoms wheeze", US_national_yearly!$D:$AM, 31, FALSE) / VLOOKUP("transport|NOx|Asthma symptoms wheeze", US_national_yearly!$D:$AM, 10, FALSE), 1)</f>
        <v>1.5726586979929803E-3</v>
      </c>
      <c r="X8" s="7">
        <f>$B8 * IFERROR(VLOOKUP("transport|NOx|Asthma symptoms wheeze", US_national_yearly!$D:$AM, 32, FALSE) / VLOOKUP("transport|NOx|Asthma symptoms wheeze", US_national_yearly!$D:$AM, 10, FALSE), 1)</f>
        <v>1.5799175704126658E-3</v>
      </c>
      <c r="Y8" s="7">
        <f>$B8 * IFERROR(VLOOKUP("transport|NOx|Asthma symptoms wheeze", US_national_yearly!$D:$AM, 33, FALSE) / VLOOKUP("transport|NOx|Asthma symptoms wheeze", US_national_yearly!$D:$AM, 10, FALSE), 1)</f>
        <v>1.5871764428323511E-3</v>
      </c>
      <c r="Z8" s="7">
        <f>$B8 * IFERROR(VLOOKUP("transport|NOx|Asthma symptoms wheeze", US_national_yearly!$D:$AM, 34, FALSE) / VLOOKUP("transport|NOx|Asthma symptoms wheeze", US_national_yearly!$D:$AM, 10, FALSE), 1)</f>
        <v>1.5944353152520367E-3</v>
      </c>
      <c r="AA8" s="7">
        <f>$B8 * IFERROR(VLOOKUP("transport|NOx|Asthma symptoms wheeze", US_national_yearly!$D:$AM, 35, FALSE) / VLOOKUP("transport|NOx|Asthma symptoms wheeze", US_national_yearly!$D:$AM, 10, FALSE), 1)</f>
        <v>1.601694187671722E-3</v>
      </c>
      <c r="AB8" s="7">
        <f>$B8 * IFERROR(VLOOKUP("transport|NOx|Asthma symptoms wheeze", US_national_yearly!$D:$AM, 36, FALSE) / VLOOKUP("transport|NOx|Asthma symptoms wheeze", US_national_yearly!$D:$AM, 10, FALSE), 1)</f>
        <v>1.6089530600914078E-3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1.3743839147857196E-5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1.4086674607126856E-5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1.4429510066396521E-5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1.4772345525666185E-5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1.5115180984935848E-5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1.5442943352727689E-5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1.5770705720519529E-5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1.6048982708887182E-5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1.6327259697254828E-5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1.6605536685622482E-5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1.6883813673990135E-5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1.7162090662357785E-5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1.7348123839336112E-5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1.7534157016314445E-5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1.7720190193292776E-5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1.7906223370271109E-5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1.809225654724944E-5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1.8191928082559239E-5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1.8291599617869041E-5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1.8391271153178839E-5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1.8490942688488635E-5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1.8590614223798437E-5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1.8658726769207166E-5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1.8726839314615896E-5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1.8794951860024628E-5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1.8863064405433358E-5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1.8931176950842087E-5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7.6833816174863697E-5</v>
      </c>
      <c r="C13" s="7">
        <f>$B13 * IFERROR(VLOOKUP("transport|NOx|Non-fatal heart attacks", US_national_yearly!$D:$AM, 11, FALSE) / VLOOKUP("transport|NOx|Non-fatal heart attacks", US_national_yearly!$D:$AM, 10, FALSE), 1)</f>
        <v>7.9030427284391904E-5</v>
      </c>
      <c r="D13" s="7">
        <f>$B13 * IFERROR(VLOOKUP("transport|NOx|Non-fatal heart attacks", US_national_yearly!$D:$AM, 12, FALSE) / VLOOKUP("transport|NOx|Non-fatal heart attacks", US_national_yearly!$D:$AM, 10, FALSE), 1)</f>
        <v>8.1227038393920123E-5</v>
      </c>
      <c r="E13" s="7">
        <f>$B13 * IFERROR(VLOOKUP("transport|NOx|Non-fatal heart attacks", US_national_yearly!$D:$AM, 13, FALSE) / VLOOKUP("transport|NOx|Non-fatal heart attacks", US_national_yearly!$D:$AM, 10, FALSE), 1)</f>
        <v>8.3423649503448316E-5</v>
      </c>
      <c r="F13" s="7">
        <f>$B13 * IFERROR(VLOOKUP("transport|NOx|Non-fatal heart attacks", US_national_yearly!$D:$AM, 14, FALSE) / VLOOKUP("transport|NOx|Non-fatal heart attacks", US_national_yearly!$D:$AM, 10, FALSE), 1)</f>
        <v>8.5620260612976522E-5</v>
      </c>
      <c r="G13" s="7">
        <f>$B13 * IFERROR(VLOOKUP("transport|NOx|Non-fatal heart attacks", US_national_yearly!$D:$AM, 15, FALSE) / VLOOKUP("transport|NOx|Non-fatal heart attacks", US_national_yearly!$D:$AM, 10, FALSE), 1)</f>
        <v>8.7672989129510269E-5</v>
      </c>
      <c r="H13" s="7">
        <f>$B13 * IFERROR(VLOOKUP("transport|NOx|Non-fatal heart attacks", US_national_yearly!$D:$AM, 16, FALSE) / VLOOKUP("transport|NOx|Non-fatal heart attacks", US_national_yearly!$D:$AM, 10, FALSE), 1)</f>
        <v>8.9725717646044016E-5</v>
      </c>
      <c r="I13" s="7">
        <f>$B13 * IFERROR(VLOOKUP("transport|NOx|Non-fatal heart attacks", US_national_yearly!$D:$AM, 17, FALSE) / VLOOKUP("transport|NOx|Non-fatal heart attacks", US_national_yearly!$D:$AM, 10, FALSE), 1)</f>
        <v>9.1344059432056808E-5</v>
      </c>
      <c r="J13" s="7">
        <f>$B13 * IFERROR(VLOOKUP("transport|NOx|Non-fatal heart attacks", US_national_yearly!$D:$AM, 18, FALSE) / VLOOKUP("transport|NOx|Non-fatal heart attacks", US_national_yearly!$D:$AM, 10, FALSE), 1)</f>
        <v>9.2962401218069614E-5</v>
      </c>
      <c r="K13" s="7">
        <f>$B13 * IFERROR(VLOOKUP("transport|NOx|Non-fatal heart attacks", US_national_yearly!$D:$AM, 19, FALSE) / VLOOKUP("transport|NOx|Non-fatal heart attacks", US_national_yearly!$D:$AM, 10, FALSE), 1)</f>
        <v>9.4580743004082351E-5</v>
      </c>
      <c r="L13" s="7">
        <f>$B13 * IFERROR(VLOOKUP("transport|NOx|Non-fatal heart attacks", US_national_yearly!$D:$AM, 20, FALSE) / VLOOKUP("transport|NOx|Non-fatal heart attacks", US_national_yearly!$D:$AM, 10, FALSE), 1)</f>
        <v>9.6199084790095211E-5</v>
      </c>
      <c r="M13" s="7">
        <f>$B13 * IFERROR(VLOOKUP("transport|NOx|Non-fatal heart attacks", US_national_yearly!$D:$AM, 21, FALSE) / VLOOKUP("transport|NOx|Non-fatal heart attacks", US_national_yearly!$D:$AM, 10, FALSE), 1)</f>
        <v>9.7817426576107989E-5</v>
      </c>
      <c r="N13" s="7">
        <f>$B13 * IFERROR(VLOOKUP("transport|NOx|Non-fatal heart attacks", US_national_yearly!$D:$AM, 22, FALSE) / VLOOKUP("transport|NOx|Non-fatal heart attacks", US_national_yearly!$D:$AM, 10, FALSE), 1)</f>
        <v>9.8791070073341264E-5</v>
      </c>
      <c r="O13" s="7">
        <f>$B13 * IFERROR(VLOOKUP("transport|NOx|Non-fatal heart attacks", US_national_yearly!$D:$AM, 23, FALSE) / VLOOKUP("transport|NOx|Non-fatal heart attacks", US_national_yearly!$D:$AM, 10, FALSE), 1)</f>
        <v>9.9764713570574539E-5</v>
      </c>
      <c r="P13" s="7">
        <f>$B13 * IFERROR(VLOOKUP("transport|NOx|Non-fatal heart attacks", US_national_yearly!$D:$AM, 24, FALSE) / VLOOKUP("transport|NOx|Non-fatal heart attacks", US_national_yearly!$D:$AM, 10, FALSE), 1)</f>
        <v>1.007383570678078E-4</v>
      </c>
      <c r="Q13" s="7">
        <f>$B13 * IFERROR(VLOOKUP("transport|NOx|Non-fatal heart attacks", US_national_yearly!$D:$AM, 25, FALSE) / VLOOKUP("transport|NOx|Non-fatal heart attacks", US_national_yearly!$D:$AM, 10, FALSE), 1)</f>
        <v>1.017120005650411E-4</v>
      </c>
      <c r="R13" s="7">
        <f>$B13 * IFERROR(VLOOKUP("transport|NOx|Non-fatal heart attacks", US_national_yearly!$D:$AM, 26, FALSE) / VLOOKUP("transport|NOx|Non-fatal heart attacks", US_national_yearly!$D:$AM, 10, FALSE), 1)</f>
        <v>1.0268564406227438E-4</v>
      </c>
      <c r="S13" s="7">
        <f>$B13 * IFERROR(VLOOKUP("transport|NOx|Non-fatal heart attacks", US_national_yearly!$D:$AM, 27, FALSE) / VLOOKUP("transport|NOx|Non-fatal heart attacks", US_national_yearly!$D:$AM, 10, FALSE), 1)</f>
        <v>1.0312729548670003E-4</v>
      </c>
      <c r="T13" s="7">
        <f>$B13 * IFERROR(VLOOKUP("transport|NOx|Non-fatal heart attacks", US_national_yearly!$D:$AM, 28, FALSE) / VLOOKUP("transport|NOx|Non-fatal heart attacks", US_national_yearly!$D:$AM, 10, FALSE), 1)</f>
        <v>1.0356894691112568E-4</v>
      </c>
      <c r="U13" s="7">
        <f>$B13 * IFERROR(VLOOKUP("transport|NOx|Non-fatal heart attacks", US_national_yearly!$D:$AM, 29, FALSE) / VLOOKUP("transport|NOx|Non-fatal heart attacks", US_national_yearly!$D:$AM, 10, FALSE), 1)</f>
        <v>1.0401059833555131E-4</v>
      </c>
      <c r="V13" s="7">
        <f>$B13 * IFERROR(VLOOKUP("transport|NOx|Non-fatal heart attacks", US_national_yearly!$D:$AM, 30, FALSE) / VLOOKUP("transport|NOx|Non-fatal heart attacks", US_national_yearly!$D:$AM, 10, FALSE), 1)</f>
        <v>1.0445224975997696E-4</v>
      </c>
      <c r="W13" s="7">
        <f>$B13 * IFERROR(VLOOKUP("transport|NOx|Non-fatal heart attacks", US_national_yearly!$D:$AM, 31, FALSE) / VLOOKUP("transport|NOx|Non-fatal heart attacks", US_national_yearly!$D:$AM, 10, FALSE), 1)</f>
        <v>1.0489390118440261E-4</v>
      </c>
      <c r="X13" s="7">
        <f>$B13 * IFERROR(VLOOKUP("transport|NOx|Non-fatal heart attacks", US_national_yearly!$D:$AM, 32, FALSE) / VLOOKUP("transport|NOx|Non-fatal heart attacks", US_national_yearly!$D:$AM, 10, FALSE), 1)</f>
        <v>1.0518903590511146E-4</v>
      </c>
      <c r="Y13" s="7">
        <f>$B13 * IFERROR(VLOOKUP("transport|NOx|Non-fatal heart attacks", US_national_yearly!$D:$AM, 33, FALSE) / VLOOKUP("transport|NOx|Non-fatal heart attacks", US_national_yearly!$D:$AM, 10, FALSE), 1)</f>
        <v>1.0548417062582031E-4</v>
      </c>
      <c r="Z13" s="7">
        <f>$B13 * IFERROR(VLOOKUP("transport|NOx|Non-fatal heart attacks", US_national_yearly!$D:$AM, 34, FALSE) / VLOOKUP("transport|NOx|Non-fatal heart attacks", US_national_yearly!$D:$AM, 10, FALSE), 1)</f>
        <v>1.0577930534652913E-4</v>
      </c>
      <c r="AA13" s="7">
        <f>$B13 * IFERROR(VLOOKUP("transport|NOx|Non-fatal heart attacks", US_national_yearly!$D:$AM, 35, FALSE) / VLOOKUP("transport|NOx|Non-fatal heart attacks", US_national_yearly!$D:$AM, 10, FALSE), 1)</f>
        <v>1.0607444006723797E-4</v>
      </c>
      <c r="AB13" s="7">
        <f>$B13 * IFERROR(VLOOKUP("transport|NOx|Non-fatal heart attacks", US_national_yearly!$D:$AM, 36, FALSE) / VLOOKUP("transport|NOx|Non-fatal heart attacks", US_national_yearly!$D:$AM, 10, FALSE), 1)</f>
        <v>1.0636957478794682E-4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7.2935737619101298E-2</v>
      </c>
      <c r="C14" s="7">
        <f>$B14 * IFERROR(VLOOKUP("transport|NOx|Minor restricted activity days", US_national_yearly!$D:$AM, 11, FALSE) / VLOOKUP("transport|NOx|Minor restricted activity days", US_national_yearly!$D:$AM, 10, FALSE), 1)</f>
        <v>7.3047560344846385E-2</v>
      </c>
      <c r="D14" s="7">
        <f>$B14 * IFERROR(VLOOKUP("transport|NOx|Minor restricted activity days", US_national_yearly!$D:$AM, 12, FALSE) / VLOOKUP("transport|NOx|Minor restricted activity days", US_national_yearly!$D:$AM, 10, FALSE), 1)</f>
        <v>7.3159383070591485E-2</v>
      </c>
      <c r="E14" s="7">
        <f>$B14 * IFERROR(VLOOKUP("transport|NOx|Minor restricted activity days", US_national_yearly!$D:$AM, 13, FALSE) / VLOOKUP("transport|NOx|Minor restricted activity days", US_national_yearly!$D:$AM, 10, FALSE), 1)</f>
        <v>7.32712057963366E-2</v>
      </c>
      <c r="F14" s="7">
        <f>$B14 * IFERROR(VLOOKUP("transport|NOx|Minor restricted activity days", US_national_yearly!$D:$AM, 14, FALSE) / VLOOKUP("transport|NOx|Minor restricted activity days", US_national_yearly!$D:$AM, 10, FALSE), 1)</f>
        <v>7.3383028522081686E-2</v>
      </c>
      <c r="G14" s="7">
        <f>$B14 * IFERROR(VLOOKUP("transport|NOx|Minor restricted activity days", US_national_yearly!$D:$AM, 15, FALSE) / VLOOKUP("transport|NOx|Minor restricted activity days", US_national_yearly!$D:$AM, 10, FALSE), 1)</f>
        <v>7.3584953748681514E-2</v>
      </c>
      <c r="H14" s="7">
        <f>$B14 * IFERROR(VLOOKUP("transport|NOx|Minor restricted activity days", US_national_yearly!$D:$AM, 16, FALSE) / VLOOKUP("transport|NOx|Minor restricted activity days", US_national_yearly!$D:$AM, 10, FALSE), 1)</f>
        <v>7.3786878975281328E-2</v>
      </c>
      <c r="I14" s="7">
        <f>$B14 * IFERROR(VLOOKUP("transport|NOx|Minor restricted activity days", US_national_yearly!$D:$AM, 17, FALSE) / VLOOKUP("transport|NOx|Minor restricted activity days", US_national_yearly!$D:$AM, 10, FALSE), 1)</f>
        <v>7.418183673356088E-2</v>
      </c>
      <c r="J14" s="7">
        <f>$B14 * IFERROR(VLOOKUP("transport|NOx|Minor restricted activity days", US_national_yearly!$D:$AM, 18, FALSE) / VLOOKUP("transport|NOx|Minor restricted activity days", US_national_yearly!$D:$AM, 10, FALSE), 1)</f>
        <v>7.4576794491840431E-2</v>
      </c>
      <c r="K14" s="7">
        <f>$B14 * IFERROR(VLOOKUP("transport|NOx|Minor restricted activity days", US_national_yearly!$D:$AM, 19, FALSE) / VLOOKUP("transport|NOx|Minor restricted activity days", US_national_yearly!$D:$AM, 10, FALSE), 1)</f>
        <v>7.4971752250119983E-2</v>
      </c>
      <c r="L14" s="7">
        <f>$B14 * IFERROR(VLOOKUP("transport|NOx|Minor restricted activity days", US_national_yearly!$D:$AM, 20, FALSE) / VLOOKUP("transport|NOx|Minor restricted activity days", US_national_yearly!$D:$AM, 10, FALSE), 1)</f>
        <v>7.5366710008399521E-2</v>
      </c>
      <c r="M14" s="7">
        <f>$B14 * IFERROR(VLOOKUP("transport|NOx|Minor restricted activity days", US_national_yearly!$D:$AM, 21, FALSE) / VLOOKUP("transport|NOx|Minor restricted activity days", US_national_yearly!$D:$AM, 10, FALSE), 1)</f>
        <v>7.5761667766679072E-2</v>
      </c>
      <c r="N14" s="7">
        <f>$B14 * IFERROR(VLOOKUP("transport|NOx|Minor restricted activity days", US_national_yearly!$D:$AM, 22, FALSE) / VLOOKUP("transport|NOx|Minor restricted activity days", US_national_yearly!$D:$AM, 10, FALSE), 1)</f>
        <v>7.6327157721803415E-2</v>
      </c>
      <c r="O14" s="7">
        <f>$B14 * IFERROR(VLOOKUP("transport|NOx|Minor restricted activity days", US_national_yearly!$D:$AM, 23, FALSE) / VLOOKUP("transport|NOx|Minor restricted activity days", US_national_yearly!$D:$AM, 10, FALSE), 1)</f>
        <v>7.6892647676927744E-2</v>
      </c>
      <c r="P14" s="7">
        <f>$B14 * IFERROR(VLOOKUP("transport|NOx|Minor restricted activity days", US_national_yearly!$D:$AM, 24, FALSE) / VLOOKUP("transport|NOx|Minor restricted activity days", US_national_yearly!$D:$AM, 10, FALSE), 1)</f>
        <v>7.7458137632052088E-2</v>
      </c>
      <c r="Q14" s="7">
        <f>$B14 * IFERROR(VLOOKUP("transport|NOx|Minor restricted activity days", US_national_yearly!$D:$AM, 25, FALSE) / VLOOKUP("transport|NOx|Minor restricted activity days", US_national_yearly!$D:$AM, 10, FALSE), 1)</f>
        <v>7.8023627587176417E-2</v>
      </c>
      <c r="R14" s="7">
        <f>$B14 * IFERROR(VLOOKUP("transport|NOx|Minor restricted activity days", US_national_yearly!$D:$AM, 26, FALSE) / VLOOKUP("transport|NOx|Minor restricted activity days", US_national_yearly!$D:$AM, 10, FALSE), 1)</f>
        <v>7.858911754230076E-2</v>
      </c>
      <c r="S14" s="7">
        <f>$B14 * IFERROR(VLOOKUP("transport|NOx|Minor restricted activity days", US_national_yearly!$D:$AM, 27, FALSE) / VLOOKUP("transport|NOx|Minor restricted activity days", US_national_yearly!$D:$AM, 10, FALSE), 1)</f>
        <v>7.9154488604372367E-2</v>
      </c>
      <c r="T14" s="7">
        <f>$B14 * IFERROR(VLOOKUP("transport|NOx|Minor restricted activity days", US_national_yearly!$D:$AM, 28, FALSE) / VLOOKUP("transport|NOx|Minor restricted activity days", US_national_yearly!$D:$AM, 10, FALSE), 1)</f>
        <v>7.971985966644396E-2</v>
      </c>
      <c r="U14" s="7">
        <f>$B14 * IFERROR(VLOOKUP("transport|NOx|Minor restricted activity days", US_national_yearly!$D:$AM, 29, FALSE) / VLOOKUP("transport|NOx|Minor restricted activity days", US_national_yearly!$D:$AM, 10, FALSE), 1)</f>
        <v>8.028523072851558E-2</v>
      </c>
      <c r="V14" s="7">
        <f>$B14 * IFERROR(VLOOKUP("transport|NOx|Minor restricted activity days", US_national_yearly!$D:$AM, 30, FALSE) / VLOOKUP("transport|NOx|Minor restricted activity days", US_national_yearly!$D:$AM, 10, FALSE), 1)</f>
        <v>8.0850601790587187E-2</v>
      </c>
      <c r="W14" s="7">
        <f>$B14 * IFERROR(VLOOKUP("transport|NOx|Minor restricted activity days", US_national_yearly!$D:$AM, 31, FALSE) / VLOOKUP("transport|NOx|Minor restricted activity days", US_national_yearly!$D:$AM, 10, FALSE), 1)</f>
        <v>8.141597285265878E-2</v>
      </c>
      <c r="X14" s="7">
        <f>$B14 * IFERROR(VLOOKUP("transport|NOx|Minor restricted activity days", US_national_yearly!$D:$AM, 32, FALSE) / VLOOKUP("transport|NOx|Minor restricted activity days", US_national_yearly!$D:$AM, 10, FALSE), 1)</f>
        <v>8.1893972547360541E-2</v>
      </c>
      <c r="Y14" s="7">
        <f>$B14 * IFERROR(VLOOKUP("transport|NOx|Minor restricted activity days", US_national_yearly!$D:$AM, 33, FALSE) / VLOOKUP("transport|NOx|Minor restricted activity days", US_national_yearly!$D:$AM, 10, FALSE), 1)</f>
        <v>8.2371972242062289E-2</v>
      </c>
      <c r="Z14" s="7">
        <f>$B14 * IFERROR(VLOOKUP("transport|NOx|Minor restricted activity days", US_national_yearly!$D:$AM, 34, FALSE) / VLOOKUP("transport|NOx|Minor restricted activity days", US_national_yearly!$D:$AM, 10, FALSE), 1)</f>
        <v>8.2849971936764036E-2</v>
      </c>
      <c r="AA14" s="7">
        <f>$B14 * IFERROR(VLOOKUP("transport|NOx|Minor restricted activity days", US_national_yearly!$D:$AM, 35, FALSE) / VLOOKUP("transport|NOx|Minor restricted activity days", US_national_yearly!$D:$AM, 10, FALSE), 1)</f>
        <v>8.3327971631465797E-2</v>
      </c>
      <c r="AB14" s="7">
        <f>$B14 * IFERROR(VLOOKUP("transport|NOx|Minor restricted activity days", US_national_yearly!$D:$AM, 36, FALSE) / VLOOKUP("transport|NOx|Minor restricted activity days", US_national_yearly!$D:$AM, 10, FALSE), 1)</f>
        <v>8.3805971326167544E-2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1.2379543894108395E-2</v>
      </c>
      <c r="C15" s="7">
        <f>$B15 * IFERROR(VLOOKUP("transport|NOx|Work loss days", US_national_yearly!$D:$AM, 11, FALSE) / VLOOKUP("transport|NOx|Work loss days", US_national_yearly!$D:$AM, 10, FALSE), 1)</f>
        <v>1.2407081523523445E-2</v>
      </c>
      <c r="D15" s="7">
        <f>$B15 * IFERROR(VLOOKUP("transport|NOx|Work loss days", US_national_yearly!$D:$AM, 12, FALSE) / VLOOKUP("transport|NOx|Work loss days", US_national_yearly!$D:$AM, 10, FALSE), 1)</f>
        <v>1.24346191529385E-2</v>
      </c>
      <c r="E15" s="7">
        <f>$B15 * IFERROR(VLOOKUP("transport|NOx|Work loss days", US_national_yearly!$D:$AM, 13, FALSE) / VLOOKUP("transport|NOx|Work loss days", US_national_yearly!$D:$AM, 10, FALSE), 1)</f>
        <v>1.246215678235355E-2</v>
      </c>
      <c r="F15" s="7">
        <f>$B15 * IFERROR(VLOOKUP("transport|NOx|Work loss days", US_national_yearly!$D:$AM, 14, FALSE) / VLOOKUP("transport|NOx|Work loss days", US_national_yearly!$D:$AM, 10, FALSE), 1)</f>
        <v>1.2489694411768604E-2</v>
      </c>
      <c r="G15" s="7">
        <f>$B15 * IFERROR(VLOOKUP("transport|NOx|Work loss days", US_national_yearly!$D:$AM, 15, FALSE) / VLOOKUP("transport|NOx|Work loss days", US_national_yearly!$D:$AM, 10, FALSE), 1)</f>
        <v>1.2529899585622787E-2</v>
      </c>
      <c r="H15" s="7">
        <f>$B15 * IFERROR(VLOOKUP("transport|NOx|Work loss days", US_national_yearly!$D:$AM, 16, FALSE) / VLOOKUP("transport|NOx|Work loss days", US_national_yearly!$D:$AM, 10, FALSE), 1)</f>
        <v>1.2570104759476971E-2</v>
      </c>
      <c r="I15" s="7">
        <f>$B15 * IFERROR(VLOOKUP("transport|NOx|Work loss days", US_national_yearly!$D:$AM, 17, FALSE) / VLOOKUP("transport|NOx|Work loss days", US_national_yearly!$D:$AM, 10, FALSE), 1)</f>
        <v>1.2635234962152431E-2</v>
      </c>
      <c r="J15" s="7">
        <f>$B15 * IFERROR(VLOOKUP("transport|NOx|Work loss days", US_national_yearly!$D:$AM, 18, FALSE) / VLOOKUP("transport|NOx|Work loss days", US_national_yearly!$D:$AM, 10, FALSE), 1)</f>
        <v>1.2700365164827894E-2</v>
      </c>
      <c r="K15" s="7">
        <f>$B15 * IFERROR(VLOOKUP("transport|NOx|Work loss days", US_national_yearly!$D:$AM, 19, FALSE) / VLOOKUP("transport|NOx|Work loss days", US_national_yearly!$D:$AM, 10, FALSE), 1)</f>
        <v>1.2765495367503354E-2</v>
      </c>
      <c r="L15" s="7">
        <f>$B15 * IFERROR(VLOOKUP("transport|NOx|Work loss days", US_national_yearly!$D:$AM, 20, FALSE) / VLOOKUP("transport|NOx|Work loss days", US_national_yearly!$D:$AM, 10, FALSE), 1)</f>
        <v>1.2830625570178816E-2</v>
      </c>
      <c r="M15" s="7">
        <f>$B15 * IFERROR(VLOOKUP("transport|NOx|Work loss days", US_national_yearly!$D:$AM, 21, FALSE) / VLOOKUP("transport|NOx|Work loss days", US_national_yearly!$D:$AM, 10, FALSE), 1)</f>
        <v>1.2895755772854279E-2</v>
      </c>
      <c r="N15" s="7">
        <f>$B15 * IFERROR(VLOOKUP("transport|NOx|Work loss days", US_national_yearly!$D:$AM, 22, FALSE) / VLOOKUP("transport|NOx|Work loss days", US_national_yearly!$D:$AM, 10, FALSE), 1)</f>
        <v>1.2980518735069136E-2</v>
      </c>
      <c r="O15" s="7">
        <f>$B15 * IFERROR(VLOOKUP("transport|NOx|Work loss days", US_national_yearly!$D:$AM, 23, FALSE) / VLOOKUP("transport|NOx|Work loss days", US_national_yearly!$D:$AM, 10, FALSE), 1)</f>
        <v>1.3065281697283992E-2</v>
      </c>
      <c r="P15" s="7">
        <f>$B15 * IFERROR(VLOOKUP("transport|NOx|Work loss days", US_national_yearly!$D:$AM, 24, FALSE) / VLOOKUP("transport|NOx|Work loss days", US_national_yearly!$D:$AM, 10, FALSE), 1)</f>
        <v>1.3150044659498849E-2</v>
      </c>
      <c r="Q15" s="7">
        <f>$B15 * IFERROR(VLOOKUP("transport|NOx|Work loss days", US_national_yearly!$D:$AM, 25, FALSE) / VLOOKUP("transport|NOx|Work loss days", US_national_yearly!$D:$AM, 10, FALSE), 1)</f>
        <v>1.3234807621713703E-2</v>
      </c>
      <c r="R15" s="7">
        <f>$B15 * IFERROR(VLOOKUP("transport|NOx|Work loss days", US_national_yearly!$D:$AM, 26, FALSE) / VLOOKUP("transport|NOx|Work loss days", US_national_yearly!$D:$AM, 10, FALSE), 1)</f>
        <v>1.3319570583928563E-2</v>
      </c>
      <c r="S15" s="7">
        <f>$B15 * IFERROR(VLOOKUP("transport|NOx|Work loss days", US_national_yearly!$D:$AM, 27, FALSE) / VLOOKUP("transport|NOx|Work loss days", US_national_yearly!$D:$AM, 10, FALSE), 1)</f>
        <v>1.3414070448835856E-2</v>
      </c>
      <c r="T15" s="7">
        <f>$B15 * IFERROR(VLOOKUP("transport|NOx|Work loss days", US_national_yearly!$D:$AM, 28, FALSE) / VLOOKUP("transport|NOx|Work loss days", US_national_yearly!$D:$AM, 10, FALSE), 1)</f>
        <v>1.3508570313743149E-2</v>
      </c>
      <c r="U15" s="7">
        <f>$B15 * IFERROR(VLOOKUP("transport|NOx|Work loss days", US_national_yearly!$D:$AM, 29, FALSE) / VLOOKUP("transport|NOx|Work loss days", US_national_yearly!$D:$AM, 10, FALSE), 1)</f>
        <v>1.360307017865044E-2</v>
      </c>
      <c r="V15" s="7">
        <f>$B15 * IFERROR(VLOOKUP("transport|NOx|Work loss days", US_national_yearly!$D:$AM, 30, FALSE) / VLOOKUP("transport|NOx|Work loss days", US_national_yearly!$D:$AM, 10, FALSE), 1)</f>
        <v>1.3697570043557733E-2</v>
      </c>
      <c r="W15" s="7">
        <f>$B15 * IFERROR(VLOOKUP("transport|NOx|Work loss days", US_national_yearly!$D:$AM, 31, FALSE) / VLOOKUP("transport|NOx|Work loss days", US_national_yearly!$D:$AM, 10, FALSE), 1)</f>
        <v>1.3792069908465026E-2</v>
      </c>
      <c r="X15" s="7">
        <f>$B15 * IFERROR(VLOOKUP("transport|NOx|Work loss days", US_national_yearly!$D:$AM, 32, FALSE) / VLOOKUP("transport|NOx|Work loss days", US_national_yearly!$D:$AM, 10, FALSE), 1)</f>
        <v>1.3874090752779775E-2</v>
      </c>
      <c r="Y15" s="7">
        <f>$B15 * IFERROR(VLOOKUP("transport|NOx|Work loss days", US_national_yearly!$D:$AM, 33, FALSE) / VLOOKUP("transport|NOx|Work loss days", US_national_yearly!$D:$AM, 10, FALSE), 1)</f>
        <v>1.3956111597094523E-2</v>
      </c>
      <c r="Z15" s="7">
        <f>$B15 * IFERROR(VLOOKUP("transport|NOx|Work loss days", US_national_yearly!$D:$AM, 34, FALSE) / VLOOKUP("transport|NOx|Work loss days", US_national_yearly!$D:$AM, 10, FALSE), 1)</f>
        <v>1.4038132441409272E-2</v>
      </c>
      <c r="AA15" s="7">
        <f>$B15 * IFERROR(VLOOKUP("transport|NOx|Work loss days", US_national_yearly!$D:$AM, 35, FALSE) / VLOOKUP("transport|NOx|Work loss days", US_national_yearly!$D:$AM, 10, FALSE), 1)</f>
        <v>1.4120153285724021E-2</v>
      </c>
      <c r="AB15" s="7">
        <f>$B15 * IFERROR(VLOOKUP("transport|NOx|Work loss days", US_national_yearly!$D:$AM, 36, FALSE) / VLOOKUP("transport|NOx|Work loss days", US_national_yearly!$D:$AM, 10, FALSE), 1)</f>
        <v>1.4202174130038769E-2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1.5749436989545696E-5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1.6212228395225865E-5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1.6675019800906034E-5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1.71378112065862E-5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1.7600602612266373E-5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1.8040177913719625E-5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1.8479753215172884E-5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1.8849402132374626E-5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1.9219051049576367E-5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1.9588699966778108E-5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1.9958348883979853E-5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2.0327997801181598E-5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2.0559151517345546E-5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2.0790305233509501E-5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2.1021458949673452E-5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2.1252612665837404E-5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2.1483766382001356E-5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2.1589235475094806E-5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2.1694704568188256E-5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2.1800173661281703E-5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2.190564275437515E-5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2.20111118474686E-5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2.2069809054347943E-5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2.2128506261227282E-5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2.2187203468106624E-5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2.2245900674985963E-5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2.2304597881865302E-5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6.622984943720913E-4</v>
      </c>
      <c r="C2" s="7">
        <f>$B2 * IFERROR(VLOOKUP("transport|SO2|Premature mortality", US_national_yearly!$D:$AM, 11, FALSE) / VLOOKUP("transport|SO2|Premature mortality", US_national_yearly!$D:$AM, 10, FALSE), 1)</f>
        <v>6.7068614645715585E-4</v>
      </c>
      <c r="D2" s="7">
        <f>$B2 * IFERROR(VLOOKUP("transport|SO2|Premature mortality", US_national_yearly!$D:$AM, 12, FALSE) / VLOOKUP("transport|SO2|Premature mortality", US_national_yearly!$D:$AM, 10, FALSE), 1)</f>
        <v>6.7907379854222061E-4</v>
      </c>
      <c r="E2" s="7">
        <f>$B2 * IFERROR(VLOOKUP("transport|SO2|Premature mortality", US_national_yearly!$D:$AM, 13, FALSE) / VLOOKUP("transport|SO2|Premature mortality", US_national_yearly!$D:$AM, 10, FALSE), 1)</f>
        <v>6.8746145062728527E-4</v>
      </c>
      <c r="F2" s="7">
        <f>$B2 * IFERROR(VLOOKUP("transport|SO2|Premature mortality", US_national_yearly!$D:$AM, 14, FALSE) / VLOOKUP("transport|SO2|Premature mortality", US_national_yearly!$D:$AM, 10, FALSE), 1)</f>
        <v>6.9584910271234981E-4</v>
      </c>
      <c r="G2" s="7">
        <f>$B2 * IFERROR(VLOOKUP("transport|SO2|Premature mortality", US_national_yearly!$D:$AM, 15, FALSE) / VLOOKUP("transport|SO2|Premature mortality", US_national_yearly!$D:$AM, 10, FALSE), 1)</f>
        <v>7.1201163291971861E-4</v>
      </c>
      <c r="H2" s="7">
        <f>$B2 * IFERROR(VLOOKUP("transport|SO2|Premature mortality", US_national_yearly!$D:$AM, 16, FALSE) / VLOOKUP("transport|SO2|Premature mortality", US_national_yearly!$D:$AM, 10, FALSE), 1)</f>
        <v>7.2817416312708719E-4</v>
      </c>
      <c r="I2" s="7">
        <f>$B2 * IFERROR(VLOOKUP("transport|SO2|Premature mortality", US_national_yearly!$D:$AM, 17, FALSE) / VLOOKUP("transport|SO2|Premature mortality", US_national_yearly!$D:$AM, 10, FALSE), 1)</f>
        <v>7.3885535343130632E-4</v>
      </c>
      <c r="J2" s="7">
        <f>$B2 * IFERROR(VLOOKUP("transport|SO2|Premature mortality", US_national_yearly!$D:$AM, 18, FALSE) / VLOOKUP("transport|SO2|Premature mortality", US_national_yearly!$D:$AM, 10, FALSE), 1)</f>
        <v>7.4953654373552555E-4</v>
      </c>
      <c r="K2" s="7">
        <f>$B2 * IFERROR(VLOOKUP("transport|SO2|Premature mortality", US_national_yearly!$D:$AM, 19, FALSE) / VLOOKUP("transport|SO2|Premature mortality", US_national_yearly!$D:$AM, 10, FALSE), 1)</f>
        <v>7.6021773403974456E-4</v>
      </c>
      <c r="L2" s="7">
        <f>$B2 * IFERROR(VLOOKUP("transport|SO2|Premature mortality", US_national_yearly!$D:$AM, 20, FALSE) / VLOOKUP("transport|SO2|Premature mortality", US_national_yearly!$D:$AM, 10, FALSE), 1)</f>
        <v>7.7089892434396368E-4</v>
      </c>
      <c r="M2" s="7">
        <f>$B2 * IFERROR(VLOOKUP("transport|SO2|Premature mortality", US_national_yearly!$D:$AM, 21, FALSE) / VLOOKUP("transport|SO2|Premature mortality", US_national_yearly!$D:$AM, 10, FALSE), 1)</f>
        <v>7.815801146481828E-4</v>
      </c>
      <c r="N2" s="7">
        <f>$B2 * IFERROR(VLOOKUP("transport|SO2|Premature mortality", US_national_yearly!$D:$AM, 22, FALSE) / VLOOKUP("transport|SO2|Premature mortality", US_national_yearly!$D:$AM, 10, FALSE), 1)</f>
        <v>7.8992581737501286E-4</v>
      </c>
      <c r="O2" s="7">
        <f>$B2 * IFERROR(VLOOKUP("transport|SO2|Premature mortality", US_national_yearly!$D:$AM, 23, FALSE) / VLOOKUP("transport|SO2|Premature mortality", US_national_yearly!$D:$AM, 10, FALSE), 1)</f>
        <v>7.9827152010184302E-4</v>
      </c>
      <c r="P2" s="7">
        <f>$B2 * IFERROR(VLOOKUP("transport|SO2|Premature mortality", US_national_yearly!$D:$AM, 24, FALSE) / VLOOKUP("transport|SO2|Premature mortality", US_national_yearly!$D:$AM, 10, FALSE), 1)</f>
        <v>8.0661722282867308E-4</v>
      </c>
      <c r="Q2" s="7">
        <f>$B2 * IFERROR(VLOOKUP("transport|SO2|Premature mortality", US_national_yearly!$D:$AM, 25, FALSE) / VLOOKUP("transport|SO2|Premature mortality", US_national_yearly!$D:$AM, 10, FALSE), 1)</f>
        <v>8.1496292555550314E-4</v>
      </c>
      <c r="R2" s="7">
        <f>$B2 * IFERROR(VLOOKUP("transport|SO2|Premature mortality", US_national_yearly!$D:$AM, 26, FALSE) / VLOOKUP("transport|SO2|Premature mortality", US_national_yearly!$D:$AM, 10, FALSE), 1)</f>
        <v>8.2330862828233309E-4</v>
      </c>
      <c r="S2" s="7">
        <f>$B2 * IFERROR(VLOOKUP("transport|SO2|Premature mortality", US_national_yearly!$D:$AM, 27, FALSE) / VLOOKUP("transport|SO2|Premature mortality", US_national_yearly!$D:$AM, 10, FALSE), 1)</f>
        <v>8.2777786321724532E-4</v>
      </c>
      <c r="T2" s="7">
        <f>$B2 * IFERROR(VLOOKUP("transport|SO2|Premature mortality", US_national_yearly!$D:$AM, 28, FALSE) / VLOOKUP("transport|SO2|Premature mortality", US_national_yearly!$D:$AM, 10, FALSE), 1)</f>
        <v>8.3224709815215734E-4</v>
      </c>
      <c r="U2" s="7">
        <f>$B2 * IFERROR(VLOOKUP("transport|SO2|Premature mortality", US_national_yearly!$D:$AM, 29, FALSE) / VLOOKUP("transport|SO2|Premature mortality", US_national_yearly!$D:$AM, 10, FALSE), 1)</f>
        <v>8.3671633308706936E-4</v>
      </c>
      <c r="V2" s="7">
        <f>$B2 * IFERROR(VLOOKUP("transport|SO2|Premature mortality", US_national_yearly!$D:$AM, 30, FALSE) / VLOOKUP("transport|SO2|Premature mortality", US_national_yearly!$D:$AM, 10, FALSE), 1)</f>
        <v>8.4118556802198149E-4</v>
      </c>
      <c r="W2" s="7">
        <f>$B2 * IFERROR(VLOOKUP("transport|SO2|Premature mortality", US_national_yearly!$D:$AM, 31, FALSE) / VLOOKUP("transport|SO2|Premature mortality", US_national_yearly!$D:$AM, 10, FALSE), 1)</f>
        <v>8.4565480295689373E-4</v>
      </c>
      <c r="X2" s="7">
        <f>$B2 * IFERROR(VLOOKUP("transport|SO2|Premature mortality", US_national_yearly!$D:$AM, 32, FALSE) / VLOOKUP("transport|SO2|Premature mortality", US_national_yearly!$D:$AM, 10, FALSE), 1)</f>
        <v>8.4656274170428266E-4</v>
      </c>
      <c r="Y2" s="7">
        <f>$B2 * IFERROR(VLOOKUP("transport|SO2|Premature mortality", US_national_yearly!$D:$AM, 33, FALSE) / VLOOKUP("transport|SO2|Premature mortality", US_national_yearly!$D:$AM, 10, FALSE), 1)</f>
        <v>8.474706804516718E-4</v>
      </c>
      <c r="Z2" s="7">
        <f>$B2 * IFERROR(VLOOKUP("transport|SO2|Premature mortality", US_national_yearly!$D:$AM, 34, FALSE) / VLOOKUP("transport|SO2|Premature mortality", US_national_yearly!$D:$AM, 10, FALSE), 1)</f>
        <v>8.4837861919906084E-4</v>
      </c>
      <c r="AA2" s="7">
        <f>$B2 * IFERROR(VLOOKUP("transport|SO2|Premature mortality", US_national_yearly!$D:$AM, 35, FALSE) / VLOOKUP("transport|SO2|Premature mortality", US_national_yearly!$D:$AM, 10, FALSE), 1)</f>
        <v>8.4928655794644999E-4</v>
      </c>
      <c r="AB2" s="7">
        <f>$B2 * IFERROR(VLOOKUP("transport|SO2|Premature mortality", US_national_yearly!$D:$AM, 36, FALSE) / VLOOKUP("transport|SO2|Premature mortality", US_national_yearly!$D:$AM, 10, FALSE), 1)</f>
        <v>8.5019449669383892E-4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2.0593809131048032E-6</v>
      </c>
      <c r="C3" s="7">
        <f>$B3 * IFERROR(VLOOKUP("transport|SO2|Infant mortality", US_national_yearly!$D:$AM, 11, FALSE) / VLOOKUP("transport|SO2|Infant mortality", US_national_yearly!$D:$AM, 10, FALSE), 1)</f>
        <v>2.0416904554186817E-6</v>
      </c>
      <c r="D3" s="7">
        <f>$B3 * IFERROR(VLOOKUP("transport|SO2|Infant mortality", US_national_yearly!$D:$AM, 12, FALSE) / VLOOKUP("transport|SO2|Infant mortality", US_national_yearly!$D:$AM, 10, FALSE), 1)</f>
        <v>2.0239999977325602E-6</v>
      </c>
      <c r="E3" s="7">
        <f>$B3 * IFERROR(VLOOKUP("transport|SO2|Infant mortality", US_national_yearly!$D:$AM, 13, FALSE) / VLOOKUP("transport|SO2|Infant mortality", US_national_yearly!$D:$AM, 10, FALSE), 1)</f>
        <v>2.0063095400464386E-6</v>
      </c>
      <c r="F3" s="7">
        <f>$B3 * IFERROR(VLOOKUP("transport|SO2|Infant mortality", US_national_yearly!$D:$AM, 14, FALSE) / VLOOKUP("transport|SO2|Infant mortality", US_national_yearly!$D:$AM, 10, FALSE), 1)</f>
        <v>1.9886190823603171E-6</v>
      </c>
      <c r="G3" s="7">
        <f>$B3 * IFERROR(VLOOKUP("transport|SO2|Infant mortality", US_national_yearly!$D:$AM, 15, FALSE) / VLOOKUP("transport|SO2|Infant mortality", US_national_yearly!$D:$AM, 10, FALSE), 1)</f>
        <v>1.3245804753762567E-6</v>
      </c>
      <c r="H3" s="7">
        <f>$B3 * IFERROR(VLOOKUP("transport|SO2|Infant mortality", US_national_yearly!$D:$AM, 16, FALSE) / VLOOKUP("transport|SO2|Infant mortality", US_national_yearly!$D:$AM, 10, FALSE), 1)</f>
        <v>6.6054186839219734E-7</v>
      </c>
      <c r="I3" s="7">
        <f>$B3 * IFERROR(VLOOKUP("transport|SO2|Infant mortality", US_national_yearly!$D:$AM, 17, FALSE) / VLOOKUP("transport|SO2|Infant mortality", US_national_yearly!$D:$AM, 10, FALSE), 1)</f>
        <v>6.5639808978525452E-7</v>
      </c>
      <c r="J3" s="7">
        <f>$B3 * IFERROR(VLOOKUP("transport|SO2|Infant mortality", US_national_yearly!$D:$AM, 18, FALSE) / VLOOKUP("transport|SO2|Infant mortality", US_national_yearly!$D:$AM, 10, FALSE), 1)</f>
        <v>6.5225431117831161E-7</v>
      </c>
      <c r="K3" s="7">
        <f>$B3 * IFERROR(VLOOKUP("transport|SO2|Infant mortality", US_national_yearly!$D:$AM, 19, FALSE) / VLOOKUP("transport|SO2|Infant mortality", US_national_yearly!$D:$AM, 10, FALSE), 1)</f>
        <v>6.481105325713688E-7</v>
      </c>
      <c r="L3" s="7">
        <f>$B3 * IFERROR(VLOOKUP("transport|SO2|Infant mortality", US_national_yearly!$D:$AM, 20, FALSE) / VLOOKUP("transport|SO2|Infant mortality", US_national_yearly!$D:$AM, 10, FALSE), 1)</f>
        <v>6.4396675396442609E-7</v>
      </c>
      <c r="M3" s="7">
        <f>$B3 * IFERROR(VLOOKUP("transport|SO2|Infant mortality", US_national_yearly!$D:$AM, 21, FALSE) / VLOOKUP("transport|SO2|Infant mortality", US_national_yearly!$D:$AM, 10, FALSE), 1)</f>
        <v>6.3982297535748328E-7</v>
      </c>
      <c r="N3" s="7">
        <f>$B3 * IFERROR(VLOOKUP("transport|SO2|Infant mortality", US_national_yearly!$D:$AM, 22, FALSE) / VLOOKUP("transport|SO2|Infant mortality", US_national_yearly!$D:$AM, 10, FALSE), 1)</f>
        <v>6.3722195654897607E-7</v>
      </c>
      <c r="O3" s="7">
        <f>$B3 * IFERROR(VLOOKUP("transport|SO2|Infant mortality", US_national_yearly!$D:$AM, 23, FALSE) / VLOOKUP("transport|SO2|Infant mortality", US_national_yearly!$D:$AM, 10, FALSE), 1)</f>
        <v>6.3462093774046886E-7</v>
      </c>
      <c r="P3" s="7">
        <f>$B3 * IFERROR(VLOOKUP("transport|SO2|Infant mortality", US_national_yearly!$D:$AM, 24, FALSE) / VLOOKUP("transport|SO2|Infant mortality", US_national_yearly!$D:$AM, 10, FALSE), 1)</f>
        <v>6.3201991893196143E-7</v>
      </c>
      <c r="Q3" s="7">
        <f>$B3 * IFERROR(VLOOKUP("transport|SO2|Infant mortality", US_national_yearly!$D:$AM, 25, FALSE) / VLOOKUP("transport|SO2|Infant mortality", US_national_yearly!$D:$AM, 10, FALSE), 1)</f>
        <v>6.2941890012345422E-7</v>
      </c>
      <c r="R3" s="7">
        <f>$B3 * IFERROR(VLOOKUP("transport|SO2|Infant mortality", US_national_yearly!$D:$AM, 26, FALSE) / VLOOKUP("transport|SO2|Infant mortality", US_national_yearly!$D:$AM, 10, FALSE), 1)</f>
        <v>6.268178813149469E-7</v>
      </c>
      <c r="S3" s="7">
        <f>$B3 * IFERROR(VLOOKUP("transport|SO2|Infant mortality", US_national_yearly!$D:$AM, 27, FALSE) / VLOOKUP("transport|SO2|Infant mortality", US_national_yearly!$D:$AM, 10, FALSE), 1)</f>
        <v>6.235521437434083E-7</v>
      </c>
      <c r="T3" s="7">
        <f>$B3 * IFERROR(VLOOKUP("transport|SO2|Infant mortality", US_national_yearly!$D:$AM, 28, FALSE) / VLOOKUP("transport|SO2|Infant mortality", US_national_yearly!$D:$AM, 10, FALSE), 1)</f>
        <v>6.202864061718697E-7</v>
      </c>
      <c r="U3" s="7">
        <f>$B3 * IFERROR(VLOOKUP("transport|SO2|Infant mortality", US_national_yearly!$D:$AM, 29, FALSE) / VLOOKUP("transport|SO2|Infant mortality", US_national_yearly!$D:$AM, 10, FALSE), 1)</f>
        <v>6.1702066860033099E-7</v>
      </c>
      <c r="V3" s="7">
        <f>$B3 * IFERROR(VLOOKUP("transport|SO2|Infant mortality", US_national_yearly!$D:$AM, 30, FALSE) / VLOOKUP("transport|SO2|Infant mortality", US_national_yearly!$D:$AM, 10, FALSE), 1)</f>
        <v>6.137549310287925E-7</v>
      </c>
      <c r="W3" s="7">
        <f>$B3 * IFERROR(VLOOKUP("transport|SO2|Infant mortality", US_national_yearly!$D:$AM, 31, FALSE) / VLOOKUP("transport|SO2|Infant mortality", US_national_yearly!$D:$AM, 10, FALSE), 1)</f>
        <v>6.1048919345725379E-7</v>
      </c>
      <c r="X3" s="7">
        <f>$B3 * IFERROR(VLOOKUP("transport|SO2|Infant mortality", US_national_yearly!$D:$AM, 32, FALSE) / VLOOKUP("transport|SO2|Infant mortality", US_national_yearly!$D:$AM, 10, FALSE), 1)</f>
        <v>6.0691873424958E-7</v>
      </c>
      <c r="Y3" s="7">
        <f>$B3 * IFERROR(VLOOKUP("transport|SO2|Infant mortality", US_national_yearly!$D:$AM, 33, FALSE) / VLOOKUP("transport|SO2|Infant mortality", US_national_yearly!$D:$AM, 10, FALSE), 1)</f>
        <v>6.033482750419059E-7</v>
      </c>
      <c r="Z3" s="7">
        <f>$B3 * IFERROR(VLOOKUP("transport|SO2|Infant mortality", US_national_yearly!$D:$AM, 34, FALSE) / VLOOKUP("transport|SO2|Infant mortality", US_national_yearly!$D:$AM, 10, FALSE), 1)</f>
        <v>5.9977781583423211E-7</v>
      </c>
      <c r="AA3" s="7">
        <f>$B3 * IFERROR(VLOOKUP("transport|SO2|Infant mortality", US_national_yearly!$D:$AM, 35, FALSE) / VLOOKUP("transport|SO2|Infant mortality", US_national_yearly!$D:$AM, 10, FALSE), 1)</f>
        <v>5.9620735662655811E-7</v>
      </c>
      <c r="AB3" s="7">
        <f>$B3 * IFERROR(VLOOKUP("transport|SO2|Infant mortality", US_national_yearly!$D:$AM, 36, FALSE) / VLOOKUP("transport|SO2|Infant mortality", US_national_yearly!$D:$AM, 10, FALSE), 1)</f>
        <v>5.9263689741888433E-7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2.2707996039194028E-3</v>
      </c>
      <c r="C6" s="7">
        <f>$B6 * IFERROR(VLOOKUP("transport|SO2|Asthma symptoms cough", US_national_yearly!$D:$AM, 11, FALSE) / VLOOKUP("transport|SO2|Asthma symptoms cough", US_national_yearly!$D:$AM, 10, FALSE), 1)</f>
        <v>2.2707996039194028E-3</v>
      </c>
      <c r="D6" s="7">
        <f>$B6 * IFERROR(VLOOKUP("transport|SO2|Asthma symptoms cough", US_national_yearly!$D:$AM, 12, FALSE) / VLOOKUP("transport|SO2|Asthma symptoms cough", US_national_yearly!$D:$AM, 10, FALSE), 1)</f>
        <v>2.2707996039194028E-3</v>
      </c>
      <c r="E6" s="7">
        <f>$B6 * IFERROR(VLOOKUP("transport|SO2|Asthma symptoms cough", US_national_yearly!$D:$AM, 13, FALSE) / VLOOKUP("transport|SO2|Asthma symptoms cough", US_national_yearly!$D:$AM, 10, FALSE), 1)</f>
        <v>2.2707996039194028E-3</v>
      </c>
      <c r="F6" s="7">
        <f>$B6 * IFERROR(VLOOKUP("transport|SO2|Asthma symptoms cough", US_national_yearly!$D:$AM, 14, FALSE) / VLOOKUP("transport|SO2|Asthma symptoms cough", US_national_yearly!$D:$AM, 10, FALSE), 1)</f>
        <v>2.2707996039194028E-3</v>
      </c>
      <c r="G6" s="7">
        <f>$B6 * IFERROR(VLOOKUP("transport|SO2|Asthma symptoms cough", US_national_yearly!$D:$AM, 15, FALSE) / VLOOKUP("transport|SO2|Asthma symptoms cough", US_national_yearly!$D:$AM, 10, FALSE), 1)</f>
        <v>2.2707996039194028E-3</v>
      </c>
      <c r="H6" s="7">
        <f>$B6 * IFERROR(VLOOKUP("transport|SO2|Asthma symptoms cough", US_national_yearly!$D:$AM, 16, FALSE) / VLOOKUP("transport|SO2|Asthma symptoms cough", US_national_yearly!$D:$AM, 10, FALSE), 1)</f>
        <v>2.2707996039194028E-3</v>
      </c>
      <c r="I6" s="7">
        <f>$B6 * IFERROR(VLOOKUP("transport|SO2|Asthma symptoms cough", US_national_yearly!$D:$AM, 17, FALSE) / VLOOKUP("transport|SO2|Asthma symptoms cough", US_national_yearly!$D:$AM, 10, FALSE), 1)</f>
        <v>2.2707996039194028E-3</v>
      </c>
      <c r="J6" s="7">
        <f>$B6 * IFERROR(VLOOKUP("transport|SO2|Asthma symptoms cough", US_national_yearly!$D:$AM, 18, FALSE) / VLOOKUP("transport|SO2|Asthma symptoms cough", US_national_yearly!$D:$AM, 10, FALSE), 1)</f>
        <v>2.2707996039194028E-3</v>
      </c>
      <c r="K6" s="7">
        <f>$B6 * IFERROR(VLOOKUP("transport|SO2|Asthma symptoms cough", US_national_yearly!$D:$AM, 19, FALSE) / VLOOKUP("transport|SO2|Asthma symptoms cough", US_national_yearly!$D:$AM, 10, FALSE), 1)</f>
        <v>2.2707996039194028E-3</v>
      </c>
      <c r="L6" s="7">
        <f>$B6 * IFERROR(VLOOKUP("transport|SO2|Asthma symptoms cough", US_national_yearly!$D:$AM, 20, FALSE) / VLOOKUP("transport|SO2|Asthma symptoms cough", US_national_yearly!$D:$AM, 10, FALSE), 1)</f>
        <v>2.2707996039194028E-3</v>
      </c>
      <c r="M6" s="7">
        <f>$B6 * IFERROR(VLOOKUP("transport|SO2|Asthma symptoms cough", US_national_yearly!$D:$AM, 21, FALSE) / VLOOKUP("transport|SO2|Asthma symptoms cough", US_national_yearly!$D:$AM, 10, FALSE), 1)</f>
        <v>2.2707996039194028E-3</v>
      </c>
      <c r="N6" s="7">
        <f>$B6 * IFERROR(VLOOKUP("transport|SO2|Asthma symptoms cough", US_national_yearly!$D:$AM, 22, FALSE) / VLOOKUP("transport|SO2|Asthma symptoms cough", US_national_yearly!$D:$AM, 10, FALSE), 1)</f>
        <v>2.2707996039194028E-3</v>
      </c>
      <c r="O6" s="7">
        <f>$B6 * IFERROR(VLOOKUP("transport|SO2|Asthma symptoms cough", US_national_yearly!$D:$AM, 23, FALSE) / VLOOKUP("transport|SO2|Asthma symptoms cough", US_national_yearly!$D:$AM, 10, FALSE), 1)</f>
        <v>2.2707996039194028E-3</v>
      </c>
      <c r="P6" s="7">
        <f>$B6 * IFERROR(VLOOKUP("transport|SO2|Asthma symptoms cough", US_national_yearly!$D:$AM, 24, FALSE) / VLOOKUP("transport|SO2|Asthma symptoms cough", US_national_yearly!$D:$AM, 10, FALSE), 1)</f>
        <v>2.2707996039194028E-3</v>
      </c>
      <c r="Q6" s="7">
        <f>$B6 * IFERROR(VLOOKUP("transport|SO2|Asthma symptoms cough", US_national_yearly!$D:$AM, 25, FALSE) / VLOOKUP("transport|SO2|Asthma symptoms cough", US_national_yearly!$D:$AM, 10, FALSE), 1)</f>
        <v>2.2707996039194028E-3</v>
      </c>
      <c r="R6" s="7">
        <f>$B6 * IFERROR(VLOOKUP("transport|SO2|Asthma symptoms cough", US_national_yearly!$D:$AM, 26, FALSE) / VLOOKUP("transport|SO2|Asthma symptoms cough", US_national_yearly!$D:$AM, 10, FALSE), 1)</f>
        <v>2.2707996039194028E-3</v>
      </c>
      <c r="S6" s="7">
        <f>$B6 * IFERROR(VLOOKUP("transport|SO2|Asthma symptoms cough", US_national_yearly!$D:$AM, 27, FALSE) / VLOOKUP("transport|SO2|Asthma symptoms cough", US_national_yearly!$D:$AM, 10, FALSE), 1)</f>
        <v>2.2707996039194028E-3</v>
      </c>
      <c r="T6" s="7">
        <f>$B6 * IFERROR(VLOOKUP("transport|SO2|Asthma symptoms cough", US_national_yearly!$D:$AM, 28, FALSE) / VLOOKUP("transport|SO2|Asthma symptoms cough", US_national_yearly!$D:$AM, 10, FALSE), 1)</f>
        <v>2.2707996039194028E-3</v>
      </c>
      <c r="U6" s="7">
        <f>$B6 * IFERROR(VLOOKUP("transport|SO2|Asthma symptoms cough", US_national_yearly!$D:$AM, 29, FALSE) / VLOOKUP("transport|SO2|Asthma symptoms cough", US_national_yearly!$D:$AM, 10, FALSE), 1)</f>
        <v>2.2707996039194028E-3</v>
      </c>
      <c r="V6" s="7">
        <f>$B6 * IFERROR(VLOOKUP("transport|SO2|Asthma symptoms cough", US_national_yearly!$D:$AM, 30, FALSE) / VLOOKUP("transport|SO2|Asthma symptoms cough", US_national_yearly!$D:$AM, 10, FALSE), 1)</f>
        <v>2.2707996039194028E-3</v>
      </c>
      <c r="W6" s="7">
        <f>$B6 * IFERROR(VLOOKUP("transport|SO2|Asthma symptoms cough", US_national_yearly!$D:$AM, 31, FALSE) / VLOOKUP("transport|SO2|Asthma symptoms cough", US_national_yearly!$D:$AM, 10, FALSE), 1)</f>
        <v>2.2707996039194028E-3</v>
      </c>
      <c r="X6" s="7">
        <f>$B6 * IFERROR(VLOOKUP("transport|SO2|Asthma symptoms cough", US_national_yearly!$D:$AM, 32, FALSE) / VLOOKUP("transport|SO2|Asthma symptoms cough", US_national_yearly!$D:$AM, 10, FALSE), 1)</f>
        <v>2.2707996039194028E-3</v>
      </c>
      <c r="Y6" s="7">
        <f>$B6 * IFERROR(VLOOKUP("transport|SO2|Asthma symptoms cough", US_national_yearly!$D:$AM, 33, FALSE) / VLOOKUP("transport|SO2|Asthma symptoms cough", US_national_yearly!$D:$AM, 10, FALSE), 1)</f>
        <v>2.2707996039194028E-3</v>
      </c>
      <c r="Z6" s="7">
        <f>$B6 * IFERROR(VLOOKUP("transport|SO2|Asthma symptoms cough", US_national_yearly!$D:$AM, 34, FALSE) / VLOOKUP("transport|SO2|Asthma symptoms cough", US_national_yearly!$D:$AM, 10, FALSE), 1)</f>
        <v>2.2707996039194028E-3</v>
      </c>
      <c r="AA6" s="7">
        <f>$B6 * IFERROR(VLOOKUP("transport|SO2|Asthma symptoms cough", US_national_yearly!$D:$AM, 35, FALSE) / VLOOKUP("transport|SO2|Asthma symptoms cough", US_national_yearly!$D:$AM, 10, FALSE), 1)</f>
        <v>2.2707996039194028E-3</v>
      </c>
      <c r="AB6" s="7">
        <f>$B6 * IFERROR(VLOOKUP("transport|SO2|Asthma symptoms cough", US_national_yearly!$D:$AM, 36, FALSE) / VLOOKUP("transport|SO2|Asthma symptoms cough", US_national_yearly!$D:$AM, 10, FALSE), 1)</f>
        <v>2.2707996039194028E-3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3.0579645126714724E-3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3.0579645126714724E-3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3.0579645126714724E-3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3.0579645126714724E-3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3.0579645126714724E-3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3.0579645126714724E-3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3.0579645126714724E-3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3.0579645126714724E-3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3.0579645126714724E-3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3.0579645126714724E-3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3.0579645126714724E-3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3.0579645126714724E-3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3.0579645126714724E-3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3.0579645126714724E-3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3.0579645126714724E-3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3.0579645126714724E-3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3.0579645126714724E-3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3.0579645126714724E-3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3.0579645126714724E-3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3.0579645126714724E-3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3.0579645126714724E-3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3.0579645126714724E-3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3.0579645126714724E-3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3.0579645126714724E-3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3.0579645126714724E-3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3.0579645126714724E-3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3.0579645126714724E-3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4.6720395400923521E-3</v>
      </c>
      <c r="C8" s="7">
        <f>$B8 * IFERROR(VLOOKUP("transport|SO2|Asthma symptoms wheeze", US_national_yearly!$D:$AM, 11, FALSE) / VLOOKUP("transport|SO2|Asthma symptoms wheeze", US_national_yearly!$D:$AM, 10, FALSE), 1)</f>
        <v>4.6720395400923521E-3</v>
      </c>
      <c r="D8" s="7">
        <f>$B8 * IFERROR(VLOOKUP("transport|SO2|Asthma symptoms wheeze", US_national_yearly!$D:$AM, 12, FALSE) / VLOOKUP("transport|SO2|Asthma symptoms wheeze", US_national_yearly!$D:$AM, 10, FALSE), 1)</f>
        <v>4.6720395400923521E-3</v>
      </c>
      <c r="E8" s="7">
        <f>$B8 * IFERROR(VLOOKUP("transport|SO2|Asthma symptoms wheeze", US_national_yearly!$D:$AM, 13, FALSE) / VLOOKUP("transport|SO2|Asthma symptoms wheeze", US_national_yearly!$D:$AM, 10, FALSE), 1)</f>
        <v>4.6720395400923521E-3</v>
      </c>
      <c r="F8" s="7">
        <f>$B8 * IFERROR(VLOOKUP("transport|SO2|Asthma symptoms wheeze", US_national_yearly!$D:$AM, 14, FALSE) / VLOOKUP("transport|SO2|Asthma symptoms wheeze", US_national_yearly!$D:$AM, 10, FALSE), 1)</f>
        <v>4.6720395400923521E-3</v>
      </c>
      <c r="G8" s="7">
        <f>$B8 * IFERROR(VLOOKUP("transport|SO2|Asthma symptoms wheeze", US_national_yearly!$D:$AM, 15, FALSE) / VLOOKUP("transport|SO2|Asthma symptoms wheeze", US_national_yearly!$D:$AM, 10, FALSE), 1)</f>
        <v>4.6720395400923521E-3</v>
      </c>
      <c r="H8" s="7">
        <f>$B8 * IFERROR(VLOOKUP("transport|SO2|Asthma symptoms wheeze", US_national_yearly!$D:$AM, 16, FALSE) / VLOOKUP("transport|SO2|Asthma symptoms wheeze", US_national_yearly!$D:$AM, 10, FALSE), 1)</f>
        <v>4.6720395400923521E-3</v>
      </c>
      <c r="I8" s="7">
        <f>$B8 * IFERROR(VLOOKUP("transport|SO2|Asthma symptoms wheeze", US_national_yearly!$D:$AM, 17, FALSE) / VLOOKUP("transport|SO2|Asthma symptoms wheeze", US_national_yearly!$D:$AM, 10, FALSE), 1)</f>
        <v>4.6720395400923521E-3</v>
      </c>
      <c r="J8" s="7">
        <f>$B8 * IFERROR(VLOOKUP("transport|SO2|Asthma symptoms wheeze", US_national_yearly!$D:$AM, 18, FALSE) / VLOOKUP("transport|SO2|Asthma symptoms wheeze", US_national_yearly!$D:$AM, 10, FALSE), 1)</f>
        <v>4.6720395400923521E-3</v>
      </c>
      <c r="K8" s="7">
        <f>$B8 * IFERROR(VLOOKUP("transport|SO2|Asthma symptoms wheeze", US_national_yearly!$D:$AM, 19, FALSE) / VLOOKUP("transport|SO2|Asthma symptoms wheeze", US_national_yearly!$D:$AM, 10, FALSE), 1)</f>
        <v>4.6720395400923521E-3</v>
      </c>
      <c r="L8" s="7">
        <f>$B8 * IFERROR(VLOOKUP("transport|SO2|Asthma symptoms wheeze", US_national_yearly!$D:$AM, 20, FALSE) / VLOOKUP("transport|SO2|Asthma symptoms wheeze", US_national_yearly!$D:$AM, 10, FALSE), 1)</f>
        <v>4.6720395400923521E-3</v>
      </c>
      <c r="M8" s="7">
        <f>$B8 * IFERROR(VLOOKUP("transport|SO2|Asthma symptoms wheeze", US_national_yearly!$D:$AM, 21, FALSE) / VLOOKUP("transport|SO2|Asthma symptoms wheeze", US_national_yearly!$D:$AM, 10, FALSE), 1)</f>
        <v>4.6720395400923521E-3</v>
      </c>
      <c r="N8" s="7">
        <f>$B8 * IFERROR(VLOOKUP("transport|SO2|Asthma symptoms wheeze", US_national_yearly!$D:$AM, 22, FALSE) / VLOOKUP("transport|SO2|Asthma symptoms wheeze", US_national_yearly!$D:$AM, 10, FALSE), 1)</f>
        <v>4.6720395400923521E-3</v>
      </c>
      <c r="O8" s="7">
        <f>$B8 * IFERROR(VLOOKUP("transport|SO2|Asthma symptoms wheeze", US_national_yearly!$D:$AM, 23, FALSE) / VLOOKUP("transport|SO2|Asthma symptoms wheeze", US_national_yearly!$D:$AM, 10, FALSE), 1)</f>
        <v>4.6720395400923521E-3</v>
      </c>
      <c r="P8" s="7">
        <f>$B8 * IFERROR(VLOOKUP("transport|SO2|Asthma symptoms wheeze", US_national_yearly!$D:$AM, 24, FALSE) / VLOOKUP("transport|SO2|Asthma symptoms wheeze", US_national_yearly!$D:$AM, 10, FALSE), 1)</f>
        <v>4.6720395400923521E-3</v>
      </c>
      <c r="Q8" s="7">
        <f>$B8 * IFERROR(VLOOKUP("transport|SO2|Asthma symptoms wheeze", US_national_yearly!$D:$AM, 25, FALSE) / VLOOKUP("transport|SO2|Asthma symptoms wheeze", US_national_yearly!$D:$AM, 10, FALSE), 1)</f>
        <v>4.6720395400923521E-3</v>
      </c>
      <c r="R8" s="7">
        <f>$B8 * IFERROR(VLOOKUP("transport|SO2|Asthma symptoms wheeze", US_national_yearly!$D:$AM, 26, FALSE) / VLOOKUP("transport|SO2|Asthma symptoms wheeze", US_national_yearly!$D:$AM, 10, FALSE), 1)</f>
        <v>4.6720395400923521E-3</v>
      </c>
      <c r="S8" s="7">
        <f>$B8 * IFERROR(VLOOKUP("transport|SO2|Asthma symptoms wheeze", US_national_yearly!$D:$AM, 27, FALSE) / VLOOKUP("transport|SO2|Asthma symptoms wheeze", US_national_yearly!$D:$AM, 10, FALSE), 1)</f>
        <v>4.6720395400923521E-3</v>
      </c>
      <c r="T8" s="7">
        <f>$B8 * IFERROR(VLOOKUP("transport|SO2|Asthma symptoms wheeze", US_national_yearly!$D:$AM, 28, FALSE) / VLOOKUP("transport|SO2|Asthma symptoms wheeze", US_national_yearly!$D:$AM, 10, FALSE), 1)</f>
        <v>4.6720395400923521E-3</v>
      </c>
      <c r="U8" s="7">
        <f>$B8 * IFERROR(VLOOKUP("transport|SO2|Asthma symptoms wheeze", US_national_yearly!$D:$AM, 29, FALSE) / VLOOKUP("transport|SO2|Asthma symptoms wheeze", US_national_yearly!$D:$AM, 10, FALSE), 1)</f>
        <v>4.6720395400923521E-3</v>
      </c>
      <c r="V8" s="7">
        <f>$B8 * IFERROR(VLOOKUP("transport|SO2|Asthma symptoms wheeze", US_national_yearly!$D:$AM, 30, FALSE) / VLOOKUP("transport|SO2|Asthma symptoms wheeze", US_national_yearly!$D:$AM, 10, FALSE), 1)</f>
        <v>4.6720395400923521E-3</v>
      </c>
      <c r="W8" s="7">
        <f>$B8 * IFERROR(VLOOKUP("transport|SO2|Asthma symptoms wheeze", US_national_yearly!$D:$AM, 31, FALSE) / VLOOKUP("transport|SO2|Asthma symptoms wheeze", US_national_yearly!$D:$AM, 10, FALSE), 1)</f>
        <v>4.6720395400923521E-3</v>
      </c>
      <c r="X8" s="7">
        <f>$B8 * IFERROR(VLOOKUP("transport|SO2|Asthma symptoms wheeze", US_national_yearly!$D:$AM, 32, FALSE) / VLOOKUP("transport|SO2|Asthma symptoms wheeze", US_national_yearly!$D:$AM, 10, FALSE), 1)</f>
        <v>4.6720395400923521E-3</v>
      </c>
      <c r="Y8" s="7">
        <f>$B8 * IFERROR(VLOOKUP("transport|SO2|Asthma symptoms wheeze", US_national_yearly!$D:$AM, 33, FALSE) / VLOOKUP("transport|SO2|Asthma symptoms wheeze", US_national_yearly!$D:$AM, 10, FALSE), 1)</f>
        <v>4.6720395400923521E-3</v>
      </c>
      <c r="Z8" s="7">
        <f>$B8 * IFERROR(VLOOKUP("transport|SO2|Asthma symptoms wheeze", US_national_yearly!$D:$AM, 34, FALSE) / VLOOKUP("transport|SO2|Asthma symptoms wheeze", US_national_yearly!$D:$AM, 10, FALSE), 1)</f>
        <v>4.6720395400923521E-3</v>
      </c>
      <c r="AA8" s="7">
        <f>$B8 * IFERROR(VLOOKUP("transport|SO2|Asthma symptoms wheeze", US_national_yearly!$D:$AM, 35, FALSE) / VLOOKUP("transport|SO2|Asthma symptoms wheeze", US_national_yearly!$D:$AM, 10, FALSE), 1)</f>
        <v>4.6720395400923521E-3</v>
      </c>
      <c r="AB8" s="7">
        <f>$B8 * IFERROR(VLOOKUP("transport|SO2|Asthma symptoms wheeze", US_national_yearly!$D:$AM, 36, FALSE) / VLOOKUP("transport|SO2|Asthma symptoms wheeze", US_national_yearly!$D:$AM, 10, FALSE), 1)</f>
        <v>4.6720395400923521E-3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4.0666113230469787E-5</v>
      </c>
      <c r="C12" s="7">
        <f>$B12 * IFERROR(VLOOKUP("transport|SO2|Respiratory hospital admissions", US_national_yearly!$D:$AM, 11, FALSE) / VLOOKUP("transport|SO2|Respiratory hospital admissions", US_national_yearly!$D:$AM, 10, FALSE), 1)</f>
        <v>4.0905963987201508E-5</v>
      </c>
      <c r="D12" s="7">
        <f>$B12 * IFERROR(VLOOKUP("transport|SO2|Respiratory hospital admissions", US_national_yearly!$D:$AM, 12, FALSE) / VLOOKUP("transport|SO2|Respiratory hospital admissions", US_national_yearly!$D:$AM, 10, FALSE), 1)</f>
        <v>4.1145814743933229E-5</v>
      </c>
      <c r="E12" s="7">
        <f>$B12 * IFERROR(VLOOKUP("transport|SO2|Respiratory hospital admissions", US_national_yearly!$D:$AM, 13, FALSE) / VLOOKUP("transport|SO2|Respiratory hospital admissions", US_national_yearly!$D:$AM, 10, FALSE), 1)</f>
        <v>4.1385665500664949E-5</v>
      </c>
      <c r="F12" s="7">
        <f>$B12 * IFERROR(VLOOKUP("transport|SO2|Respiratory hospital admissions", US_national_yearly!$D:$AM, 14, FALSE) / VLOOKUP("transport|SO2|Respiratory hospital admissions", US_national_yearly!$D:$AM, 10, FALSE), 1)</f>
        <v>4.162551625739667E-5</v>
      </c>
      <c r="G12" s="7">
        <f>$B12 * IFERROR(VLOOKUP("transport|SO2|Respiratory hospital admissions", US_national_yearly!$D:$AM, 15, FALSE) / VLOOKUP("transport|SO2|Respiratory hospital admissions", US_national_yearly!$D:$AM, 10, FALSE), 1)</f>
        <v>4.1886994038099966E-5</v>
      </c>
      <c r="H12" s="7">
        <f>$B12 * IFERROR(VLOOKUP("transport|SO2|Respiratory hospital admissions", US_national_yearly!$D:$AM, 16, FALSE) / VLOOKUP("transport|SO2|Respiratory hospital admissions", US_national_yearly!$D:$AM, 10, FALSE), 1)</f>
        <v>4.2148471818803269E-5</v>
      </c>
      <c r="I12" s="7">
        <f>$B12 * IFERROR(VLOOKUP("transport|SO2|Respiratory hospital admissions", US_national_yearly!$D:$AM, 17, FALSE) / VLOOKUP("transport|SO2|Respiratory hospital admissions", US_national_yearly!$D:$AM, 10, FALSE), 1)</f>
        <v>4.2406320043201319E-5</v>
      </c>
      <c r="J12" s="7">
        <f>$B12 * IFERROR(VLOOKUP("transport|SO2|Respiratory hospital admissions", US_national_yearly!$D:$AM, 18, FALSE) / VLOOKUP("transport|SO2|Respiratory hospital admissions", US_national_yearly!$D:$AM, 10, FALSE), 1)</f>
        <v>4.2664168267599382E-5</v>
      </c>
      <c r="K12" s="7">
        <f>$B12 * IFERROR(VLOOKUP("transport|SO2|Respiratory hospital admissions", US_national_yearly!$D:$AM, 19, FALSE) / VLOOKUP("transport|SO2|Respiratory hospital admissions", US_national_yearly!$D:$AM, 10, FALSE), 1)</f>
        <v>4.2922016491997431E-5</v>
      </c>
      <c r="L12" s="7">
        <f>$B12 * IFERROR(VLOOKUP("transport|SO2|Respiratory hospital admissions", US_national_yearly!$D:$AM, 20, FALSE) / VLOOKUP("transport|SO2|Respiratory hospital admissions", US_national_yearly!$D:$AM, 10, FALSE), 1)</f>
        <v>4.3179864716395494E-5</v>
      </c>
      <c r="M12" s="7">
        <f>$B12 * IFERROR(VLOOKUP("transport|SO2|Respiratory hospital admissions", US_national_yearly!$D:$AM, 21, FALSE) / VLOOKUP("transport|SO2|Respiratory hospital admissions", US_national_yearly!$D:$AM, 10, FALSE), 1)</f>
        <v>4.3437712940793537E-5</v>
      </c>
      <c r="N12" s="7">
        <f>$B12 * IFERROR(VLOOKUP("transport|SO2|Respiratory hospital admissions", US_national_yearly!$D:$AM, 22, FALSE) / VLOOKUP("transport|SO2|Respiratory hospital admissions", US_national_yearly!$D:$AM, 10, FALSE), 1)</f>
        <v>4.3625934185191026E-5</v>
      </c>
      <c r="O12" s="7">
        <f>$B12 * IFERROR(VLOOKUP("transport|SO2|Respiratory hospital admissions", US_national_yearly!$D:$AM, 23, FALSE) / VLOOKUP("transport|SO2|Respiratory hospital admissions", US_national_yearly!$D:$AM, 10, FALSE), 1)</f>
        <v>4.3814155429588502E-5</v>
      </c>
      <c r="P12" s="7">
        <f>$B12 * IFERROR(VLOOKUP("transport|SO2|Respiratory hospital admissions", US_national_yearly!$D:$AM, 24, FALSE) / VLOOKUP("transport|SO2|Respiratory hospital admissions", US_national_yearly!$D:$AM, 10, FALSE), 1)</f>
        <v>4.4002376673985978E-5</v>
      </c>
      <c r="Q12" s="7">
        <f>$B12 * IFERROR(VLOOKUP("transport|SO2|Respiratory hospital admissions", US_national_yearly!$D:$AM, 25, FALSE) / VLOOKUP("transport|SO2|Respiratory hospital admissions", US_national_yearly!$D:$AM, 10, FALSE), 1)</f>
        <v>4.4190597918383461E-5</v>
      </c>
      <c r="R12" s="7">
        <f>$B12 * IFERROR(VLOOKUP("transport|SO2|Respiratory hospital admissions", US_national_yearly!$D:$AM, 26, FALSE) / VLOOKUP("transport|SO2|Respiratory hospital admissions", US_national_yearly!$D:$AM, 10, FALSE), 1)</f>
        <v>4.4378819162780943E-5</v>
      </c>
      <c r="S12" s="7">
        <f>$B12 * IFERROR(VLOOKUP("transport|SO2|Respiratory hospital admissions", US_national_yearly!$D:$AM, 27, FALSE) / VLOOKUP("transport|SO2|Respiratory hospital admissions", US_national_yearly!$D:$AM, 10, FALSE), 1)</f>
        <v>4.4558367868249937E-5</v>
      </c>
      <c r="T12" s="7">
        <f>$B12 * IFERROR(VLOOKUP("transport|SO2|Respiratory hospital admissions", US_national_yearly!$D:$AM, 28, FALSE) / VLOOKUP("transport|SO2|Respiratory hospital admissions", US_national_yearly!$D:$AM, 10, FALSE), 1)</f>
        <v>4.4737916573718916E-5</v>
      </c>
      <c r="U12" s="7">
        <f>$B12 * IFERROR(VLOOKUP("transport|SO2|Respiratory hospital admissions", US_national_yearly!$D:$AM, 29, FALSE) / VLOOKUP("transport|SO2|Respiratory hospital admissions", US_national_yearly!$D:$AM, 10, FALSE), 1)</f>
        <v>4.491746527918791E-5</v>
      </c>
      <c r="V12" s="7">
        <f>$B12 * IFERROR(VLOOKUP("transport|SO2|Respiratory hospital admissions", US_national_yearly!$D:$AM, 30, FALSE) / VLOOKUP("transport|SO2|Respiratory hospital admissions", US_national_yearly!$D:$AM, 10, FALSE), 1)</f>
        <v>4.509701398465691E-5</v>
      </c>
      <c r="W12" s="7">
        <f>$B12 * IFERROR(VLOOKUP("transport|SO2|Respiratory hospital admissions", US_national_yearly!$D:$AM, 31, FALSE) / VLOOKUP("transport|SO2|Respiratory hospital admissions", US_national_yearly!$D:$AM, 10, FALSE), 1)</f>
        <v>4.5276562690125903E-5</v>
      </c>
      <c r="X12" s="7">
        <f>$B12 * IFERROR(VLOOKUP("transport|SO2|Respiratory hospital admissions", US_national_yearly!$D:$AM, 32, FALSE) / VLOOKUP("transport|SO2|Respiratory hospital admissions", US_national_yearly!$D:$AM, 10, FALSE), 1)</f>
        <v>4.5446924933221734E-5</v>
      </c>
      <c r="Y12" s="7">
        <f>$B12 * IFERROR(VLOOKUP("transport|SO2|Respiratory hospital admissions", US_national_yearly!$D:$AM, 33, FALSE) / VLOOKUP("transport|SO2|Respiratory hospital admissions", US_national_yearly!$D:$AM, 10, FALSE), 1)</f>
        <v>4.5617287176317564E-5</v>
      </c>
      <c r="Z12" s="7">
        <f>$B12 * IFERROR(VLOOKUP("transport|SO2|Respiratory hospital admissions", US_national_yearly!$D:$AM, 34, FALSE) / VLOOKUP("transport|SO2|Respiratory hospital admissions", US_national_yearly!$D:$AM, 10, FALSE), 1)</f>
        <v>4.5787649419413401E-5</v>
      </c>
      <c r="AA12" s="7">
        <f>$B12 * IFERROR(VLOOKUP("transport|SO2|Respiratory hospital admissions", US_national_yearly!$D:$AM, 35, FALSE) / VLOOKUP("transport|SO2|Respiratory hospital admissions", US_national_yearly!$D:$AM, 10, FALSE), 1)</f>
        <v>4.5958011662509232E-5</v>
      </c>
      <c r="AB12" s="7">
        <f>$B12 * IFERROR(VLOOKUP("transport|SO2|Respiratory hospital admissions", US_national_yearly!$D:$AM, 36, FALSE) / VLOOKUP("transport|SO2|Respiratory hospital admissions", US_national_yearly!$D:$AM, 10, FALSE), 1)</f>
        <v>4.6128373905605075E-5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2.4420075792207642E-4</v>
      </c>
      <c r="C13" s="7">
        <f>$B13 * IFERROR(VLOOKUP("transport|SO2|Non-fatal heart attacks", US_national_yearly!$D:$AM, 11, FALSE) / VLOOKUP("transport|SO2|Non-fatal heart attacks", US_national_yearly!$D:$AM, 10, FALSE), 1)</f>
        <v>2.5136960518888169E-4</v>
      </c>
      <c r="D13" s="7">
        <f>$B13 * IFERROR(VLOOKUP("transport|SO2|Non-fatal heart attacks", US_national_yearly!$D:$AM, 12, FALSE) / VLOOKUP("transport|SO2|Non-fatal heart attacks", US_national_yearly!$D:$AM, 10, FALSE), 1)</f>
        <v>2.5853845245568695E-4</v>
      </c>
      <c r="E13" s="7">
        <f>$B13 * IFERROR(VLOOKUP("transport|SO2|Non-fatal heart attacks", US_national_yearly!$D:$AM, 13, FALSE) / VLOOKUP("transport|SO2|Non-fatal heart attacks", US_national_yearly!$D:$AM, 10, FALSE), 1)</f>
        <v>2.6570729972249222E-4</v>
      </c>
      <c r="F13" s="7">
        <f>$B13 * IFERROR(VLOOKUP("transport|SO2|Non-fatal heart attacks", US_national_yearly!$D:$AM, 14, FALSE) / VLOOKUP("transport|SO2|Non-fatal heart attacks", US_national_yearly!$D:$AM, 10, FALSE), 1)</f>
        <v>2.7287614698929749E-4</v>
      </c>
      <c r="G13" s="7">
        <f>$B13 * IFERROR(VLOOKUP("transport|SO2|Non-fatal heart attacks", US_national_yearly!$D:$AM, 15, FALSE) / VLOOKUP("transport|SO2|Non-fatal heart attacks", US_national_yearly!$D:$AM, 10, FALSE), 1)</f>
        <v>2.7963703491310063E-4</v>
      </c>
      <c r="H13" s="7">
        <f>$B13 * IFERROR(VLOOKUP("transport|SO2|Non-fatal heart attacks", US_national_yearly!$D:$AM, 16, FALSE) / VLOOKUP("transport|SO2|Non-fatal heart attacks", US_national_yearly!$D:$AM, 10, FALSE), 1)</f>
        <v>2.8639792283690377E-4</v>
      </c>
      <c r="I13" s="7">
        <f>$B13 * IFERROR(VLOOKUP("transport|SO2|Non-fatal heart attacks", US_national_yearly!$D:$AM, 17, FALSE) / VLOOKUP("transport|SO2|Non-fatal heart attacks", US_national_yearly!$D:$AM, 10, FALSE), 1)</f>
        <v>2.9183831817522325E-4</v>
      </c>
      <c r="J13" s="7">
        <f>$B13 * IFERROR(VLOOKUP("transport|SO2|Non-fatal heart attacks", US_national_yearly!$D:$AM, 18, FALSE) / VLOOKUP("transport|SO2|Non-fatal heart attacks", US_national_yearly!$D:$AM, 10, FALSE), 1)</f>
        <v>2.9727871351354279E-4</v>
      </c>
      <c r="K13" s="7">
        <f>$B13 * IFERROR(VLOOKUP("transport|SO2|Non-fatal heart attacks", US_national_yearly!$D:$AM, 19, FALSE) / VLOOKUP("transport|SO2|Non-fatal heart attacks", US_national_yearly!$D:$AM, 10, FALSE), 1)</f>
        <v>3.0271910885186227E-4</v>
      </c>
      <c r="L13" s="7">
        <f>$B13 * IFERROR(VLOOKUP("transport|SO2|Non-fatal heart attacks", US_national_yearly!$D:$AM, 20, FALSE) / VLOOKUP("transport|SO2|Non-fatal heart attacks", US_national_yearly!$D:$AM, 10, FALSE), 1)</f>
        <v>3.0815950419018186E-4</v>
      </c>
      <c r="M13" s="7">
        <f>$B13 * IFERROR(VLOOKUP("transport|SO2|Non-fatal heart attacks", US_national_yearly!$D:$AM, 21, FALSE) / VLOOKUP("transport|SO2|Non-fatal heart attacks", US_national_yearly!$D:$AM, 10, FALSE), 1)</f>
        <v>3.135998995285014E-4</v>
      </c>
      <c r="N13" s="7">
        <f>$B13 * IFERROR(VLOOKUP("transport|SO2|Non-fatal heart attacks", US_national_yearly!$D:$AM, 22, FALSE) / VLOOKUP("transport|SO2|Non-fatal heart attacks", US_national_yearly!$D:$AM, 10, FALSE), 1)</f>
        <v>3.1713241395036848E-4</v>
      </c>
      <c r="O13" s="7">
        <f>$B13 * IFERROR(VLOOKUP("transport|SO2|Non-fatal heart attacks", US_national_yearly!$D:$AM, 23, FALSE) / VLOOKUP("transport|SO2|Non-fatal heart attacks", US_national_yearly!$D:$AM, 10, FALSE), 1)</f>
        <v>3.2066492837223566E-4</v>
      </c>
      <c r="P13" s="7">
        <f>$B13 * IFERROR(VLOOKUP("transport|SO2|Non-fatal heart attacks", US_national_yearly!$D:$AM, 24, FALSE) / VLOOKUP("transport|SO2|Non-fatal heart attacks", US_national_yearly!$D:$AM, 10, FALSE), 1)</f>
        <v>3.2419744279410279E-4</v>
      </c>
      <c r="Q13" s="7">
        <f>$B13 * IFERROR(VLOOKUP("transport|SO2|Non-fatal heart attacks", US_national_yearly!$D:$AM, 25, FALSE) / VLOOKUP("transport|SO2|Non-fatal heart attacks", US_national_yearly!$D:$AM, 10, FALSE), 1)</f>
        <v>3.2772995721596992E-4</v>
      </c>
      <c r="R13" s="7">
        <f>$B13 * IFERROR(VLOOKUP("transport|SO2|Non-fatal heart attacks", US_national_yearly!$D:$AM, 26, FALSE) / VLOOKUP("transport|SO2|Non-fatal heart attacks", US_national_yearly!$D:$AM, 10, FALSE), 1)</f>
        <v>3.3126247163783705E-4</v>
      </c>
      <c r="S13" s="7">
        <f>$B13 * IFERROR(VLOOKUP("transport|SO2|Non-fatal heart attacks", US_national_yearly!$D:$AM, 27, FALSE) / VLOOKUP("transport|SO2|Non-fatal heart attacks", US_national_yearly!$D:$AM, 10, FALSE), 1)</f>
        <v>3.3310677754784545E-4</v>
      </c>
      <c r="T13" s="7">
        <f>$B13 * IFERROR(VLOOKUP("transport|SO2|Non-fatal heart attacks", US_national_yearly!$D:$AM, 28, FALSE) / VLOOKUP("transport|SO2|Non-fatal heart attacks", US_national_yearly!$D:$AM, 10, FALSE), 1)</f>
        <v>3.3495108345785385E-4</v>
      </c>
      <c r="U13" s="7">
        <f>$B13 * IFERROR(VLOOKUP("transport|SO2|Non-fatal heart attacks", US_national_yearly!$D:$AM, 29, FALSE) / VLOOKUP("transport|SO2|Non-fatal heart attacks", US_national_yearly!$D:$AM, 10, FALSE), 1)</f>
        <v>3.367953893678622E-4</v>
      </c>
      <c r="V13" s="7">
        <f>$B13 * IFERROR(VLOOKUP("transport|SO2|Non-fatal heart attacks", US_national_yearly!$D:$AM, 30, FALSE) / VLOOKUP("transport|SO2|Non-fatal heart attacks", US_national_yearly!$D:$AM, 10, FALSE), 1)</f>
        <v>3.386396952778706E-4</v>
      </c>
      <c r="W13" s="7">
        <f>$B13 * IFERROR(VLOOKUP("transport|SO2|Non-fatal heart attacks", US_national_yearly!$D:$AM, 31, FALSE) / VLOOKUP("transport|SO2|Non-fatal heart attacks", US_national_yearly!$D:$AM, 10, FALSE), 1)</f>
        <v>3.4048400118787906E-4</v>
      </c>
      <c r="X13" s="7">
        <f>$B13 * IFERROR(VLOOKUP("transport|SO2|Non-fatal heart attacks", US_national_yearly!$D:$AM, 32, FALSE) / VLOOKUP("transport|SO2|Non-fatal heart attacks", US_national_yearly!$D:$AM, 10, FALSE), 1)</f>
        <v>3.4187629082139471E-4</v>
      </c>
      <c r="Y13" s="7">
        <f>$B13 * IFERROR(VLOOKUP("transport|SO2|Non-fatal heart attacks", US_national_yearly!$D:$AM, 33, FALSE) / VLOOKUP("transport|SO2|Non-fatal heart attacks", US_national_yearly!$D:$AM, 10, FALSE), 1)</f>
        <v>3.432685804549103E-4</v>
      </c>
      <c r="Z13" s="7">
        <f>$B13 * IFERROR(VLOOKUP("transport|SO2|Non-fatal heart attacks", US_national_yearly!$D:$AM, 34, FALSE) / VLOOKUP("transport|SO2|Non-fatal heart attacks", US_national_yearly!$D:$AM, 10, FALSE), 1)</f>
        <v>3.4466087008842595E-4</v>
      </c>
      <c r="AA13" s="7">
        <f>$B13 * IFERROR(VLOOKUP("transport|SO2|Non-fatal heart attacks", US_national_yearly!$D:$AM, 35, FALSE) / VLOOKUP("transport|SO2|Non-fatal heart attacks", US_national_yearly!$D:$AM, 10, FALSE), 1)</f>
        <v>3.4605315972194154E-4</v>
      </c>
      <c r="AB13" s="7">
        <f>$B13 * IFERROR(VLOOKUP("transport|SO2|Non-fatal heart attacks", US_national_yearly!$D:$AM, 36, FALSE) / VLOOKUP("transport|SO2|Non-fatal heart attacks", US_national_yearly!$D:$AM, 10, FALSE), 1)</f>
        <v>3.4744544935545719E-4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0.24756240779878982</v>
      </c>
      <c r="C14" s="7">
        <f>$B14 * IFERROR(VLOOKUP("transport|SO2|Minor restricted activity days", US_national_yearly!$D:$AM, 11, FALSE) / VLOOKUP("transport|SO2|Minor restricted activity days", US_national_yearly!$D:$AM, 10, FALSE), 1)</f>
        <v>0.24818643014295697</v>
      </c>
      <c r="D14" s="7">
        <f>$B14 * IFERROR(VLOOKUP("transport|SO2|Minor restricted activity days", US_national_yearly!$D:$AM, 12, FALSE) / VLOOKUP("transport|SO2|Minor restricted activity days", US_national_yearly!$D:$AM, 10, FALSE), 1)</f>
        <v>0.24881045248712408</v>
      </c>
      <c r="E14" s="7">
        <f>$B14 * IFERROR(VLOOKUP("transport|SO2|Minor restricted activity days", US_national_yearly!$D:$AM, 13, FALSE) / VLOOKUP("transport|SO2|Minor restricted activity days", US_national_yearly!$D:$AM, 10, FALSE), 1)</f>
        <v>0.24943447483129125</v>
      </c>
      <c r="F14" s="7">
        <f>$B14 * IFERROR(VLOOKUP("transport|SO2|Minor restricted activity days", US_national_yearly!$D:$AM, 14, FALSE) / VLOOKUP("transport|SO2|Minor restricted activity days", US_national_yearly!$D:$AM, 10, FALSE), 1)</f>
        <v>0.25005849717545836</v>
      </c>
      <c r="G14" s="7">
        <f>$B14 * IFERROR(VLOOKUP("transport|SO2|Minor restricted activity days", US_national_yearly!$D:$AM, 15, FALSE) / VLOOKUP("transport|SO2|Minor restricted activity days", US_national_yearly!$D:$AM, 10, FALSE), 1)</f>
        <v>0.25097699676177493</v>
      </c>
      <c r="H14" s="7">
        <f>$B14 * IFERROR(VLOOKUP("transport|SO2|Minor restricted activity days", US_national_yearly!$D:$AM, 16, FALSE) / VLOOKUP("transport|SO2|Minor restricted activity days", US_national_yearly!$D:$AM, 10, FALSE), 1)</f>
        <v>0.25189549634809155</v>
      </c>
      <c r="I14" s="7">
        <f>$B14 * IFERROR(VLOOKUP("transport|SO2|Minor restricted activity days", US_national_yearly!$D:$AM, 17, FALSE) / VLOOKUP("transport|SO2|Minor restricted activity days", US_national_yearly!$D:$AM, 10, FALSE), 1)</f>
        <v>0.25346191177836225</v>
      </c>
      <c r="J14" s="7">
        <f>$B14 * IFERROR(VLOOKUP("transport|SO2|Minor restricted activity days", US_national_yearly!$D:$AM, 18, FALSE) / VLOOKUP("transport|SO2|Minor restricted activity days", US_national_yearly!$D:$AM, 10, FALSE), 1)</f>
        <v>0.25502832720863294</v>
      </c>
      <c r="K14" s="7">
        <f>$B14 * IFERROR(VLOOKUP("transport|SO2|Minor restricted activity days", US_national_yearly!$D:$AM, 19, FALSE) / VLOOKUP("transport|SO2|Minor restricted activity days", US_national_yearly!$D:$AM, 10, FALSE), 1)</f>
        <v>0.25659474263890364</v>
      </c>
      <c r="L14" s="7">
        <f>$B14 * IFERROR(VLOOKUP("transport|SO2|Minor restricted activity days", US_national_yearly!$D:$AM, 20, FALSE) / VLOOKUP("transport|SO2|Minor restricted activity days", US_national_yearly!$D:$AM, 10, FALSE), 1)</f>
        <v>0.25816115806917433</v>
      </c>
      <c r="M14" s="7">
        <f>$B14 * IFERROR(VLOOKUP("transport|SO2|Minor restricted activity days", US_national_yearly!$D:$AM, 21, FALSE) / VLOOKUP("transport|SO2|Minor restricted activity days", US_national_yearly!$D:$AM, 10, FALSE), 1)</f>
        <v>0.25972757349944503</v>
      </c>
      <c r="N14" s="7">
        <f>$B14 * IFERROR(VLOOKUP("transport|SO2|Minor restricted activity days", US_national_yearly!$D:$AM, 22, FALSE) / VLOOKUP("transport|SO2|Minor restricted activity days", US_national_yearly!$D:$AM, 10, FALSE), 1)</f>
        <v>0.26187017846263561</v>
      </c>
      <c r="O14" s="7">
        <f>$B14 * IFERROR(VLOOKUP("transport|SO2|Minor restricted activity days", US_national_yearly!$D:$AM, 23, FALSE) / VLOOKUP("transport|SO2|Minor restricted activity days", US_national_yearly!$D:$AM, 10, FALSE), 1)</f>
        <v>0.26401278342582624</v>
      </c>
      <c r="P14" s="7">
        <f>$B14 * IFERROR(VLOOKUP("transport|SO2|Minor restricted activity days", US_national_yearly!$D:$AM, 24, FALSE) / VLOOKUP("transport|SO2|Minor restricted activity days", US_national_yearly!$D:$AM, 10, FALSE), 1)</f>
        <v>0.26615538838901687</v>
      </c>
      <c r="Q14" s="7">
        <f>$B14 * IFERROR(VLOOKUP("transport|SO2|Minor restricted activity days", US_national_yearly!$D:$AM, 25, FALSE) / VLOOKUP("transport|SO2|Minor restricted activity days", US_national_yearly!$D:$AM, 10, FALSE), 1)</f>
        <v>0.26829799335220744</v>
      </c>
      <c r="R14" s="7">
        <f>$B14 * IFERROR(VLOOKUP("transport|SO2|Minor restricted activity days", US_national_yearly!$D:$AM, 26, FALSE) / VLOOKUP("transport|SO2|Minor restricted activity days", US_national_yearly!$D:$AM, 10, FALSE), 1)</f>
        <v>0.27044059831539807</v>
      </c>
      <c r="S14" s="7">
        <f>$B14 * IFERROR(VLOOKUP("transport|SO2|Minor restricted activity days", US_national_yearly!$D:$AM, 27, FALSE) / VLOOKUP("transport|SO2|Minor restricted activity days", US_national_yearly!$D:$AM, 10, FALSE), 1)</f>
        <v>0.27262519378052807</v>
      </c>
      <c r="T14" s="7">
        <f>$B14 * IFERROR(VLOOKUP("transport|SO2|Minor restricted activity days", US_national_yearly!$D:$AM, 28, FALSE) / VLOOKUP("transport|SO2|Minor restricted activity days", US_national_yearly!$D:$AM, 10, FALSE), 1)</f>
        <v>0.27480978924565813</v>
      </c>
      <c r="U14" s="7">
        <f>$B14 * IFERROR(VLOOKUP("transport|SO2|Minor restricted activity days", US_national_yearly!$D:$AM, 29, FALSE) / VLOOKUP("transport|SO2|Minor restricted activity days", US_national_yearly!$D:$AM, 10, FALSE), 1)</f>
        <v>0.27699438471078819</v>
      </c>
      <c r="V14" s="7">
        <f>$B14 * IFERROR(VLOOKUP("transport|SO2|Minor restricted activity days", US_national_yearly!$D:$AM, 30, FALSE) / VLOOKUP("transport|SO2|Minor restricted activity days", US_national_yearly!$D:$AM, 10, FALSE), 1)</f>
        <v>0.27917898017591819</v>
      </c>
      <c r="W14" s="7">
        <f>$B14 * IFERROR(VLOOKUP("transport|SO2|Minor restricted activity days", US_national_yearly!$D:$AM, 31, FALSE) / VLOOKUP("transport|SO2|Minor restricted activity days", US_national_yearly!$D:$AM, 10, FALSE), 1)</f>
        <v>0.2813635756410483</v>
      </c>
      <c r="X14" s="7">
        <f>$B14 * IFERROR(VLOOKUP("transport|SO2|Minor restricted activity days", US_national_yearly!$D:$AM, 32, FALSE) / VLOOKUP("transport|SO2|Minor restricted activity days", US_national_yearly!$D:$AM, 10, FALSE), 1)</f>
        <v>0.28328475326480324</v>
      </c>
      <c r="Y14" s="7">
        <f>$B14 * IFERROR(VLOOKUP("transport|SO2|Minor restricted activity days", US_national_yearly!$D:$AM, 33, FALSE) / VLOOKUP("transport|SO2|Minor restricted activity days", US_national_yearly!$D:$AM, 10, FALSE), 1)</f>
        <v>0.28520593088855817</v>
      </c>
      <c r="Z14" s="7">
        <f>$B14 * IFERROR(VLOOKUP("transport|SO2|Minor restricted activity days", US_national_yearly!$D:$AM, 34, FALSE) / VLOOKUP("transport|SO2|Minor restricted activity days", US_national_yearly!$D:$AM, 10, FALSE), 1)</f>
        <v>0.2871271085123131</v>
      </c>
      <c r="AA14" s="7">
        <f>$B14 * IFERROR(VLOOKUP("transport|SO2|Minor restricted activity days", US_national_yearly!$D:$AM, 35, FALSE) / VLOOKUP("transport|SO2|Minor restricted activity days", US_national_yearly!$D:$AM, 10, FALSE), 1)</f>
        <v>0.28904828613606803</v>
      </c>
      <c r="AB14" s="7">
        <f>$B14 * IFERROR(VLOOKUP("transport|SO2|Minor restricted activity days", US_national_yearly!$D:$AM, 36, FALSE) / VLOOKUP("transport|SO2|Minor restricted activity days", US_national_yearly!$D:$AM, 10, FALSE), 1)</f>
        <v>0.29096946375982302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4.2183507330112203E-2</v>
      </c>
      <c r="C15" s="7">
        <f>$B15 * IFERROR(VLOOKUP("transport|SO2|Work loss days", US_national_yearly!$D:$AM, 11, FALSE) / VLOOKUP("transport|SO2|Work loss days", US_national_yearly!$D:$AM, 10, FALSE), 1)</f>
        <v>4.2320175189386321E-2</v>
      </c>
      <c r="D15" s="7">
        <f>$B15 * IFERROR(VLOOKUP("transport|SO2|Work loss days", US_national_yearly!$D:$AM, 12, FALSE) / VLOOKUP("transport|SO2|Work loss days", US_national_yearly!$D:$AM, 10, FALSE), 1)</f>
        <v>4.2456843048660431E-2</v>
      </c>
      <c r="E15" s="7">
        <f>$B15 * IFERROR(VLOOKUP("transport|SO2|Work loss days", US_national_yearly!$D:$AM, 13, FALSE) / VLOOKUP("transport|SO2|Work loss days", US_national_yearly!$D:$AM, 10, FALSE), 1)</f>
        <v>4.2593510907934548E-2</v>
      </c>
      <c r="F15" s="7">
        <f>$B15 * IFERROR(VLOOKUP("transport|SO2|Work loss days", US_national_yearly!$D:$AM, 14, FALSE) / VLOOKUP("transport|SO2|Work loss days", US_national_yearly!$D:$AM, 10, FALSE), 1)</f>
        <v>4.2730178767208665E-2</v>
      </c>
      <c r="G15" s="7">
        <f>$B15 * IFERROR(VLOOKUP("transport|SO2|Work loss days", US_national_yearly!$D:$AM, 15, FALSE) / VLOOKUP("transport|SO2|Work loss days", US_national_yearly!$D:$AM, 10, FALSE), 1)</f>
        <v>4.2908752047731702E-2</v>
      </c>
      <c r="H15" s="7">
        <f>$B15 * IFERROR(VLOOKUP("transport|SO2|Work loss days", US_national_yearly!$D:$AM, 16, FALSE) / VLOOKUP("transport|SO2|Work loss days", US_national_yearly!$D:$AM, 10, FALSE), 1)</f>
        <v>4.3087325328254732E-2</v>
      </c>
      <c r="I15" s="7">
        <f>$B15 * IFERROR(VLOOKUP("transport|SO2|Work loss days", US_national_yearly!$D:$AM, 17, FALSE) / VLOOKUP("transport|SO2|Work loss days", US_national_yearly!$D:$AM, 10, FALSE), 1)</f>
        <v>4.3348554065926442E-2</v>
      </c>
      <c r="J15" s="7">
        <f>$B15 * IFERROR(VLOOKUP("transport|SO2|Work loss days", US_national_yearly!$D:$AM, 18, FALSE) / VLOOKUP("transport|SO2|Work loss days", US_national_yearly!$D:$AM, 10, FALSE), 1)</f>
        <v>4.3609782803598153E-2</v>
      </c>
      <c r="K15" s="7">
        <f>$B15 * IFERROR(VLOOKUP("transport|SO2|Work loss days", US_national_yearly!$D:$AM, 19, FALSE) / VLOOKUP("transport|SO2|Work loss days", US_national_yearly!$D:$AM, 10, FALSE), 1)</f>
        <v>4.3871011541269864E-2</v>
      </c>
      <c r="L15" s="7">
        <f>$B15 * IFERROR(VLOOKUP("transport|SO2|Work loss days", US_national_yearly!$D:$AM, 20, FALSE) / VLOOKUP("transport|SO2|Work loss days", US_national_yearly!$D:$AM, 10, FALSE), 1)</f>
        <v>4.4132240278941581E-2</v>
      </c>
      <c r="M15" s="7">
        <f>$B15 * IFERROR(VLOOKUP("transport|SO2|Work loss days", US_national_yearly!$D:$AM, 21, FALSE) / VLOOKUP("transport|SO2|Work loss days", US_national_yearly!$D:$AM, 10, FALSE), 1)</f>
        <v>4.4393469016613299E-2</v>
      </c>
      <c r="N15" s="7">
        <f>$B15 * IFERROR(VLOOKUP("transport|SO2|Work loss days", US_national_yearly!$D:$AM, 22, FALSE) / VLOOKUP("transport|SO2|Work loss days", US_national_yearly!$D:$AM, 10, FALSE), 1)</f>
        <v>4.4721007521385657E-2</v>
      </c>
      <c r="O15" s="7">
        <f>$B15 * IFERROR(VLOOKUP("transport|SO2|Work loss days", US_national_yearly!$D:$AM, 23, FALSE) / VLOOKUP("transport|SO2|Work loss days", US_national_yearly!$D:$AM, 10, FALSE), 1)</f>
        <v>4.5048546026158015E-2</v>
      </c>
      <c r="P15" s="7">
        <f>$B15 * IFERROR(VLOOKUP("transport|SO2|Work loss days", US_national_yearly!$D:$AM, 24, FALSE) / VLOOKUP("transport|SO2|Work loss days", US_national_yearly!$D:$AM, 10, FALSE), 1)</f>
        <v>4.5376084530930366E-2</v>
      </c>
      <c r="Q15" s="7">
        <f>$B15 * IFERROR(VLOOKUP("transport|SO2|Work loss days", US_national_yearly!$D:$AM, 25, FALSE) / VLOOKUP("transport|SO2|Work loss days", US_national_yearly!$D:$AM, 10, FALSE), 1)</f>
        <v>4.5703623035702731E-2</v>
      </c>
      <c r="R15" s="7">
        <f>$B15 * IFERROR(VLOOKUP("transport|SO2|Work loss days", US_national_yearly!$D:$AM, 26, FALSE) / VLOOKUP("transport|SO2|Work loss days", US_national_yearly!$D:$AM, 10, FALSE), 1)</f>
        <v>4.6031161540475089E-2</v>
      </c>
      <c r="S15" s="7">
        <f>$B15 * IFERROR(VLOOKUP("transport|SO2|Work loss days", US_national_yearly!$D:$AM, 27, FALSE) / VLOOKUP("transport|SO2|Work loss days", US_national_yearly!$D:$AM, 10, FALSE), 1)</f>
        <v>4.6397184739677542E-2</v>
      </c>
      <c r="T15" s="7">
        <f>$B15 * IFERROR(VLOOKUP("transport|SO2|Work loss days", US_national_yearly!$D:$AM, 28, FALSE) / VLOOKUP("transport|SO2|Work loss days", US_national_yearly!$D:$AM, 10, FALSE), 1)</f>
        <v>4.6763207938880003E-2</v>
      </c>
      <c r="U15" s="7">
        <f>$B15 * IFERROR(VLOOKUP("transport|SO2|Work loss days", US_national_yearly!$D:$AM, 29, FALSE) / VLOOKUP("transport|SO2|Work loss days", US_national_yearly!$D:$AM, 10, FALSE), 1)</f>
        <v>4.7129231138082456E-2</v>
      </c>
      <c r="V15" s="7">
        <f>$B15 * IFERROR(VLOOKUP("transport|SO2|Work loss days", US_national_yearly!$D:$AM, 30, FALSE) / VLOOKUP("transport|SO2|Work loss days", US_national_yearly!$D:$AM, 10, FALSE), 1)</f>
        <v>4.7495254337284909E-2</v>
      </c>
      <c r="W15" s="7">
        <f>$B15 * IFERROR(VLOOKUP("transport|SO2|Work loss days", US_national_yearly!$D:$AM, 31, FALSE) / VLOOKUP("transport|SO2|Work loss days", US_national_yearly!$D:$AM, 10, FALSE), 1)</f>
        <v>4.7861277536487376E-2</v>
      </c>
      <c r="X15" s="7">
        <f>$B15 * IFERROR(VLOOKUP("transport|SO2|Work loss days", US_national_yearly!$D:$AM, 32, FALSE) / VLOOKUP("transport|SO2|Work loss days", US_national_yearly!$D:$AM, 10, FALSE), 1)</f>
        <v>4.8189915917972254E-2</v>
      </c>
      <c r="Y15" s="7">
        <f>$B15 * IFERROR(VLOOKUP("transport|SO2|Work loss days", US_national_yearly!$D:$AM, 33, FALSE) / VLOOKUP("transport|SO2|Work loss days", US_national_yearly!$D:$AM, 10, FALSE), 1)</f>
        <v>4.8518554299457138E-2</v>
      </c>
      <c r="Z15" s="7">
        <f>$B15 * IFERROR(VLOOKUP("transport|SO2|Work loss days", US_national_yearly!$D:$AM, 34, FALSE) / VLOOKUP("transport|SO2|Work loss days", US_national_yearly!$D:$AM, 10, FALSE), 1)</f>
        <v>4.8847192680942023E-2</v>
      </c>
      <c r="AA15" s="7">
        <f>$B15 * IFERROR(VLOOKUP("transport|SO2|Work loss days", US_national_yearly!$D:$AM, 35, FALSE) / VLOOKUP("transport|SO2|Work loss days", US_national_yearly!$D:$AM, 10, FALSE), 1)</f>
        <v>4.9175831062426907E-2</v>
      </c>
      <c r="AB15" s="7">
        <f>$B15 * IFERROR(VLOOKUP("transport|SO2|Work loss days", US_national_yearly!$D:$AM, 36, FALSE) / VLOOKUP("transport|SO2|Work loss days", US_national_yearly!$D:$AM, 10, FALSE), 1)</f>
        <v>4.9504469443911792E-2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4.8532887705877321E-5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5.0000708082999856E-5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5.1468528460122392E-5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5.2936348837244927E-5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5.4404169214367469E-5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5.5810201567748179E-5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5.7216233921128902E-5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5.8420929263157674E-5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5.9625624605186446E-5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6.0830319947215218E-5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6.203501528924399E-5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6.3239710631272748E-5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6.404899148383936E-5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6.4858272336405957E-5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6.5667553188972555E-5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6.6476834041539153E-5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6.7286114894105751E-5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6.7711739001705265E-5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6.8137363109304778E-5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6.8562987216904279E-5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6.8988611324503793E-5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6.9414235432103307E-5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6.9699970965592879E-5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6.9985706499082464E-5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7.027144203257205E-5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7.0557177566061636E-5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7.0842913099551208E-5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4.2366415061155368E-3</v>
      </c>
      <c r="C2" s="7">
        <f>$B2 * IFERROR(VLOOKUP("electricity|PM25|Premature mortality", US_national_yearly!$D:$AM, 11, FALSE) / VLOOKUP("electricity|PM25|Premature mortality", US_national_yearly!$D:$AM, 10, FALSE), 1)</f>
        <v>4.2891175550200163E-3</v>
      </c>
      <c r="D2" s="7">
        <f>$B2 * IFERROR(VLOOKUP("electricity|PM25|Premature mortality", US_national_yearly!$D:$AM, 12, FALSE) / VLOOKUP("electricity|PM25|Premature mortality", US_national_yearly!$D:$AM, 10, FALSE), 1)</f>
        <v>4.3415936039244967E-3</v>
      </c>
      <c r="E2" s="7">
        <f>$B2 * IFERROR(VLOOKUP("electricity|PM25|Premature mortality", US_national_yearly!$D:$AM, 13, FALSE) / VLOOKUP("electricity|PM25|Premature mortality", US_national_yearly!$D:$AM, 10, FALSE), 1)</f>
        <v>4.3940696528289762E-3</v>
      </c>
      <c r="F2" s="7">
        <f>$B2 * IFERROR(VLOOKUP("electricity|PM25|Premature mortality", US_national_yearly!$D:$AM, 14, FALSE) / VLOOKUP("electricity|PM25|Premature mortality", US_national_yearly!$D:$AM, 10, FALSE), 1)</f>
        <v>4.4465457017334575E-3</v>
      </c>
      <c r="G2" s="7">
        <f>$B2 * IFERROR(VLOOKUP("electricity|PM25|Premature mortality", US_national_yearly!$D:$AM, 15, FALSE) / VLOOKUP("electricity|PM25|Premature mortality", US_national_yearly!$D:$AM, 10, FALSE), 1)</f>
        <v>4.5496114525460356E-3</v>
      </c>
      <c r="H2" s="7">
        <f>$B2 * IFERROR(VLOOKUP("electricity|PM25|Premature mortality", US_national_yearly!$D:$AM, 16, FALSE) / VLOOKUP("electricity|PM25|Premature mortality", US_national_yearly!$D:$AM, 10, FALSE), 1)</f>
        <v>4.6526772033586156E-3</v>
      </c>
      <c r="I2" s="7">
        <f>$B2 * IFERROR(VLOOKUP("electricity|PM25|Premature mortality", US_national_yearly!$D:$AM, 17, FALSE) / VLOOKUP("electricity|PM25|Premature mortality", US_national_yearly!$D:$AM, 10, FALSE), 1)</f>
        <v>4.7219279568084943E-3</v>
      </c>
      <c r="J2" s="7">
        <f>$B2 * IFERROR(VLOOKUP("electricity|PM25|Premature mortality", US_national_yearly!$D:$AM, 18, FALSE) / VLOOKUP("electricity|PM25|Premature mortality", US_national_yearly!$D:$AM, 10, FALSE), 1)</f>
        <v>4.7911787102583739E-3</v>
      </c>
      <c r="K2" s="7">
        <f>$B2 * IFERROR(VLOOKUP("electricity|PM25|Premature mortality", US_national_yearly!$D:$AM, 19, FALSE) / VLOOKUP("electricity|PM25|Premature mortality", US_national_yearly!$D:$AM, 10, FALSE), 1)</f>
        <v>4.8604294637082527E-3</v>
      </c>
      <c r="L2" s="7">
        <f>$B2 * IFERROR(VLOOKUP("electricity|PM25|Premature mortality", US_national_yearly!$D:$AM, 20, FALSE) / VLOOKUP("electricity|PM25|Premature mortality", US_national_yearly!$D:$AM, 10, FALSE), 1)</f>
        <v>4.9296802171581323E-3</v>
      </c>
      <c r="M2" s="7">
        <f>$B2 * IFERROR(VLOOKUP("electricity|PM25|Premature mortality", US_national_yearly!$D:$AM, 21, FALSE) / VLOOKUP("electricity|PM25|Premature mortality", US_national_yearly!$D:$AM, 10, FALSE), 1)</f>
        <v>4.998930970608011E-3</v>
      </c>
      <c r="N2" s="7">
        <f>$B2 * IFERROR(VLOOKUP("electricity|PM25|Premature mortality", US_national_yearly!$D:$AM, 22, FALSE) / VLOOKUP("electricity|PM25|Premature mortality", US_national_yearly!$D:$AM, 10, FALSE), 1)</f>
        <v>5.0541316614355382E-3</v>
      </c>
      <c r="O2" s="7">
        <f>$B2 * IFERROR(VLOOKUP("electricity|PM25|Premature mortality", US_national_yearly!$D:$AM, 23, FALSE) / VLOOKUP("electricity|PM25|Premature mortality", US_national_yearly!$D:$AM, 10, FALSE), 1)</f>
        <v>5.1093323522630636E-3</v>
      </c>
      <c r="P2" s="7">
        <f>$B2 * IFERROR(VLOOKUP("electricity|PM25|Premature mortality", US_national_yearly!$D:$AM, 24, FALSE) / VLOOKUP("electricity|PM25|Premature mortality", US_national_yearly!$D:$AM, 10, FALSE), 1)</f>
        <v>5.1645330430905908E-3</v>
      </c>
      <c r="Q2" s="7">
        <f>$B2 * IFERROR(VLOOKUP("electricity|PM25|Premature mortality", US_national_yearly!$D:$AM, 25, FALSE) / VLOOKUP("electricity|PM25|Premature mortality", US_national_yearly!$D:$AM, 10, FALSE), 1)</f>
        <v>5.2197337339181162E-3</v>
      </c>
      <c r="R2" s="7">
        <f>$B2 * IFERROR(VLOOKUP("electricity|PM25|Premature mortality", US_national_yearly!$D:$AM, 26, FALSE) / VLOOKUP("electricity|PM25|Premature mortality", US_national_yearly!$D:$AM, 10, FALSE), 1)</f>
        <v>5.2749344247456425E-3</v>
      </c>
      <c r="S2" s="7">
        <f>$B2 * IFERROR(VLOOKUP("electricity|PM25|Premature mortality", US_national_yearly!$D:$AM, 27, FALSE) / VLOOKUP("electricity|PM25|Premature mortality", US_national_yearly!$D:$AM, 10, FALSE), 1)</f>
        <v>5.3065205558989539E-3</v>
      </c>
      <c r="T2" s="7">
        <f>$B2 * IFERROR(VLOOKUP("electricity|PM25|Premature mortality", US_national_yearly!$D:$AM, 28, FALSE) / VLOOKUP("electricity|PM25|Premature mortality", US_national_yearly!$D:$AM, 10, FALSE), 1)</f>
        <v>5.3381066870522645E-3</v>
      </c>
      <c r="U2" s="7">
        <f>$B2 * IFERROR(VLOOKUP("electricity|PM25|Premature mortality", US_national_yearly!$D:$AM, 29, FALSE) / VLOOKUP("electricity|PM25|Premature mortality", US_national_yearly!$D:$AM, 10, FALSE), 1)</f>
        <v>5.3696928182055768E-3</v>
      </c>
      <c r="V2" s="7">
        <f>$B2 * IFERROR(VLOOKUP("electricity|PM25|Premature mortality", US_national_yearly!$D:$AM, 30, FALSE) / VLOOKUP("electricity|PM25|Premature mortality", US_national_yearly!$D:$AM, 10, FALSE), 1)</f>
        <v>5.4012789493588873E-3</v>
      </c>
      <c r="W2" s="7">
        <f>$B2 * IFERROR(VLOOKUP("electricity|PM25|Premature mortality", US_national_yearly!$D:$AM, 31, FALSE) / VLOOKUP("electricity|PM25|Premature mortality", US_national_yearly!$D:$AM, 10, FALSE), 1)</f>
        <v>5.4328650805121987E-3</v>
      </c>
      <c r="X2" s="7">
        <f>$B2 * IFERROR(VLOOKUP("electricity|PM25|Premature mortality", US_national_yearly!$D:$AM, 32, FALSE) / VLOOKUP("electricity|PM25|Premature mortality", US_national_yearly!$D:$AM, 10, FALSE), 1)</f>
        <v>5.4416395035235283E-3</v>
      </c>
      <c r="Y2" s="7">
        <f>$B2 * IFERROR(VLOOKUP("electricity|PM25|Premature mortality", US_national_yearly!$D:$AM, 33, FALSE) / VLOOKUP("electricity|PM25|Premature mortality", US_national_yearly!$D:$AM, 10, FALSE), 1)</f>
        <v>5.4504139265348578E-3</v>
      </c>
      <c r="Z2" s="7">
        <f>$B2 * IFERROR(VLOOKUP("electricity|PM25|Premature mortality", US_national_yearly!$D:$AM, 34, FALSE) / VLOOKUP("electricity|PM25|Premature mortality", US_national_yearly!$D:$AM, 10, FALSE), 1)</f>
        <v>5.4591883495461882E-3</v>
      </c>
      <c r="AA2" s="7">
        <f>$B2 * IFERROR(VLOOKUP("electricity|PM25|Premature mortality", US_national_yearly!$D:$AM, 35, FALSE) / VLOOKUP("electricity|PM25|Premature mortality", US_national_yearly!$D:$AM, 10, FALSE), 1)</f>
        <v>5.4679627725575186E-3</v>
      </c>
      <c r="AB2" s="7">
        <f>$B2 * IFERROR(VLOOKUP("electricity|PM25|Premature mortality", US_national_yearly!$D:$AM, 36, FALSE) / VLOOKUP("electricity|PM25|Premature mortality", US_national_yearly!$D:$AM, 10, FALSE), 1)</f>
        <v>5.4767371955688482E-3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1.105986962041309E-5</v>
      </c>
      <c r="C3" s="7">
        <f>$B3 * IFERROR(VLOOKUP("electricity|PM25|Infant mortality", US_national_yearly!$D:$AM, 11, FALSE) / VLOOKUP("electricity|PM25|Infant mortality", US_national_yearly!$D:$AM, 10, FALSE), 1)</f>
        <v>1.0963505004269037E-5</v>
      </c>
      <c r="D3" s="7">
        <f>$B3 * IFERROR(VLOOKUP("electricity|PM25|Infant mortality", US_national_yearly!$D:$AM, 12, FALSE) / VLOOKUP("electricity|PM25|Infant mortality", US_national_yearly!$D:$AM, 10, FALSE), 1)</f>
        <v>1.0867140388124988E-5</v>
      </c>
      <c r="E3" s="7">
        <f>$B3 * IFERROR(VLOOKUP("electricity|PM25|Infant mortality", US_national_yearly!$D:$AM, 13, FALSE) / VLOOKUP("electricity|PM25|Infant mortality", US_national_yearly!$D:$AM, 10, FALSE), 1)</f>
        <v>1.0770775771980936E-5</v>
      </c>
      <c r="F3" s="7">
        <f>$B3 * IFERROR(VLOOKUP("electricity|PM25|Infant mortality", US_national_yearly!$D:$AM, 14, FALSE) / VLOOKUP("electricity|PM25|Infant mortality", US_national_yearly!$D:$AM, 10, FALSE), 1)</f>
        <v>1.0674411155836885E-5</v>
      </c>
      <c r="G3" s="7">
        <f>$B3 * IFERROR(VLOOKUP("electricity|PM25|Infant mortality", US_national_yearly!$D:$AM, 15, FALSE) / VLOOKUP("electricity|PM25|Infant mortality", US_national_yearly!$D:$AM, 10, FALSE), 1)</f>
        <v>7.078936774066918E-6</v>
      </c>
      <c r="H3" s="7">
        <f>$B3 * IFERROR(VLOOKUP("electricity|PM25|Infant mortality", US_national_yearly!$D:$AM, 16, FALSE) / VLOOKUP("electricity|PM25|Infant mortality", US_national_yearly!$D:$AM, 10, FALSE), 1)</f>
        <v>3.4834623922969508E-6</v>
      </c>
      <c r="I3" s="7">
        <f>$B3 * IFERROR(VLOOKUP("electricity|PM25|Infant mortality", US_national_yearly!$D:$AM, 17, FALSE) / VLOOKUP("electricity|PM25|Infant mortality", US_national_yearly!$D:$AM, 10, FALSE), 1)</f>
        <v>3.4588675516000925E-6</v>
      </c>
      <c r="J3" s="7">
        <f>$B3 * IFERROR(VLOOKUP("electricity|PM25|Infant mortality", US_national_yearly!$D:$AM, 18, FALSE) / VLOOKUP("electricity|PM25|Infant mortality", US_national_yearly!$D:$AM, 10, FALSE), 1)</f>
        <v>3.4342727109032351E-6</v>
      </c>
      <c r="K3" s="7">
        <f>$B3 * IFERROR(VLOOKUP("electricity|PM25|Infant mortality", US_national_yearly!$D:$AM, 19, FALSE) / VLOOKUP("electricity|PM25|Infant mortality", US_national_yearly!$D:$AM, 10, FALSE), 1)</f>
        <v>3.4096778702063767E-6</v>
      </c>
      <c r="L3" s="7">
        <f>$B3 * IFERROR(VLOOKUP("electricity|PM25|Infant mortality", US_national_yearly!$D:$AM, 20, FALSE) / VLOOKUP("electricity|PM25|Infant mortality", US_national_yearly!$D:$AM, 10, FALSE), 1)</f>
        <v>3.3850830295095193E-6</v>
      </c>
      <c r="M3" s="7">
        <f>$B3 * IFERROR(VLOOKUP("electricity|PM25|Infant mortality", US_national_yearly!$D:$AM, 21, FALSE) / VLOOKUP("electricity|PM25|Infant mortality", US_national_yearly!$D:$AM, 10, FALSE), 1)</f>
        <v>3.3604881888126614E-6</v>
      </c>
      <c r="N3" s="7">
        <f>$B3 * IFERROR(VLOOKUP("electricity|PM25|Infant mortality", US_national_yearly!$D:$AM, 22, FALSE) / VLOOKUP("electricity|PM25|Infant mortality", US_national_yearly!$D:$AM, 10, FALSE), 1)</f>
        <v>3.3446704408442981E-6</v>
      </c>
      <c r="O3" s="7">
        <f>$B3 * IFERROR(VLOOKUP("electricity|PM25|Infant mortality", US_national_yearly!$D:$AM, 23, FALSE) / VLOOKUP("electricity|PM25|Infant mortality", US_national_yearly!$D:$AM, 10, FALSE), 1)</f>
        <v>3.3288526928759349E-6</v>
      </c>
      <c r="P3" s="7">
        <f>$B3 * IFERROR(VLOOKUP("electricity|PM25|Infant mortality", US_national_yearly!$D:$AM, 24, FALSE) / VLOOKUP("electricity|PM25|Infant mortality", US_national_yearly!$D:$AM, 10, FALSE), 1)</f>
        <v>3.3130349449075712E-6</v>
      </c>
      <c r="Q3" s="7">
        <f>$B3 * IFERROR(VLOOKUP("electricity|PM25|Infant mortality", US_national_yearly!$D:$AM, 25, FALSE) / VLOOKUP("electricity|PM25|Infant mortality", US_national_yearly!$D:$AM, 10, FALSE), 1)</f>
        <v>3.2972171969392084E-6</v>
      </c>
      <c r="R3" s="7">
        <f>$B3 * IFERROR(VLOOKUP("electricity|PM25|Infant mortality", US_national_yearly!$D:$AM, 26, FALSE) / VLOOKUP("electricity|PM25|Infant mortality", US_national_yearly!$D:$AM, 10, FALSE), 1)</f>
        <v>3.2813994489708448E-6</v>
      </c>
      <c r="S3" s="7">
        <f>$B3 * IFERROR(VLOOKUP("electricity|PM25|Infant mortality", US_national_yearly!$D:$AM, 27, FALSE) / VLOOKUP("electricity|PM25|Infant mortality", US_national_yearly!$D:$AM, 10, FALSE), 1)</f>
        <v>3.2624494334331692E-6</v>
      </c>
      <c r="T3" s="7">
        <f>$B3 * IFERROR(VLOOKUP("electricity|PM25|Infant mortality", US_national_yearly!$D:$AM, 28, FALSE) / VLOOKUP("electricity|PM25|Infant mortality", US_national_yearly!$D:$AM, 10, FALSE), 1)</f>
        <v>3.2434994178954941E-6</v>
      </c>
      <c r="U3" s="7">
        <f>$B3 * IFERROR(VLOOKUP("electricity|PM25|Infant mortality", US_national_yearly!$D:$AM, 29, FALSE) / VLOOKUP("electricity|PM25|Infant mortality", US_national_yearly!$D:$AM, 10, FALSE), 1)</f>
        <v>3.2245494023578194E-6</v>
      </c>
      <c r="V3" s="7">
        <f>$B3 * IFERROR(VLOOKUP("electricity|PM25|Infant mortality", US_national_yearly!$D:$AM, 30, FALSE) / VLOOKUP("electricity|PM25|Infant mortality", US_national_yearly!$D:$AM, 10, FALSE), 1)</f>
        <v>3.2055993868201443E-6</v>
      </c>
      <c r="W3" s="7">
        <f>$B3 * IFERROR(VLOOKUP("electricity|PM25|Infant mortality", US_national_yearly!$D:$AM, 31, FALSE) / VLOOKUP("electricity|PM25|Infant mortality", US_national_yearly!$D:$AM, 10, FALSE), 1)</f>
        <v>3.1866493712824691E-6</v>
      </c>
      <c r="X3" s="7">
        <f>$B3 * IFERROR(VLOOKUP("electricity|PM25|Infant mortality", US_national_yearly!$D:$AM, 32, FALSE) / VLOOKUP("electricity|PM25|Infant mortality", US_national_yearly!$D:$AM, 10, FALSE), 1)</f>
        <v>3.1670668962418685E-6</v>
      </c>
      <c r="Y3" s="7">
        <f>$B3 * IFERROR(VLOOKUP("electricity|PM25|Infant mortality", US_national_yearly!$D:$AM, 33, FALSE) / VLOOKUP("electricity|PM25|Infant mortality", US_national_yearly!$D:$AM, 10, FALSE), 1)</f>
        <v>3.1474844212012682E-6</v>
      </c>
      <c r="Z3" s="7">
        <f>$B3 * IFERROR(VLOOKUP("electricity|PM25|Infant mortality", US_national_yearly!$D:$AM, 34, FALSE) / VLOOKUP("electricity|PM25|Infant mortality", US_national_yearly!$D:$AM, 10, FALSE), 1)</f>
        <v>3.127901946160668E-6</v>
      </c>
      <c r="AA3" s="7">
        <f>$B3 * IFERROR(VLOOKUP("electricity|PM25|Infant mortality", US_national_yearly!$D:$AM, 35, FALSE) / VLOOKUP("electricity|PM25|Infant mortality", US_national_yearly!$D:$AM, 10, FALSE), 1)</f>
        <v>3.1083194711200677E-6</v>
      </c>
      <c r="AB3" s="7">
        <f>$B3 * IFERROR(VLOOKUP("electricity|PM25|Infant mortality", US_national_yearly!$D:$AM, 36, FALSE) / VLOOKUP("electricity|PM25|Infant mortality", US_national_yearly!$D:$AM, 10, FALSE), 1)</f>
        <v>3.0887369960794675E-6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1.2604845910299176E-2</v>
      </c>
      <c r="C6" s="7">
        <f>$B6 * IFERROR(VLOOKUP("electricity|PM25|Asthma symptoms cough", US_national_yearly!$D:$AM, 11, FALSE) / VLOOKUP("electricity|PM25|Asthma symptoms cough", US_national_yearly!$D:$AM, 10, FALSE), 1)</f>
        <v>1.2604845910299176E-2</v>
      </c>
      <c r="D6" s="7">
        <f>$B6 * IFERROR(VLOOKUP("electricity|PM25|Asthma symptoms cough", US_national_yearly!$D:$AM, 12, FALSE) / VLOOKUP("electricity|PM25|Asthma symptoms cough", US_national_yearly!$D:$AM, 10, FALSE), 1)</f>
        <v>1.2604845910299176E-2</v>
      </c>
      <c r="E6" s="7">
        <f>$B6 * IFERROR(VLOOKUP("electricity|PM25|Asthma symptoms cough", US_national_yearly!$D:$AM, 13, FALSE) / VLOOKUP("electricity|PM25|Asthma symptoms cough", US_national_yearly!$D:$AM, 10, FALSE), 1)</f>
        <v>1.2604845910299176E-2</v>
      </c>
      <c r="F6" s="7">
        <f>$B6 * IFERROR(VLOOKUP("electricity|PM25|Asthma symptoms cough", US_national_yearly!$D:$AM, 14, FALSE) / VLOOKUP("electricity|PM25|Asthma symptoms cough", US_national_yearly!$D:$AM, 10, FALSE), 1)</f>
        <v>1.2604845910299176E-2</v>
      </c>
      <c r="G6" s="7">
        <f>$B6 * IFERROR(VLOOKUP("electricity|PM25|Asthma symptoms cough", US_national_yearly!$D:$AM, 15, FALSE) / VLOOKUP("electricity|PM25|Asthma symptoms cough", US_national_yearly!$D:$AM, 10, FALSE), 1)</f>
        <v>1.2604845910299176E-2</v>
      </c>
      <c r="H6" s="7">
        <f>$B6 * IFERROR(VLOOKUP("electricity|PM25|Asthma symptoms cough", US_national_yearly!$D:$AM, 16, FALSE) / VLOOKUP("electricity|PM25|Asthma symptoms cough", US_national_yearly!$D:$AM, 10, FALSE), 1)</f>
        <v>1.2604845910299176E-2</v>
      </c>
      <c r="I6" s="7">
        <f>$B6 * IFERROR(VLOOKUP("electricity|PM25|Asthma symptoms cough", US_national_yearly!$D:$AM, 17, FALSE) / VLOOKUP("electricity|PM25|Asthma symptoms cough", US_national_yearly!$D:$AM, 10, FALSE), 1)</f>
        <v>1.2604845910299176E-2</v>
      </c>
      <c r="J6" s="7">
        <f>$B6 * IFERROR(VLOOKUP("electricity|PM25|Asthma symptoms cough", US_national_yearly!$D:$AM, 18, FALSE) / VLOOKUP("electricity|PM25|Asthma symptoms cough", US_national_yearly!$D:$AM, 10, FALSE), 1)</f>
        <v>1.2604845910299176E-2</v>
      </c>
      <c r="K6" s="7">
        <f>$B6 * IFERROR(VLOOKUP("electricity|PM25|Asthma symptoms cough", US_national_yearly!$D:$AM, 19, FALSE) / VLOOKUP("electricity|PM25|Asthma symptoms cough", US_national_yearly!$D:$AM, 10, FALSE), 1)</f>
        <v>1.2604845910299176E-2</v>
      </c>
      <c r="L6" s="7">
        <f>$B6 * IFERROR(VLOOKUP("electricity|PM25|Asthma symptoms cough", US_national_yearly!$D:$AM, 20, FALSE) / VLOOKUP("electricity|PM25|Asthma symptoms cough", US_national_yearly!$D:$AM, 10, FALSE), 1)</f>
        <v>1.2604845910299176E-2</v>
      </c>
      <c r="M6" s="7">
        <f>$B6 * IFERROR(VLOOKUP("electricity|PM25|Asthma symptoms cough", US_national_yearly!$D:$AM, 21, FALSE) / VLOOKUP("electricity|PM25|Asthma symptoms cough", US_national_yearly!$D:$AM, 10, FALSE), 1)</f>
        <v>1.2604845910299176E-2</v>
      </c>
      <c r="N6" s="7">
        <f>$B6 * IFERROR(VLOOKUP("electricity|PM25|Asthma symptoms cough", US_national_yearly!$D:$AM, 22, FALSE) / VLOOKUP("electricity|PM25|Asthma symptoms cough", US_national_yearly!$D:$AM, 10, FALSE), 1)</f>
        <v>1.2604845910299176E-2</v>
      </c>
      <c r="O6" s="7">
        <f>$B6 * IFERROR(VLOOKUP("electricity|PM25|Asthma symptoms cough", US_national_yearly!$D:$AM, 23, FALSE) / VLOOKUP("electricity|PM25|Asthma symptoms cough", US_national_yearly!$D:$AM, 10, FALSE), 1)</f>
        <v>1.2604845910299176E-2</v>
      </c>
      <c r="P6" s="7">
        <f>$B6 * IFERROR(VLOOKUP("electricity|PM25|Asthma symptoms cough", US_national_yearly!$D:$AM, 24, FALSE) / VLOOKUP("electricity|PM25|Asthma symptoms cough", US_national_yearly!$D:$AM, 10, FALSE), 1)</f>
        <v>1.2604845910299176E-2</v>
      </c>
      <c r="Q6" s="7">
        <f>$B6 * IFERROR(VLOOKUP("electricity|PM25|Asthma symptoms cough", US_national_yearly!$D:$AM, 25, FALSE) / VLOOKUP("electricity|PM25|Asthma symptoms cough", US_national_yearly!$D:$AM, 10, FALSE), 1)</f>
        <v>1.2604845910299176E-2</v>
      </c>
      <c r="R6" s="7">
        <f>$B6 * IFERROR(VLOOKUP("electricity|PM25|Asthma symptoms cough", US_national_yearly!$D:$AM, 26, FALSE) / VLOOKUP("electricity|PM25|Asthma symptoms cough", US_national_yearly!$D:$AM, 10, FALSE), 1)</f>
        <v>1.2604845910299176E-2</v>
      </c>
      <c r="S6" s="7">
        <f>$B6 * IFERROR(VLOOKUP("electricity|PM25|Asthma symptoms cough", US_national_yearly!$D:$AM, 27, FALSE) / VLOOKUP("electricity|PM25|Asthma symptoms cough", US_national_yearly!$D:$AM, 10, FALSE), 1)</f>
        <v>1.2604845910299176E-2</v>
      </c>
      <c r="T6" s="7">
        <f>$B6 * IFERROR(VLOOKUP("electricity|PM25|Asthma symptoms cough", US_national_yearly!$D:$AM, 28, FALSE) / VLOOKUP("electricity|PM25|Asthma symptoms cough", US_national_yearly!$D:$AM, 10, FALSE), 1)</f>
        <v>1.2604845910299176E-2</v>
      </c>
      <c r="U6" s="7">
        <f>$B6 * IFERROR(VLOOKUP("electricity|PM25|Asthma symptoms cough", US_national_yearly!$D:$AM, 29, FALSE) / VLOOKUP("electricity|PM25|Asthma symptoms cough", US_national_yearly!$D:$AM, 10, FALSE), 1)</f>
        <v>1.2604845910299176E-2</v>
      </c>
      <c r="V6" s="7">
        <f>$B6 * IFERROR(VLOOKUP("electricity|PM25|Asthma symptoms cough", US_national_yearly!$D:$AM, 30, FALSE) / VLOOKUP("electricity|PM25|Asthma symptoms cough", US_national_yearly!$D:$AM, 10, FALSE), 1)</f>
        <v>1.2604845910299176E-2</v>
      </c>
      <c r="W6" s="7">
        <f>$B6 * IFERROR(VLOOKUP("electricity|PM25|Asthma symptoms cough", US_national_yearly!$D:$AM, 31, FALSE) / VLOOKUP("electricity|PM25|Asthma symptoms cough", US_national_yearly!$D:$AM, 10, FALSE), 1)</f>
        <v>1.2604845910299176E-2</v>
      </c>
      <c r="X6" s="7">
        <f>$B6 * IFERROR(VLOOKUP("electricity|PM25|Asthma symptoms cough", US_national_yearly!$D:$AM, 32, FALSE) / VLOOKUP("electricity|PM25|Asthma symptoms cough", US_national_yearly!$D:$AM, 10, FALSE), 1)</f>
        <v>1.2604845910299176E-2</v>
      </c>
      <c r="Y6" s="7">
        <f>$B6 * IFERROR(VLOOKUP("electricity|PM25|Asthma symptoms cough", US_national_yearly!$D:$AM, 33, FALSE) / VLOOKUP("electricity|PM25|Asthma symptoms cough", US_national_yearly!$D:$AM, 10, FALSE), 1)</f>
        <v>1.2604845910299176E-2</v>
      </c>
      <c r="Z6" s="7">
        <f>$B6 * IFERROR(VLOOKUP("electricity|PM25|Asthma symptoms cough", US_national_yearly!$D:$AM, 34, FALSE) / VLOOKUP("electricity|PM25|Asthma symptoms cough", US_national_yearly!$D:$AM, 10, FALSE), 1)</f>
        <v>1.2604845910299176E-2</v>
      </c>
      <c r="AA6" s="7">
        <f>$B6 * IFERROR(VLOOKUP("electricity|PM25|Asthma symptoms cough", US_national_yearly!$D:$AM, 35, FALSE) / VLOOKUP("electricity|PM25|Asthma symptoms cough", US_national_yearly!$D:$AM, 10, FALSE), 1)</f>
        <v>1.2604845910299176E-2</v>
      </c>
      <c r="AB6" s="7">
        <f>$B6 * IFERROR(VLOOKUP("electricity|PM25|Asthma symptoms cough", US_national_yearly!$D:$AM, 36, FALSE) / VLOOKUP("electricity|PM25|Asthma symptoms cough", US_national_yearly!$D:$AM, 10, FALSE), 1)</f>
        <v>1.2604845910299176E-2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1.6974231402528798E-2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1.6974231402528798E-2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1.6974231402528798E-2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1.6974231402528798E-2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1.6974231402528798E-2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1.6974231402528798E-2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1.6974231402528798E-2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1.6974231402528798E-2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1.6974231402528798E-2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1.6974231402528798E-2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1.6974231402528798E-2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1.6974231402528798E-2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1.6974231402528798E-2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1.6974231402528798E-2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1.6974231402528798E-2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1.6974231402528798E-2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1.6974231402528798E-2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1.6974231402528798E-2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1.6974231402528798E-2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1.6974231402528798E-2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1.6974231402528798E-2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1.6974231402528798E-2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1.6974231402528798E-2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1.6974231402528798E-2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1.6974231402528798E-2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1.6974231402528798E-2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1.6974231402528798E-2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2.5933829617096789E-2</v>
      </c>
      <c r="C8" s="7">
        <f>$B8 * IFERROR(VLOOKUP("electricity|PM25|Asthma symptoms wheeze", US_national_yearly!$D:$AM, 11, FALSE) / VLOOKUP("electricity|PM25|Asthma symptoms wheeze", US_national_yearly!$D:$AM, 10, FALSE), 1)</f>
        <v>2.5933829617096789E-2</v>
      </c>
      <c r="D8" s="7">
        <f>$B8 * IFERROR(VLOOKUP("electricity|PM25|Asthma symptoms wheeze", US_national_yearly!$D:$AM, 12, FALSE) / VLOOKUP("electricity|PM25|Asthma symptoms wheeze", US_national_yearly!$D:$AM, 10, FALSE), 1)</f>
        <v>2.5933829617096789E-2</v>
      </c>
      <c r="E8" s="7">
        <f>$B8 * IFERROR(VLOOKUP("electricity|PM25|Asthma symptoms wheeze", US_national_yearly!$D:$AM, 13, FALSE) / VLOOKUP("electricity|PM25|Asthma symptoms wheeze", US_national_yearly!$D:$AM, 10, FALSE), 1)</f>
        <v>2.5933829617096789E-2</v>
      </c>
      <c r="F8" s="7">
        <f>$B8 * IFERROR(VLOOKUP("electricity|PM25|Asthma symptoms wheeze", US_national_yearly!$D:$AM, 14, FALSE) / VLOOKUP("electricity|PM25|Asthma symptoms wheeze", US_national_yearly!$D:$AM, 10, FALSE), 1)</f>
        <v>2.5933829617096789E-2</v>
      </c>
      <c r="G8" s="7">
        <f>$B8 * IFERROR(VLOOKUP("electricity|PM25|Asthma symptoms wheeze", US_national_yearly!$D:$AM, 15, FALSE) / VLOOKUP("electricity|PM25|Asthma symptoms wheeze", US_national_yearly!$D:$AM, 10, FALSE), 1)</f>
        <v>2.5933829617096789E-2</v>
      </c>
      <c r="H8" s="7">
        <f>$B8 * IFERROR(VLOOKUP("electricity|PM25|Asthma symptoms wheeze", US_national_yearly!$D:$AM, 16, FALSE) / VLOOKUP("electricity|PM25|Asthma symptoms wheeze", US_national_yearly!$D:$AM, 10, FALSE), 1)</f>
        <v>2.5933829617096789E-2</v>
      </c>
      <c r="I8" s="7">
        <f>$B8 * IFERROR(VLOOKUP("electricity|PM25|Asthma symptoms wheeze", US_national_yearly!$D:$AM, 17, FALSE) / VLOOKUP("electricity|PM25|Asthma symptoms wheeze", US_national_yearly!$D:$AM, 10, FALSE), 1)</f>
        <v>2.5933829617096789E-2</v>
      </c>
      <c r="J8" s="7">
        <f>$B8 * IFERROR(VLOOKUP("electricity|PM25|Asthma symptoms wheeze", US_national_yearly!$D:$AM, 18, FALSE) / VLOOKUP("electricity|PM25|Asthma symptoms wheeze", US_national_yearly!$D:$AM, 10, FALSE), 1)</f>
        <v>2.5933829617096789E-2</v>
      </c>
      <c r="K8" s="7">
        <f>$B8 * IFERROR(VLOOKUP("electricity|PM25|Asthma symptoms wheeze", US_national_yearly!$D:$AM, 19, FALSE) / VLOOKUP("electricity|PM25|Asthma symptoms wheeze", US_national_yearly!$D:$AM, 10, FALSE), 1)</f>
        <v>2.5933829617096789E-2</v>
      </c>
      <c r="L8" s="7">
        <f>$B8 * IFERROR(VLOOKUP("electricity|PM25|Asthma symptoms wheeze", US_national_yearly!$D:$AM, 20, FALSE) / VLOOKUP("electricity|PM25|Asthma symptoms wheeze", US_national_yearly!$D:$AM, 10, FALSE), 1)</f>
        <v>2.5933829617096789E-2</v>
      </c>
      <c r="M8" s="7">
        <f>$B8 * IFERROR(VLOOKUP("electricity|PM25|Asthma symptoms wheeze", US_national_yearly!$D:$AM, 21, FALSE) / VLOOKUP("electricity|PM25|Asthma symptoms wheeze", US_national_yearly!$D:$AM, 10, FALSE), 1)</f>
        <v>2.5933829617096789E-2</v>
      </c>
      <c r="N8" s="7">
        <f>$B8 * IFERROR(VLOOKUP("electricity|PM25|Asthma symptoms wheeze", US_national_yearly!$D:$AM, 22, FALSE) / VLOOKUP("electricity|PM25|Asthma symptoms wheeze", US_national_yearly!$D:$AM, 10, FALSE), 1)</f>
        <v>2.5933829617096789E-2</v>
      </c>
      <c r="O8" s="7">
        <f>$B8 * IFERROR(VLOOKUP("electricity|PM25|Asthma symptoms wheeze", US_national_yearly!$D:$AM, 23, FALSE) / VLOOKUP("electricity|PM25|Asthma symptoms wheeze", US_national_yearly!$D:$AM, 10, FALSE), 1)</f>
        <v>2.5933829617096789E-2</v>
      </c>
      <c r="P8" s="7">
        <f>$B8 * IFERROR(VLOOKUP("electricity|PM25|Asthma symptoms wheeze", US_national_yearly!$D:$AM, 24, FALSE) / VLOOKUP("electricity|PM25|Asthma symptoms wheeze", US_national_yearly!$D:$AM, 10, FALSE), 1)</f>
        <v>2.5933829617096789E-2</v>
      </c>
      <c r="Q8" s="7">
        <f>$B8 * IFERROR(VLOOKUP("electricity|PM25|Asthma symptoms wheeze", US_national_yearly!$D:$AM, 25, FALSE) / VLOOKUP("electricity|PM25|Asthma symptoms wheeze", US_national_yearly!$D:$AM, 10, FALSE), 1)</f>
        <v>2.5933829617096789E-2</v>
      </c>
      <c r="R8" s="7">
        <f>$B8 * IFERROR(VLOOKUP("electricity|PM25|Asthma symptoms wheeze", US_national_yearly!$D:$AM, 26, FALSE) / VLOOKUP("electricity|PM25|Asthma symptoms wheeze", US_national_yearly!$D:$AM, 10, FALSE), 1)</f>
        <v>2.5933829617096789E-2</v>
      </c>
      <c r="S8" s="7">
        <f>$B8 * IFERROR(VLOOKUP("electricity|PM25|Asthma symptoms wheeze", US_national_yearly!$D:$AM, 27, FALSE) / VLOOKUP("electricity|PM25|Asthma symptoms wheeze", US_national_yearly!$D:$AM, 10, FALSE), 1)</f>
        <v>2.5933829617096789E-2</v>
      </c>
      <c r="T8" s="7">
        <f>$B8 * IFERROR(VLOOKUP("electricity|PM25|Asthma symptoms wheeze", US_national_yearly!$D:$AM, 28, FALSE) / VLOOKUP("electricity|PM25|Asthma symptoms wheeze", US_national_yearly!$D:$AM, 10, FALSE), 1)</f>
        <v>2.5933829617096789E-2</v>
      </c>
      <c r="U8" s="7">
        <f>$B8 * IFERROR(VLOOKUP("electricity|PM25|Asthma symptoms wheeze", US_national_yearly!$D:$AM, 29, FALSE) / VLOOKUP("electricity|PM25|Asthma symptoms wheeze", US_national_yearly!$D:$AM, 10, FALSE), 1)</f>
        <v>2.5933829617096789E-2</v>
      </c>
      <c r="V8" s="7">
        <f>$B8 * IFERROR(VLOOKUP("electricity|PM25|Asthma symptoms wheeze", US_national_yearly!$D:$AM, 30, FALSE) / VLOOKUP("electricity|PM25|Asthma symptoms wheeze", US_national_yearly!$D:$AM, 10, FALSE), 1)</f>
        <v>2.5933829617096789E-2</v>
      </c>
      <c r="W8" s="7">
        <f>$B8 * IFERROR(VLOOKUP("electricity|PM25|Asthma symptoms wheeze", US_national_yearly!$D:$AM, 31, FALSE) / VLOOKUP("electricity|PM25|Asthma symptoms wheeze", US_national_yearly!$D:$AM, 10, FALSE), 1)</f>
        <v>2.5933829617096789E-2</v>
      </c>
      <c r="X8" s="7">
        <f>$B8 * IFERROR(VLOOKUP("electricity|PM25|Asthma symptoms wheeze", US_national_yearly!$D:$AM, 32, FALSE) / VLOOKUP("electricity|PM25|Asthma symptoms wheeze", US_national_yearly!$D:$AM, 10, FALSE), 1)</f>
        <v>2.5933829617096789E-2</v>
      </c>
      <c r="Y8" s="7">
        <f>$B8 * IFERROR(VLOOKUP("electricity|PM25|Asthma symptoms wheeze", US_national_yearly!$D:$AM, 33, FALSE) / VLOOKUP("electricity|PM25|Asthma symptoms wheeze", US_national_yearly!$D:$AM, 10, FALSE), 1)</f>
        <v>2.5933829617096789E-2</v>
      </c>
      <c r="Z8" s="7">
        <f>$B8 * IFERROR(VLOOKUP("electricity|PM25|Asthma symptoms wheeze", US_national_yearly!$D:$AM, 34, FALSE) / VLOOKUP("electricity|PM25|Asthma symptoms wheeze", US_national_yearly!$D:$AM, 10, FALSE), 1)</f>
        <v>2.5933829617096789E-2</v>
      </c>
      <c r="AA8" s="7">
        <f>$B8 * IFERROR(VLOOKUP("electricity|PM25|Asthma symptoms wheeze", US_national_yearly!$D:$AM, 35, FALSE) / VLOOKUP("electricity|PM25|Asthma symptoms wheeze", US_national_yearly!$D:$AM, 10, FALSE), 1)</f>
        <v>2.5933829617096789E-2</v>
      </c>
      <c r="AB8" s="7">
        <f>$B8 * IFERROR(VLOOKUP("electricity|PM25|Asthma symptoms wheeze", US_national_yearly!$D:$AM, 36, FALSE) / VLOOKUP("electricity|PM25|Asthma symptoms wheeze", US_national_yearly!$D:$AM, 10, FALSE), 1)</f>
        <v>2.5933829617096789E-2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2.7249641246600271E-4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2.7399401957478109E-4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2.7549162668355937E-4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2.7698923379233781E-4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2.7848684090111614E-4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2.8009223890946525E-4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2.8169763691781436E-4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2.8313189603254633E-4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2.8456615514727826E-4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2.8600041426201018E-4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2.874346733767421E-4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2.8886893249147408E-4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2.8983639119394076E-4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2.9080384989640744E-4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2.9177130859887418E-4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2.9273876730134081E-4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2.9370622600380754E-4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2.9460776221362225E-4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2.9550929842343685E-4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2.9641083463325155E-4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2.973123708430662E-4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2.982139070528808E-4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2.9910535467988797E-4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2.9999680230689504E-4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3.008882499339021E-4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3.0177969756090922E-4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3.0267114518791634E-4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1.4582784985656572E-3</v>
      </c>
      <c r="C13" s="7">
        <f>$B13 * IFERROR(VLOOKUP("electricity|PM25|Non-fatal heart attacks", US_national_yearly!$D:$AM, 11, FALSE) / VLOOKUP("electricity|PM25|Non-fatal heart attacks", US_national_yearly!$D:$AM, 10, FALSE), 1)</f>
        <v>1.5005172754440988E-3</v>
      </c>
      <c r="D13" s="7">
        <f>$B13 * IFERROR(VLOOKUP("electricity|PM25|Non-fatal heart attacks", US_national_yearly!$D:$AM, 12, FALSE) / VLOOKUP("electricity|PM25|Non-fatal heart attacks", US_national_yearly!$D:$AM, 10, FALSE), 1)</f>
        <v>1.5427560523225406E-3</v>
      </c>
      <c r="E13" s="7">
        <f>$B13 * IFERROR(VLOOKUP("electricity|PM25|Non-fatal heart attacks", US_national_yearly!$D:$AM, 13, FALSE) / VLOOKUP("electricity|PM25|Non-fatal heart attacks", US_national_yearly!$D:$AM, 10, FALSE), 1)</f>
        <v>1.5849948292009817E-3</v>
      </c>
      <c r="F13" s="7">
        <f>$B13 * IFERROR(VLOOKUP("electricity|PM25|Non-fatal heart attacks", US_national_yearly!$D:$AM, 14, FALSE) / VLOOKUP("electricity|PM25|Non-fatal heart attacks", US_national_yearly!$D:$AM, 10, FALSE), 1)</f>
        <v>1.6272336060794235E-3</v>
      </c>
      <c r="G13" s="7">
        <f>$B13 * IFERROR(VLOOKUP("electricity|PM25|Non-fatal heart attacks", US_national_yearly!$D:$AM, 15, FALSE) / VLOOKUP("electricity|PM25|Non-fatal heart attacks", US_national_yearly!$D:$AM, 10, FALSE), 1)</f>
        <v>1.6673252590364911E-3</v>
      </c>
      <c r="H13" s="7">
        <f>$B13 * IFERROR(VLOOKUP("electricity|PM25|Non-fatal heart attacks", US_national_yearly!$D:$AM, 16, FALSE) / VLOOKUP("electricity|PM25|Non-fatal heart attacks", US_national_yearly!$D:$AM, 10, FALSE), 1)</f>
        <v>1.7074169119935586E-3</v>
      </c>
      <c r="I13" s="7">
        <f>$B13 * IFERROR(VLOOKUP("electricity|PM25|Non-fatal heart attacks", US_national_yearly!$D:$AM, 17, FALSE) / VLOOKUP("electricity|PM25|Non-fatal heart attacks", US_national_yearly!$D:$AM, 10, FALSE), 1)</f>
        <v>1.7401269677627413E-3</v>
      </c>
      <c r="J13" s="7">
        <f>$B13 * IFERROR(VLOOKUP("electricity|PM25|Non-fatal heart attacks", US_national_yearly!$D:$AM, 18, FALSE) / VLOOKUP("electricity|PM25|Non-fatal heart attacks", US_national_yearly!$D:$AM, 10, FALSE), 1)</f>
        <v>1.772837023531924E-3</v>
      </c>
      <c r="K13" s="7">
        <f>$B13 * IFERROR(VLOOKUP("electricity|PM25|Non-fatal heart attacks", US_national_yearly!$D:$AM, 19, FALSE) / VLOOKUP("electricity|PM25|Non-fatal heart attacks", US_national_yearly!$D:$AM, 10, FALSE), 1)</f>
        <v>1.8055470793011063E-3</v>
      </c>
      <c r="L13" s="7">
        <f>$B13 * IFERROR(VLOOKUP("electricity|PM25|Non-fatal heart attacks", US_national_yearly!$D:$AM, 20, FALSE) / VLOOKUP("electricity|PM25|Non-fatal heart attacks", US_national_yearly!$D:$AM, 10, FALSE), 1)</f>
        <v>1.8382571350702885E-3</v>
      </c>
      <c r="M13" s="7">
        <f>$B13 * IFERROR(VLOOKUP("electricity|PM25|Non-fatal heart attacks", US_national_yearly!$D:$AM, 21, FALSE) / VLOOKUP("electricity|PM25|Non-fatal heart attacks", US_national_yearly!$D:$AM, 10, FALSE), 1)</f>
        <v>1.8709671908394717E-3</v>
      </c>
      <c r="N13" s="7">
        <f>$B13 * IFERROR(VLOOKUP("electricity|PM25|Non-fatal heart attacks", US_national_yearly!$D:$AM, 22, FALSE) / VLOOKUP("electricity|PM25|Non-fatal heart attacks", US_national_yearly!$D:$AM, 10, FALSE), 1)</f>
        <v>1.8921917943998776E-3</v>
      </c>
      <c r="O13" s="7">
        <f>$B13 * IFERROR(VLOOKUP("electricity|PM25|Non-fatal heart attacks", US_national_yearly!$D:$AM, 23, FALSE) / VLOOKUP("electricity|PM25|Non-fatal heart attacks", US_national_yearly!$D:$AM, 10, FALSE), 1)</f>
        <v>1.9134163979602835E-3</v>
      </c>
      <c r="P13" s="7">
        <f>$B13 * IFERROR(VLOOKUP("electricity|PM25|Non-fatal heart attacks", US_national_yearly!$D:$AM, 24, FALSE) / VLOOKUP("electricity|PM25|Non-fatal heart attacks", US_national_yearly!$D:$AM, 10, FALSE), 1)</f>
        <v>1.9346410015206889E-3</v>
      </c>
      <c r="Q13" s="7">
        <f>$B13 * IFERROR(VLOOKUP("electricity|PM25|Non-fatal heart attacks", US_national_yearly!$D:$AM, 25, FALSE) / VLOOKUP("electricity|PM25|Non-fatal heart attacks", US_national_yearly!$D:$AM, 10, FALSE), 1)</f>
        <v>1.9558656050810948E-3</v>
      </c>
      <c r="R13" s="7">
        <f>$B13 * IFERROR(VLOOKUP("electricity|PM25|Non-fatal heart attacks", US_national_yearly!$D:$AM, 26, FALSE) / VLOOKUP("electricity|PM25|Non-fatal heart attacks", US_national_yearly!$D:$AM, 10, FALSE), 1)</f>
        <v>1.9770902086415007E-3</v>
      </c>
      <c r="S13" s="7">
        <f>$B13 * IFERROR(VLOOKUP("electricity|PM25|Non-fatal heart attacks", US_national_yearly!$D:$AM, 27, FALSE) / VLOOKUP("electricity|PM25|Non-fatal heart attacks", US_national_yearly!$D:$AM, 10, FALSE), 1)</f>
        <v>1.9887748981658321E-3</v>
      </c>
      <c r="T13" s="7">
        <f>$B13 * IFERROR(VLOOKUP("electricity|PM25|Non-fatal heart attacks", US_national_yearly!$D:$AM, 28, FALSE) / VLOOKUP("electricity|PM25|Non-fatal heart attacks", US_national_yearly!$D:$AM, 10, FALSE), 1)</f>
        <v>2.0004595876901639E-3</v>
      </c>
      <c r="U13" s="7">
        <f>$B13 * IFERROR(VLOOKUP("electricity|PM25|Non-fatal heart attacks", US_national_yearly!$D:$AM, 29, FALSE) / VLOOKUP("electricity|PM25|Non-fatal heart attacks", US_national_yearly!$D:$AM, 10, FALSE), 1)</f>
        <v>2.0121442772144953E-3</v>
      </c>
      <c r="V13" s="7">
        <f>$B13 * IFERROR(VLOOKUP("electricity|PM25|Non-fatal heart attacks", US_national_yearly!$D:$AM, 30, FALSE) / VLOOKUP("electricity|PM25|Non-fatal heart attacks", US_national_yearly!$D:$AM, 10, FALSE), 1)</f>
        <v>2.0238289667388267E-3</v>
      </c>
      <c r="W13" s="7">
        <f>$B13 * IFERROR(VLOOKUP("electricity|PM25|Non-fatal heart attacks", US_national_yearly!$D:$AM, 31, FALSE) / VLOOKUP("electricity|PM25|Non-fatal heart attacks", US_national_yearly!$D:$AM, 10, FALSE), 1)</f>
        <v>2.0355136562631585E-3</v>
      </c>
      <c r="X13" s="7">
        <f>$B13 * IFERROR(VLOOKUP("electricity|PM25|Non-fatal heart attacks", US_national_yearly!$D:$AM, 32, FALSE) / VLOOKUP("electricity|PM25|Non-fatal heart attacks", US_national_yearly!$D:$AM, 10, FALSE), 1)</f>
        <v>2.0446547733276015E-3</v>
      </c>
      <c r="Y13" s="7">
        <f>$B13 * IFERROR(VLOOKUP("electricity|PM25|Non-fatal heart attacks", US_national_yearly!$D:$AM, 33, FALSE) / VLOOKUP("electricity|PM25|Non-fatal heart attacks", US_national_yearly!$D:$AM, 10, FALSE), 1)</f>
        <v>2.0537958903920446E-3</v>
      </c>
      <c r="Z13" s="7">
        <f>$B13 * IFERROR(VLOOKUP("electricity|PM25|Non-fatal heart attacks", US_national_yearly!$D:$AM, 34, FALSE) / VLOOKUP("electricity|PM25|Non-fatal heart attacks", US_national_yearly!$D:$AM, 10, FALSE), 1)</f>
        <v>2.0629370074564876E-3</v>
      </c>
      <c r="AA13" s="7">
        <f>$B13 * IFERROR(VLOOKUP("electricity|PM25|Non-fatal heart attacks", US_national_yearly!$D:$AM, 35, FALSE) / VLOOKUP("electricity|PM25|Non-fatal heart attacks", US_national_yearly!$D:$AM, 10, FALSE), 1)</f>
        <v>2.0720781245209311E-3</v>
      </c>
      <c r="AB13" s="7">
        <f>$B13 * IFERROR(VLOOKUP("electricity|PM25|Non-fatal heart attacks", US_national_yearly!$D:$AM, 36, FALSE) / VLOOKUP("electricity|PM25|Non-fatal heart attacks", US_national_yearly!$D:$AM, 10, FALSE), 1)</f>
        <v>2.0812192415853741E-3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1.3713299264124266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1.3743741866715513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1.3774184469306765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1.3804627071898012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1.3835069674489264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1.3880242969233232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1.3925416263977202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1.4005180001673707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1.4084943739370217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1.4164707477066723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1.424447121476323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1.4324234952459736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1.4434890260819628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1.4545545569179523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1.4656200877539416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1.4766856185899311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1.4877511494259203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1.4989121260762595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1.5100731027265983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1.5212340793769372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1.5323950560272763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1.5435560326776152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1.5531233192978002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1.5626906059179857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1.5722578925381709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1.5818251791583557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1.5913924657785414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0.23245453603014984</v>
      </c>
      <c r="C15" s="7">
        <f>$B15 * IFERROR(VLOOKUP("electricity|PM25|Work loss days", US_national_yearly!$D:$AM, 11, FALSE) / VLOOKUP("electricity|PM25|Work loss days", US_national_yearly!$D:$AM, 10, FALSE), 1)</f>
        <v>0.23311971812200633</v>
      </c>
      <c r="D15" s="7">
        <f>$B15 * IFERROR(VLOOKUP("electricity|PM25|Work loss days", US_national_yearly!$D:$AM, 12, FALSE) / VLOOKUP("electricity|PM25|Work loss days", US_national_yearly!$D:$AM, 10, FALSE), 1)</f>
        <v>0.23378490021386286</v>
      </c>
      <c r="E15" s="7">
        <f>$B15 * IFERROR(VLOOKUP("electricity|PM25|Work loss days", US_national_yearly!$D:$AM, 13, FALSE) / VLOOKUP("electricity|PM25|Work loss days", US_national_yearly!$D:$AM, 10, FALSE), 1)</f>
        <v>0.23445008230571937</v>
      </c>
      <c r="F15" s="7">
        <f>$B15 * IFERROR(VLOOKUP("electricity|PM25|Work loss days", US_national_yearly!$D:$AM, 14, FALSE) / VLOOKUP("electricity|PM25|Work loss days", US_national_yearly!$D:$AM, 10, FALSE), 1)</f>
        <v>0.23511526439757585</v>
      </c>
      <c r="G15" s="7">
        <f>$B15 * IFERROR(VLOOKUP("electricity|PM25|Work loss days", US_national_yearly!$D:$AM, 15, FALSE) / VLOOKUP("electricity|PM25|Work loss days", US_national_yearly!$D:$AM, 10, FALSE), 1)</f>
        <v>0.2359769736505557</v>
      </c>
      <c r="H15" s="7">
        <f>$B15 * IFERROR(VLOOKUP("electricity|PM25|Work loss days", US_national_yearly!$D:$AM, 16, FALSE) / VLOOKUP("electricity|PM25|Work loss days", US_national_yearly!$D:$AM, 10, FALSE), 1)</f>
        <v>0.23683868290353557</v>
      </c>
      <c r="I15" s="7">
        <f>$B15 * IFERROR(VLOOKUP("electricity|PM25|Work loss days", US_national_yearly!$D:$AM, 17, FALSE) / VLOOKUP("electricity|PM25|Work loss days", US_national_yearly!$D:$AM, 10, FALSE), 1)</f>
        <v>0.23813411562067455</v>
      </c>
      <c r="J15" s="7">
        <f>$B15 * IFERROR(VLOOKUP("electricity|PM25|Work loss days", US_national_yearly!$D:$AM, 18, FALSE) / VLOOKUP("electricity|PM25|Work loss days", US_national_yearly!$D:$AM, 10, FALSE), 1)</f>
        <v>0.23942954833781346</v>
      </c>
      <c r="K15" s="7">
        <f>$B15 * IFERROR(VLOOKUP("electricity|PM25|Work loss days", US_national_yearly!$D:$AM, 19, FALSE) / VLOOKUP("electricity|PM25|Work loss days", US_national_yearly!$D:$AM, 10, FALSE), 1)</f>
        <v>0.24072498105495244</v>
      </c>
      <c r="L15" s="7">
        <f>$B15 * IFERROR(VLOOKUP("electricity|PM25|Work loss days", US_national_yearly!$D:$AM, 20, FALSE) / VLOOKUP("electricity|PM25|Work loss days", US_national_yearly!$D:$AM, 10, FALSE), 1)</f>
        <v>0.24202041377209141</v>
      </c>
      <c r="M15" s="7">
        <f>$B15 * IFERROR(VLOOKUP("electricity|PM25|Work loss days", US_national_yearly!$D:$AM, 21, FALSE) / VLOOKUP("electricity|PM25|Work loss days", US_national_yearly!$D:$AM, 10, FALSE), 1)</f>
        <v>0.24331584648923038</v>
      </c>
      <c r="N15" s="7">
        <f>$B15 * IFERROR(VLOOKUP("electricity|PM25|Work loss days", US_national_yearly!$D:$AM, 22, FALSE) / VLOOKUP("electricity|PM25|Work loss days", US_national_yearly!$D:$AM, 10, FALSE), 1)</f>
        <v>0.2449883400592032</v>
      </c>
      <c r="O15" s="7">
        <f>$B15 * IFERROR(VLOOKUP("electricity|PM25|Work loss days", US_national_yearly!$D:$AM, 23, FALSE) / VLOOKUP("electricity|PM25|Work loss days", US_national_yearly!$D:$AM, 10, FALSE), 1)</f>
        <v>0.24666083362917601</v>
      </c>
      <c r="P15" s="7">
        <f>$B15 * IFERROR(VLOOKUP("electricity|PM25|Work loss days", US_national_yearly!$D:$AM, 24, FALSE) / VLOOKUP("electricity|PM25|Work loss days", US_national_yearly!$D:$AM, 10, FALSE), 1)</f>
        <v>0.24833332719914877</v>
      </c>
      <c r="Q15" s="7">
        <f>$B15 * IFERROR(VLOOKUP("electricity|PM25|Work loss days", US_national_yearly!$D:$AM, 25, FALSE) / VLOOKUP("electricity|PM25|Work loss days", US_national_yearly!$D:$AM, 10, FALSE), 1)</f>
        <v>0.25000582076912153</v>
      </c>
      <c r="R15" s="7">
        <f>$B15 * IFERROR(VLOOKUP("electricity|PM25|Work loss days", US_national_yearly!$D:$AM, 26, FALSE) / VLOOKUP("electricity|PM25|Work loss days", US_national_yearly!$D:$AM, 10, FALSE), 1)</f>
        <v>0.25167831433909438</v>
      </c>
      <c r="S15" s="7">
        <f>$B15 * IFERROR(VLOOKUP("electricity|PM25|Work loss days", US_national_yearly!$D:$AM, 27, FALSE) / VLOOKUP("electricity|PM25|Work loss days", US_national_yearly!$D:$AM, 10, FALSE), 1)</f>
        <v>0.25353419161912349</v>
      </c>
      <c r="T15" s="7">
        <f>$B15 * IFERROR(VLOOKUP("electricity|PM25|Work loss days", US_national_yearly!$D:$AM, 28, FALSE) / VLOOKUP("electricity|PM25|Work loss days", US_national_yearly!$D:$AM, 10, FALSE), 1)</f>
        <v>0.25539006889915267</v>
      </c>
      <c r="U15" s="7">
        <f>$B15 * IFERROR(VLOOKUP("electricity|PM25|Work loss days", US_national_yearly!$D:$AM, 29, FALSE) / VLOOKUP("electricity|PM25|Work loss days", US_national_yearly!$D:$AM, 10, FALSE), 1)</f>
        <v>0.25724594617918178</v>
      </c>
      <c r="V15" s="7">
        <f>$B15 * IFERROR(VLOOKUP("electricity|PM25|Work loss days", US_national_yearly!$D:$AM, 30, FALSE) / VLOOKUP("electricity|PM25|Work loss days", US_national_yearly!$D:$AM, 10, FALSE), 1)</f>
        <v>0.25910182345921096</v>
      </c>
      <c r="W15" s="7">
        <f>$B15 * IFERROR(VLOOKUP("electricity|PM25|Work loss days", US_national_yearly!$D:$AM, 31, FALSE) / VLOOKUP("electricity|PM25|Work loss days", US_national_yearly!$D:$AM, 10, FALSE), 1)</f>
        <v>0.26095770073924007</v>
      </c>
      <c r="X15" s="7">
        <f>$B15 * IFERROR(VLOOKUP("electricity|PM25|Work loss days", US_national_yearly!$D:$AM, 32, FALSE) / VLOOKUP("electricity|PM25|Work loss days", US_national_yearly!$D:$AM, 10, FALSE), 1)</f>
        <v>0.26259488902273792</v>
      </c>
      <c r="Y15" s="7">
        <f>$B15 * IFERROR(VLOOKUP("electricity|PM25|Work loss days", US_national_yearly!$D:$AM, 33, FALSE) / VLOOKUP("electricity|PM25|Work loss days", US_national_yearly!$D:$AM, 10, FALSE), 1)</f>
        <v>0.2642320773062356</v>
      </c>
      <c r="Z15" s="7">
        <f>$B15 * IFERROR(VLOOKUP("electricity|PM25|Work loss days", US_national_yearly!$D:$AM, 34, FALSE) / VLOOKUP("electricity|PM25|Work loss days", US_national_yearly!$D:$AM, 10, FALSE), 1)</f>
        <v>0.26586926558973339</v>
      </c>
      <c r="AA15" s="7">
        <f>$B15 * IFERROR(VLOOKUP("electricity|PM25|Work loss days", US_national_yearly!$D:$AM, 35, FALSE) / VLOOKUP("electricity|PM25|Work loss days", US_national_yearly!$D:$AM, 10, FALSE), 1)</f>
        <v>0.26750645387323124</v>
      </c>
      <c r="AB15" s="7">
        <f>$B15 * IFERROR(VLOOKUP("electricity|PM25|Work loss days", US_national_yearly!$D:$AM, 36, FALSE) / VLOOKUP("electricity|PM25|Work loss days", US_national_yearly!$D:$AM, 10, FALSE), 1)</f>
        <v>0.26914364215672898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3.0530843788023458E-4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3.1436843804192872E-4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3.2342843820362286E-4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3.3248843836531701E-4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3.4154843852701109E-4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3.5028679462735177E-4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3.5902515072769238E-4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3.6659500927079496E-4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3.7416486781389747E-4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3.8173472635699994E-4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3.8930458490010251E-4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3.9687444344320498E-4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4.0196307586228469E-4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4.0705170828136435E-4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4.1214034070044401E-4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4.1722897311952372E-4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4.2231760553860338E-4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4.2512602856308799E-4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4.279344515875725E-4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4.3074287461205717E-4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4.3355129763654173E-4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4.3635972066102634E-4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4.3831902865421702E-4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4.4027833664740765E-4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4.4223764464059834E-4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4.4419695263378913E-4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4.4615626062697981E-4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1.5783957883222635E-4</v>
      </c>
      <c r="C2" s="7">
        <f>$B2 * IFERROR(VLOOKUP("electricity|NOx|Premature mortality", US_national_yearly!$D:$AM, 11, FALSE) / VLOOKUP("electricity|NOx|Premature mortality", US_national_yearly!$D:$AM, 10, FALSE), 1)</f>
        <v>1.602277916840831E-4</v>
      </c>
      <c r="D2" s="7">
        <f>$B2 * IFERROR(VLOOKUP("electricity|NOx|Premature mortality", US_national_yearly!$D:$AM, 12, FALSE) / VLOOKUP("electricity|NOx|Premature mortality", US_national_yearly!$D:$AM, 10, FALSE), 1)</f>
        <v>1.6261600453593988E-4</v>
      </c>
      <c r="E2" s="7">
        <f>$B2 * IFERROR(VLOOKUP("electricity|NOx|Premature mortality", US_national_yearly!$D:$AM, 13, FALSE) / VLOOKUP("electricity|NOx|Premature mortality", US_national_yearly!$D:$AM, 10, FALSE), 1)</f>
        <v>1.6500421738779663E-4</v>
      </c>
      <c r="F2" s="7">
        <f>$B2 * IFERROR(VLOOKUP("electricity|NOx|Premature mortality", US_national_yearly!$D:$AM, 14, FALSE) / VLOOKUP("electricity|NOx|Premature mortality", US_national_yearly!$D:$AM, 10, FALSE), 1)</f>
        <v>1.6739243023965338E-4</v>
      </c>
      <c r="G2" s="7">
        <f>$B2 * IFERROR(VLOOKUP("electricity|NOx|Premature mortality", US_national_yearly!$D:$AM, 15, FALSE) / VLOOKUP("electricity|NOx|Premature mortality", US_national_yearly!$D:$AM, 10, FALSE), 1)</f>
        <v>1.7165865795141101E-4</v>
      </c>
      <c r="H2" s="7">
        <f>$B2 * IFERROR(VLOOKUP("electricity|NOx|Premature mortality", US_national_yearly!$D:$AM, 16, FALSE) / VLOOKUP("electricity|NOx|Premature mortality", US_national_yearly!$D:$AM, 10, FALSE), 1)</f>
        <v>1.7592488566316858E-4</v>
      </c>
      <c r="I2" s="7">
        <f>$B2 * IFERROR(VLOOKUP("electricity|NOx|Premature mortality", US_national_yearly!$D:$AM, 17, FALSE) / VLOOKUP("electricity|NOx|Premature mortality", US_national_yearly!$D:$AM, 10, FALSE), 1)</f>
        <v>1.7875996921209186E-4</v>
      </c>
      <c r="J2" s="7">
        <f>$B2 * IFERROR(VLOOKUP("electricity|NOx|Premature mortality", US_national_yearly!$D:$AM, 18, FALSE) / VLOOKUP("electricity|NOx|Premature mortality", US_national_yearly!$D:$AM, 10, FALSE), 1)</f>
        <v>1.8159505276101517E-4</v>
      </c>
      <c r="K2" s="7">
        <f>$B2 * IFERROR(VLOOKUP("electricity|NOx|Premature mortality", US_national_yearly!$D:$AM, 19, FALSE) / VLOOKUP("electricity|NOx|Premature mortality", US_national_yearly!$D:$AM, 10, FALSE), 1)</f>
        <v>1.8443013630993846E-4</v>
      </c>
      <c r="L2" s="7">
        <f>$B2 * IFERROR(VLOOKUP("electricity|NOx|Premature mortality", US_national_yearly!$D:$AM, 20, FALSE) / VLOOKUP("electricity|NOx|Premature mortality", US_national_yearly!$D:$AM, 10, FALSE), 1)</f>
        <v>1.8726521985886171E-4</v>
      </c>
      <c r="M2" s="7">
        <f>$B2 * IFERROR(VLOOKUP("electricity|NOx|Premature mortality", US_national_yearly!$D:$AM, 21, FALSE) / VLOOKUP("electricity|NOx|Premature mortality", US_national_yearly!$D:$AM, 10, FALSE), 1)</f>
        <v>1.9010030340778499E-4</v>
      </c>
      <c r="N2" s="7">
        <f>$B2 * IFERROR(VLOOKUP("electricity|NOx|Premature mortality", US_national_yearly!$D:$AM, 22, FALSE) / VLOOKUP("electricity|NOx|Premature mortality", US_national_yearly!$D:$AM, 10, FALSE), 1)</f>
        <v>1.9228789811528963E-4</v>
      </c>
      <c r="O2" s="7">
        <f>$B2 * IFERROR(VLOOKUP("electricity|NOx|Premature mortality", US_national_yearly!$D:$AM, 23, FALSE) / VLOOKUP("electricity|NOx|Premature mortality", US_national_yearly!$D:$AM, 10, FALSE), 1)</f>
        <v>1.9447549282279432E-4</v>
      </c>
      <c r="P2" s="7">
        <f>$B2 * IFERROR(VLOOKUP("electricity|NOx|Premature mortality", US_national_yearly!$D:$AM, 24, FALSE) / VLOOKUP("electricity|NOx|Premature mortality", US_national_yearly!$D:$AM, 10, FALSE), 1)</f>
        <v>1.9666308753029895E-4</v>
      </c>
      <c r="Q2" s="7">
        <f>$B2 * IFERROR(VLOOKUP("electricity|NOx|Premature mortality", US_national_yearly!$D:$AM, 25, FALSE) / VLOOKUP("electricity|NOx|Premature mortality", US_national_yearly!$D:$AM, 10, FALSE), 1)</f>
        <v>1.9885068223780361E-4</v>
      </c>
      <c r="R2" s="7">
        <f>$B2 * IFERROR(VLOOKUP("electricity|NOx|Premature mortality", US_national_yearly!$D:$AM, 26, FALSE) / VLOOKUP("electricity|NOx|Premature mortality", US_national_yearly!$D:$AM, 10, FALSE), 1)</f>
        <v>2.0103827694530825E-4</v>
      </c>
      <c r="S2" s="7">
        <f>$B2 * IFERROR(VLOOKUP("electricity|NOx|Premature mortality", US_national_yearly!$D:$AM, 27, FALSE) / VLOOKUP("electricity|NOx|Premature mortality", US_national_yearly!$D:$AM, 10, FALSE), 1)</f>
        <v>2.0216869872680931E-4</v>
      </c>
      <c r="T2" s="7">
        <f>$B2 * IFERROR(VLOOKUP("electricity|NOx|Premature mortality", US_national_yearly!$D:$AM, 28, FALSE) / VLOOKUP("electricity|NOx|Premature mortality", US_national_yearly!$D:$AM, 10, FALSE), 1)</f>
        <v>2.0329912050831038E-4</v>
      </c>
      <c r="U2" s="7">
        <f>$B2 * IFERROR(VLOOKUP("electricity|NOx|Premature mortality", US_national_yearly!$D:$AM, 29, FALSE) / VLOOKUP("electricity|NOx|Premature mortality", US_national_yearly!$D:$AM, 10, FALSE), 1)</f>
        <v>2.0442954228981153E-4</v>
      </c>
      <c r="V2" s="7">
        <f>$B2 * IFERROR(VLOOKUP("electricity|NOx|Premature mortality", US_national_yearly!$D:$AM, 30, FALSE) / VLOOKUP("electricity|NOx|Premature mortality", US_national_yearly!$D:$AM, 10, FALSE), 1)</f>
        <v>2.055599640713126E-4</v>
      </c>
      <c r="W2" s="7">
        <f>$B2 * IFERROR(VLOOKUP("electricity|NOx|Premature mortality", US_national_yearly!$D:$AM, 31, FALSE) / VLOOKUP("electricity|NOx|Premature mortality", US_national_yearly!$D:$AM, 10, FALSE), 1)</f>
        <v>2.0669038585281369E-4</v>
      </c>
      <c r="X2" s="7">
        <f>$B2 * IFERROR(VLOOKUP("electricity|NOx|Premature mortality", US_national_yearly!$D:$AM, 32, FALSE) / VLOOKUP("electricity|NOx|Premature mortality", US_national_yearly!$D:$AM, 10, FALSE), 1)</f>
        <v>2.0694612237776369E-4</v>
      </c>
      <c r="Y2" s="7">
        <f>$B2 * IFERROR(VLOOKUP("electricity|NOx|Premature mortality", US_national_yearly!$D:$AM, 33, FALSE) / VLOOKUP("electricity|NOx|Premature mortality", US_national_yearly!$D:$AM, 10, FALSE), 1)</f>
        <v>2.0720185890271372E-4</v>
      </c>
      <c r="Z2" s="7">
        <f>$B2 * IFERROR(VLOOKUP("electricity|NOx|Premature mortality", US_national_yearly!$D:$AM, 34, FALSE) / VLOOKUP("electricity|NOx|Premature mortality", US_national_yearly!$D:$AM, 10, FALSE), 1)</f>
        <v>2.0745759542766375E-4</v>
      </c>
      <c r="AA2" s="7">
        <f>$B2 * IFERROR(VLOOKUP("electricity|NOx|Premature mortality", US_national_yearly!$D:$AM, 35, FALSE) / VLOOKUP("electricity|NOx|Premature mortality", US_national_yearly!$D:$AM, 10, FALSE), 1)</f>
        <v>2.0771333195261372E-4</v>
      </c>
      <c r="AB2" s="7">
        <f>$B2 * IFERROR(VLOOKUP("electricity|NOx|Premature mortality", US_national_yearly!$D:$AM, 36, FALSE) / VLOOKUP("electricity|NOx|Premature mortality", US_national_yearly!$D:$AM, 10, FALSE), 1)</f>
        <v>2.0796906847756375E-4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3.9566522132301561E-7</v>
      </c>
      <c r="C3" s="7">
        <f>$B3 * IFERROR(VLOOKUP("electricity|NOx|Infant mortality", US_national_yearly!$D:$AM, 11, FALSE) / VLOOKUP("electricity|NOx|Infant mortality", US_national_yearly!$D:$AM, 10, FALSE), 1)</f>
        <v>3.9196354711361938E-7</v>
      </c>
      <c r="D3" s="7">
        <f>$B3 * IFERROR(VLOOKUP("electricity|NOx|Infant mortality", US_national_yearly!$D:$AM, 12, FALSE) / VLOOKUP("electricity|NOx|Infant mortality", US_national_yearly!$D:$AM, 10, FALSE), 1)</f>
        <v>3.8826187290422305E-7</v>
      </c>
      <c r="E3" s="7">
        <f>$B3 * IFERROR(VLOOKUP("electricity|NOx|Infant mortality", US_national_yearly!$D:$AM, 13, FALSE) / VLOOKUP("electricity|NOx|Infant mortality", US_national_yearly!$D:$AM, 10, FALSE), 1)</f>
        <v>3.8456019869482687E-7</v>
      </c>
      <c r="F3" s="7">
        <f>$B3 * IFERROR(VLOOKUP("electricity|NOx|Infant mortality", US_national_yearly!$D:$AM, 14, FALSE) / VLOOKUP("electricity|NOx|Infant mortality", US_national_yearly!$D:$AM, 10, FALSE), 1)</f>
        <v>3.8085852448543054E-7</v>
      </c>
      <c r="G3" s="7">
        <f>$B3 * IFERROR(VLOOKUP("electricity|NOx|Infant mortality", US_national_yearly!$D:$AM, 15, FALSE) / VLOOKUP("electricity|NOx|Infant mortality", US_national_yearly!$D:$AM, 10, FALSE), 1)</f>
        <v>2.5233764157956367E-7</v>
      </c>
      <c r="H3" s="7">
        <f>$B3 * IFERROR(VLOOKUP("electricity|NOx|Infant mortality", US_national_yearly!$D:$AM, 16, FALSE) / VLOOKUP("electricity|NOx|Infant mortality", US_national_yearly!$D:$AM, 10, FALSE), 1)</f>
        <v>1.2381675867369684E-7</v>
      </c>
      <c r="I3" s="7">
        <f>$B3 * IFERROR(VLOOKUP("electricity|NOx|Infant mortality", US_national_yearly!$D:$AM, 17, FALSE) / VLOOKUP("electricity|NOx|Infant mortality", US_national_yearly!$D:$AM, 10, FALSE), 1)</f>
        <v>1.2291629554393999E-7</v>
      </c>
      <c r="J3" s="7">
        <f>$B3 * IFERROR(VLOOKUP("electricity|NOx|Infant mortality", US_national_yearly!$D:$AM, 18, FALSE) / VLOOKUP("electricity|NOx|Infant mortality", US_national_yearly!$D:$AM, 10, FALSE), 1)</f>
        <v>1.2201583241418315E-7</v>
      </c>
      <c r="K3" s="7">
        <f>$B3 * IFERROR(VLOOKUP("electricity|NOx|Infant mortality", US_national_yearly!$D:$AM, 19, FALSE) / VLOOKUP("electricity|NOx|Infant mortality", US_national_yearly!$D:$AM, 10, FALSE), 1)</f>
        <v>1.211153692844263E-7</v>
      </c>
      <c r="L3" s="7">
        <f>$B3 * IFERROR(VLOOKUP("electricity|NOx|Infant mortality", US_national_yearly!$D:$AM, 20, FALSE) / VLOOKUP("electricity|NOx|Infant mortality", US_national_yearly!$D:$AM, 10, FALSE), 1)</f>
        <v>1.2021490615466946E-7</v>
      </c>
      <c r="M3" s="7">
        <f>$B3 * IFERROR(VLOOKUP("electricity|NOx|Infant mortality", US_national_yearly!$D:$AM, 21, FALSE) / VLOOKUP("electricity|NOx|Infant mortality", US_national_yearly!$D:$AM, 10, FALSE), 1)</f>
        <v>1.1931444302491259E-7</v>
      </c>
      <c r="N3" s="7">
        <f>$B3 * IFERROR(VLOOKUP("electricity|NOx|Infant mortality", US_national_yearly!$D:$AM, 22, FALSE) / VLOOKUP("electricity|NOx|Infant mortality", US_national_yearly!$D:$AM, 10, FALSE), 1)</f>
        <v>1.187097755648854E-7</v>
      </c>
      <c r="O3" s="7">
        <f>$B3 * IFERROR(VLOOKUP("electricity|NOx|Infant mortality", US_national_yearly!$D:$AM, 23, FALSE) / VLOOKUP("electricity|NOx|Infant mortality", US_national_yearly!$D:$AM, 10, FALSE), 1)</f>
        <v>1.181051081048582E-7</v>
      </c>
      <c r="P3" s="7">
        <f>$B3 * IFERROR(VLOOKUP("electricity|NOx|Infant mortality", US_national_yearly!$D:$AM, 24, FALSE) / VLOOKUP("electricity|NOx|Infant mortality", US_national_yearly!$D:$AM, 10, FALSE), 1)</f>
        <v>1.1750044064483098E-7</v>
      </c>
      <c r="Q3" s="7">
        <f>$B3 * IFERROR(VLOOKUP("electricity|NOx|Infant mortality", US_national_yearly!$D:$AM, 25, FALSE) / VLOOKUP("electricity|NOx|Infant mortality", US_national_yearly!$D:$AM, 10, FALSE), 1)</f>
        <v>1.1689577318480378E-7</v>
      </c>
      <c r="R3" s="7">
        <f>$B3 * IFERROR(VLOOKUP("electricity|NOx|Infant mortality", US_national_yearly!$D:$AM, 26, FALSE) / VLOOKUP("electricity|NOx|Infant mortality", US_national_yearly!$D:$AM, 10, FALSE), 1)</f>
        <v>1.1629110572477661E-7</v>
      </c>
      <c r="S3" s="7">
        <f>$B3 * IFERROR(VLOOKUP("electricity|NOx|Infant mortality", US_national_yearly!$D:$AM, 27, FALSE) / VLOOKUP("electricity|NOx|Infant mortality", US_national_yearly!$D:$AM, 10, FALSE), 1)</f>
        <v>1.1557326015022872E-7</v>
      </c>
      <c r="T3" s="7">
        <f>$B3 * IFERROR(VLOOKUP("electricity|NOx|Infant mortality", US_national_yearly!$D:$AM, 28, FALSE) / VLOOKUP("electricity|NOx|Infant mortality", US_national_yearly!$D:$AM, 10, FALSE), 1)</f>
        <v>1.1485541457568085E-7</v>
      </c>
      <c r="U3" s="7">
        <f>$B3 * IFERROR(VLOOKUP("electricity|NOx|Infant mortality", US_national_yearly!$D:$AM, 29, FALSE) / VLOOKUP("electricity|NOx|Infant mortality", US_national_yearly!$D:$AM, 10, FALSE), 1)</f>
        <v>1.1413756900113298E-7</v>
      </c>
      <c r="V3" s="7">
        <f>$B3 * IFERROR(VLOOKUP("electricity|NOx|Infant mortality", US_national_yearly!$D:$AM, 30, FALSE) / VLOOKUP("electricity|NOx|Infant mortality", US_national_yearly!$D:$AM, 10, FALSE), 1)</f>
        <v>1.1341972342658514E-7</v>
      </c>
      <c r="W3" s="7">
        <f>$B3 * IFERROR(VLOOKUP("electricity|NOx|Infant mortality", US_national_yearly!$D:$AM, 31, FALSE) / VLOOKUP("electricity|NOx|Infant mortality", US_national_yearly!$D:$AM, 10, FALSE), 1)</f>
        <v>1.1270187785203726E-7</v>
      </c>
      <c r="X3" s="7">
        <f>$B3 * IFERROR(VLOOKUP("electricity|NOx|Infant mortality", US_national_yearly!$D:$AM, 32, FALSE) / VLOOKUP("electricity|NOx|Infant mortality", US_national_yearly!$D:$AM, 10, FALSE), 1)</f>
        <v>1.1196273066078564E-7</v>
      </c>
      <c r="Y3" s="7">
        <f>$B3 * IFERROR(VLOOKUP("electricity|NOx|Infant mortality", US_national_yearly!$D:$AM, 33, FALSE) / VLOOKUP("electricity|NOx|Infant mortality", US_national_yearly!$D:$AM, 10, FALSE), 1)</f>
        <v>1.1122358346953403E-7</v>
      </c>
      <c r="Z3" s="7">
        <f>$B3 * IFERROR(VLOOKUP("electricity|NOx|Infant mortality", US_national_yearly!$D:$AM, 34, FALSE) / VLOOKUP("electricity|NOx|Infant mortality", US_national_yearly!$D:$AM, 10, FALSE), 1)</f>
        <v>1.1048443627828242E-7</v>
      </c>
      <c r="AA3" s="7">
        <f>$B3 * IFERROR(VLOOKUP("electricity|NOx|Infant mortality", US_national_yearly!$D:$AM, 35, FALSE) / VLOOKUP("electricity|NOx|Infant mortality", US_national_yearly!$D:$AM, 10, FALSE), 1)</f>
        <v>1.0974528908703081E-7</v>
      </c>
      <c r="AB3" s="7">
        <f>$B3 * IFERROR(VLOOKUP("electricity|NOx|Infant mortality", US_national_yearly!$D:$AM, 36, FALSE) / VLOOKUP("electricity|NOx|Infant mortality", US_national_yearly!$D:$AM, 10, FALSE), 1)</f>
        <v>1.0900614189577918E-7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4.4657372815735415E-4</v>
      </c>
      <c r="C6" s="7">
        <f>$B6 * IFERROR(VLOOKUP("electricity|NOx|Asthma symptoms cough", US_national_yearly!$D:$AM, 11, FALSE) / VLOOKUP("electricity|NOx|Asthma symptoms cough", US_national_yearly!$D:$AM, 10, FALSE), 1)</f>
        <v>4.5270461871880325E-4</v>
      </c>
      <c r="D6" s="7">
        <f>$B6 * IFERROR(VLOOKUP("electricity|NOx|Asthma symptoms cough", US_national_yearly!$D:$AM, 12, FALSE) / VLOOKUP("electricity|NOx|Asthma symptoms cough", US_national_yearly!$D:$AM, 10, FALSE), 1)</f>
        <v>4.5883550928025246E-4</v>
      </c>
      <c r="E6" s="7">
        <f>$B6 * IFERROR(VLOOKUP("electricity|NOx|Asthma symptoms cough", US_national_yearly!$D:$AM, 13, FALSE) / VLOOKUP("electricity|NOx|Asthma symptoms cough", US_national_yearly!$D:$AM, 10, FALSE), 1)</f>
        <v>4.6496639984170156E-4</v>
      </c>
      <c r="F6" s="7">
        <f>$B6 * IFERROR(VLOOKUP("electricity|NOx|Asthma symptoms cough", US_national_yearly!$D:$AM, 14, FALSE) / VLOOKUP("electricity|NOx|Asthma symptoms cough", US_national_yearly!$D:$AM, 10, FALSE), 1)</f>
        <v>4.7109729040315071E-4</v>
      </c>
      <c r="G6" s="7">
        <f>$B6 * IFERROR(VLOOKUP("electricity|NOx|Asthma symptoms cough", US_national_yearly!$D:$AM, 15, FALSE) / VLOOKUP("electricity|NOx|Asthma symptoms cough", US_national_yearly!$D:$AM, 10, FALSE), 1)</f>
        <v>4.7608202950316306E-4</v>
      </c>
      <c r="H6" s="7">
        <f>$B6 * IFERROR(VLOOKUP("electricity|NOx|Asthma symptoms cough", US_national_yearly!$D:$AM, 16, FALSE) / VLOOKUP("electricity|NOx|Asthma symptoms cough", US_national_yearly!$D:$AM, 10, FALSE), 1)</f>
        <v>4.810667686031754E-4</v>
      </c>
      <c r="I6" s="7">
        <f>$B6 * IFERROR(VLOOKUP("electricity|NOx|Asthma symptoms cough", US_national_yearly!$D:$AM, 17, FALSE) / VLOOKUP("electricity|NOx|Asthma symptoms cough", US_national_yearly!$D:$AM, 10, FALSE), 1)</f>
        <v>4.829197857585465E-4</v>
      </c>
      <c r="J6" s="7">
        <f>$B6 * IFERROR(VLOOKUP("electricity|NOx|Asthma symptoms cough", US_national_yearly!$D:$AM, 18, FALSE) / VLOOKUP("electricity|NOx|Asthma symptoms cough", US_national_yearly!$D:$AM, 10, FALSE), 1)</f>
        <v>4.8477280291391766E-4</v>
      </c>
      <c r="K6" s="7">
        <f>$B6 * IFERROR(VLOOKUP("electricity|NOx|Asthma symptoms cough", US_national_yearly!$D:$AM, 19, FALSE) / VLOOKUP("electricity|NOx|Asthma symptoms cough", US_national_yearly!$D:$AM, 10, FALSE), 1)</f>
        <v>4.8662582006928887E-4</v>
      </c>
      <c r="L6" s="7">
        <f>$B6 * IFERROR(VLOOKUP("electricity|NOx|Asthma symptoms cough", US_national_yearly!$D:$AM, 20, FALSE) / VLOOKUP("electricity|NOx|Asthma symptoms cough", US_national_yearly!$D:$AM, 10, FALSE), 1)</f>
        <v>4.8847883722466002E-4</v>
      </c>
      <c r="M6" s="7">
        <f>$B6 * IFERROR(VLOOKUP("electricity|NOx|Asthma symptoms cough", US_national_yearly!$D:$AM, 21, FALSE) / VLOOKUP("electricity|NOx|Asthma symptoms cough", US_national_yearly!$D:$AM, 10, FALSE), 1)</f>
        <v>4.9033185438003123E-4</v>
      </c>
      <c r="N6" s="7">
        <f>$B6 * IFERROR(VLOOKUP("electricity|NOx|Asthma symptoms cough", US_national_yearly!$D:$AM, 22, FALSE) / VLOOKUP("electricity|NOx|Asthma symptoms cough", US_national_yearly!$D:$AM, 10, FALSE), 1)</f>
        <v>4.9238498195342678E-4</v>
      </c>
      <c r="O6" s="7">
        <f>$B6 * IFERROR(VLOOKUP("electricity|NOx|Asthma symptoms cough", US_national_yearly!$D:$AM, 23, FALSE) / VLOOKUP("electricity|NOx|Asthma symptoms cough", US_national_yearly!$D:$AM, 10, FALSE), 1)</f>
        <v>4.9443810952682255E-4</v>
      </c>
      <c r="P6" s="7">
        <f>$B6 * IFERROR(VLOOKUP("electricity|NOx|Asthma symptoms cough", US_national_yearly!$D:$AM, 24, FALSE) / VLOOKUP("electricity|NOx|Asthma symptoms cough", US_national_yearly!$D:$AM, 10, FALSE), 1)</f>
        <v>4.9649123710021809E-4</v>
      </c>
      <c r="Q6" s="7">
        <f>$B6 * IFERROR(VLOOKUP("electricity|NOx|Asthma symptoms cough", US_national_yearly!$D:$AM, 25, FALSE) / VLOOKUP("electricity|NOx|Asthma symptoms cough", US_national_yearly!$D:$AM, 10, FALSE), 1)</f>
        <v>4.9854436467361386E-4</v>
      </c>
      <c r="R6" s="7">
        <f>$B6 * IFERROR(VLOOKUP("electricity|NOx|Asthma symptoms cough", US_national_yearly!$D:$AM, 26, FALSE) / VLOOKUP("electricity|NOx|Asthma symptoms cough", US_national_yearly!$D:$AM, 10, FALSE), 1)</f>
        <v>5.0059749224700941E-4</v>
      </c>
      <c r="S6" s="7">
        <f>$B6 * IFERROR(VLOOKUP("electricity|NOx|Asthma symptoms cough", US_national_yearly!$D:$AM, 27, FALSE) / VLOOKUP("electricity|NOx|Asthma symptoms cough", US_national_yearly!$D:$AM, 10, FALSE), 1)</f>
        <v>5.0315895796302636E-4</v>
      </c>
      <c r="T6" s="7">
        <f>$B6 * IFERROR(VLOOKUP("electricity|NOx|Asthma symptoms cough", US_national_yearly!$D:$AM, 28, FALSE) / VLOOKUP("electricity|NOx|Asthma symptoms cough", US_national_yearly!$D:$AM, 10, FALSE), 1)</f>
        <v>5.0572042367904311E-4</v>
      </c>
      <c r="U6" s="7">
        <f>$B6 * IFERROR(VLOOKUP("electricity|NOx|Asthma symptoms cough", US_national_yearly!$D:$AM, 29, FALSE) / VLOOKUP("electricity|NOx|Asthma symptoms cough", US_national_yearly!$D:$AM, 10, FALSE), 1)</f>
        <v>5.0828188939506017E-4</v>
      </c>
      <c r="V6" s="7">
        <f>$B6 * IFERROR(VLOOKUP("electricity|NOx|Asthma symptoms cough", US_national_yearly!$D:$AM, 30, FALSE) / VLOOKUP("electricity|NOx|Asthma symptoms cough", US_national_yearly!$D:$AM, 10, FALSE), 1)</f>
        <v>5.1084335511107691E-4</v>
      </c>
      <c r="W6" s="7">
        <f>$B6 * IFERROR(VLOOKUP("electricity|NOx|Asthma symptoms cough", US_national_yearly!$D:$AM, 31, FALSE) / VLOOKUP("electricity|NOx|Asthma symptoms cough", US_national_yearly!$D:$AM, 10, FALSE), 1)</f>
        <v>5.1340482082709387E-4</v>
      </c>
      <c r="X6" s="7">
        <f>$B6 * IFERROR(VLOOKUP("electricity|NOx|Asthma symptoms cough", US_national_yearly!$D:$AM, 32, FALSE) / VLOOKUP("electricity|NOx|Asthma symptoms cough", US_national_yearly!$D:$AM, 10, FALSE), 1)</f>
        <v>5.1576471628949131E-4</v>
      </c>
      <c r="Y6" s="7">
        <f>$B6 * IFERROR(VLOOKUP("electricity|NOx|Asthma symptoms cough", US_national_yearly!$D:$AM, 33, FALSE) / VLOOKUP("electricity|NOx|Asthma symptoms cough", US_national_yearly!$D:$AM, 10, FALSE), 1)</f>
        <v>5.1812461175188896E-4</v>
      </c>
      <c r="Z6" s="7">
        <f>$B6 * IFERROR(VLOOKUP("electricity|NOx|Asthma symptoms cough", US_national_yearly!$D:$AM, 34, FALSE) / VLOOKUP("electricity|NOx|Asthma symptoms cough", US_national_yearly!$D:$AM, 10, FALSE), 1)</f>
        <v>5.2048450721428651E-4</v>
      </c>
      <c r="AA6" s="7">
        <f>$B6 * IFERROR(VLOOKUP("electricity|NOx|Asthma symptoms cough", US_national_yearly!$D:$AM, 35, FALSE) / VLOOKUP("electricity|NOx|Asthma symptoms cough", US_national_yearly!$D:$AM, 10, FALSE), 1)</f>
        <v>5.2284440267668405E-4</v>
      </c>
      <c r="AB6" s="7">
        <f>$B6 * IFERROR(VLOOKUP("electricity|NOx|Asthma symptoms cough", US_national_yearly!$D:$AM, 36, FALSE) / VLOOKUP("electricity|NOx|Asthma symptoms cough", US_national_yearly!$D:$AM, 10, FALSE), 1)</f>
        <v>5.252042981390816E-4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6.0137031556261136E-4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6.0962636680851395E-4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6.1788241805441665E-4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6.2613846930031935E-4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6.3439452054622194E-4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6.4110712795492695E-4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6.4781973536363197E-4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6.5031506688581681E-4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6.5281039840800145E-4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6.5530572993018619E-4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6.5780106145237082E-4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6.6029639297455556E-4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6.6306119952137072E-4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6.6582600606818611E-4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6.6859081261500138E-4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6.7135561916181665E-4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6.7412042570863192E-4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6.7756977648987169E-4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6.8101912727111134E-4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6.8446847805235121E-4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6.8791782883359087E-4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6.9136717961483063E-4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6.9454508951269161E-4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6.977229994105527E-4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7.0090090930841368E-4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7.0407881920627466E-4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7.0725672910413576E-4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9.1881335230798822E-4</v>
      </c>
      <c r="C8" s="7">
        <f>$B8 * IFERROR(VLOOKUP("electricity|NOx|Asthma symptoms wheeze", US_national_yearly!$D:$AM, 11, FALSE) / VLOOKUP("electricity|NOx|Asthma symptoms wheeze", US_national_yearly!$D:$AM, 10, FALSE), 1)</f>
        <v>9.3142749360819379E-4</v>
      </c>
      <c r="D8" s="7">
        <f>$B8 * IFERROR(VLOOKUP("electricity|NOx|Asthma symptoms wheeze", US_national_yearly!$D:$AM, 12, FALSE) / VLOOKUP("electricity|NOx|Asthma symptoms wheeze", US_national_yearly!$D:$AM, 10, FALSE), 1)</f>
        <v>9.4404163490839925E-4</v>
      </c>
      <c r="E8" s="7">
        <f>$B8 * IFERROR(VLOOKUP("electricity|NOx|Asthma symptoms wheeze", US_national_yearly!$D:$AM, 13, FALSE) / VLOOKUP("electricity|NOx|Asthma symptoms wheeze", US_national_yearly!$D:$AM, 10, FALSE), 1)</f>
        <v>9.5665577620860482E-4</v>
      </c>
      <c r="F8" s="7">
        <f>$B8 * IFERROR(VLOOKUP("electricity|NOx|Asthma symptoms wheeze", US_national_yearly!$D:$AM, 14, FALSE) / VLOOKUP("electricity|NOx|Asthma symptoms wheeze", US_national_yearly!$D:$AM, 10, FALSE), 1)</f>
        <v>9.692699175088105E-4</v>
      </c>
      <c r="G8" s="7">
        <f>$B8 * IFERROR(VLOOKUP("electricity|NOx|Asthma symptoms wheeze", US_national_yearly!$D:$AM, 15, FALSE) / VLOOKUP("electricity|NOx|Asthma symptoms wheeze", US_national_yearly!$D:$AM, 10, FALSE), 1)</f>
        <v>9.7952588321363523E-4</v>
      </c>
      <c r="H8" s="7">
        <f>$B8 * IFERROR(VLOOKUP("electricity|NOx|Asthma symptoms wheeze", US_national_yearly!$D:$AM, 16, FALSE) / VLOOKUP("electricity|NOx|Asthma symptoms wheeze", US_national_yearly!$D:$AM, 10, FALSE), 1)</f>
        <v>9.8978184891845996E-4</v>
      </c>
      <c r="I8" s="7">
        <f>$B8 * IFERROR(VLOOKUP("electricity|NOx|Asthma symptoms wheeze", US_national_yearly!$D:$AM, 17, FALSE) / VLOOKUP("electricity|NOx|Asthma symptoms wheeze", US_national_yearly!$D:$AM, 10, FALSE), 1)</f>
        <v>9.9359438152820442E-4</v>
      </c>
      <c r="J8" s="7">
        <f>$B8 * IFERROR(VLOOKUP("electricity|NOx|Asthma symptoms wheeze", US_national_yearly!$D:$AM, 18, FALSE) / VLOOKUP("electricity|NOx|Asthma symptoms wheeze", US_national_yearly!$D:$AM, 10, FALSE), 1)</f>
        <v>9.9740691413794909E-4</v>
      </c>
      <c r="K8" s="7">
        <f>$B8 * IFERROR(VLOOKUP("electricity|NOx|Asthma symptoms wheeze", US_national_yearly!$D:$AM, 19, FALSE) / VLOOKUP("electricity|NOx|Asthma symptoms wheeze", US_national_yearly!$D:$AM, 10, FALSE), 1)</f>
        <v>1.001219446747694E-3</v>
      </c>
      <c r="L8" s="7">
        <f>$B8 * IFERROR(VLOOKUP("electricity|NOx|Asthma symptoms wheeze", US_national_yearly!$D:$AM, 20, FALSE) / VLOOKUP("electricity|NOx|Asthma symptoms wheeze", US_national_yearly!$D:$AM, 10, FALSE), 1)</f>
        <v>1.0050319793574384E-3</v>
      </c>
      <c r="M8" s="7">
        <f>$B8 * IFERROR(VLOOKUP("electricity|NOx|Asthma symptoms wheeze", US_national_yearly!$D:$AM, 21, FALSE) / VLOOKUP("electricity|NOx|Asthma symptoms wheeze", US_national_yearly!$D:$AM, 10, FALSE), 1)</f>
        <v>1.0088445119671831E-3</v>
      </c>
      <c r="N8" s="7">
        <f>$B8 * IFERROR(VLOOKUP("electricity|NOx|Asthma symptoms wheeze", US_national_yearly!$D:$AM, 22, FALSE) / VLOOKUP("electricity|NOx|Asthma symptoms wheeze", US_national_yearly!$D:$AM, 10, FALSE), 1)</f>
        <v>1.0130687663426653E-3</v>
      </c>
      <c r="O8" s="7">
        <f>$B8 * IFERROR(VLOOKUP("electricity|NOx|Asthma symptoms wheeze", US_national_yearly!$D:$AM, 23, FALSE) / VLOOKUP("electricity|NOx|Asthma symptoms wheeze", US_national_yearly!$D:$AM, 10, FALSE), 1)</f>
        <v>1.0172930207181477E-3</v>
      </c>
      <c r="P8" s="7">
        <f>$B8 * IFERROR(VLOOKUP("electricity|NOx|Asthma symptoms wheeze", US_national_yearly!$D:$AM, 24, FALSE) / VLOOKUP("electricity|NOx|Asthma symptoms wheeze", US_national_yearly!$D:$AM, 10, FALSE), 1)</f>
        <v>1.0215172750936302E-3</v>
      </c>
      <c r="Q8" s="7">
        <f>$B8 * IFERROR(VLOOKUP("electricity|NOx|Asthma symptoms wheeze", US_national_yearly!$D:$AM, 25, FALSE) / VLOOKUP("electricity|NOx|Asthma symptoms wheeze", US_national_yearly!$D:$AM, 10, FALSE), 1)</f>
        <v>1.0257415294691124E-3</v>
      </c>
      <c r="R8" s="7">
        <f>$B8 * IFERROR(VLOOKUP("electricity|NOx|Asthma symptoms wheeze", US_national_yearly!$D:$AM, 26, FALSE) / VLOOKUP("electricity|NOx|Asthma symptoms wheeze", US_national_yearly!$D:$AM, 10, FALSE), 1)</f>
        <v>1.0299657838445946E-3</v>
      </c>
      <c r="S8" s="7">
        <f>$B8 * IFERROR(VLOOKUP("electricity|NOx|Asthma symptoms wheeze", US_national_yearly!$D:$AM, 27, FALSE) / VLOOKUP("electricity|NOx|Asthma symptoms wheeze", US_national_yearly!$D:$AM, 10, FALSE), 1)</f>
        <v>1.0352359301822782E-3</v>
      </c>
      <c r="T8" s="7">
        <f>$B8 * IFERROR(VLOOKUP("electricity|NOx|Asthma symptoms wheeze", US_national_yearly!$D:$AM, 28, FALSE) / VLOOKUP("electricity|NOx|Asthma symptoms wheeze", US_national_yearly!$D:$AM, 10, FALSE), 1)</f>
        <v>1.0405060765199617E-3</v>
      </c>
      <c r="U8" s="7">
        <f>$B8 * IFERROR(VLOOKUP("electricity|NOx|Asthma symptoms wheeze", US_national_yearly!$D:$AM, 29, FALSE) / VLOOKUP("electricity|NOx|Asthma symptoms wheeze", US_national_yearly!$D:$AM, 10, FALSE), 1)</f>
        <v>1.0457762228576451E-3</v>
      </c>
      <c r="V8" s="7">
        <f>$B8 * IFERROR(VLOOKUP("electricity|NOx|Asthma symptoms wheeze", US_national_yearly!$D:$AM, 30, FALSE) / VLOOKUP("electricity|NOx|Asthma symptoms wheeze", US_national_yearly!$D:$AM, 10, FALSE), 1)</f>
        <v>1.0510463691953287E-3</v>
      </c>
      <c r="W8" s="7">
        <f>$B8 * IFERROR(VLOOKUP("electricity|NOx|Asthma symptoms wheeze", US_national_yearly!$D:$AM, 31, FALSE) / VLOOKUP("electricity|NOx|Asthma symptoms wheeze", US_national_yearly!$D:$AM, 10, FALSE), 1)</f>
        <v>1.0563165155330124E-3</v>
      </c>
      <c r="X8" s="7">
        <f>$B8 * IFERROR(VLOOKUP("electricity|NOx|Asthma symptoms wheeze", US_national_yearly!$D:$AM, 32, FALSE) / VLOOKUP("electricity|NOx|Asthma symptoms wheeze", US_national_yearly!$D:$AM, 10, FALSE), 1)</f>
        <v>1.0611719365322626E-3</v>
      </c>
      <c r="Y8" s="7">
        <f>$B8 * IFERROR(VLOOKUP("electricity|NOx|Asthma symptoms wheeze", US_national_yearly!$D:$AM, 33, FALSE) / VLOOKUP("electricity|NOx|Asthma symptoms wheeze", US_national_yearly!$D:$AM, 10, FALSE), 1)</f>
        <v>1.0660273575315133E-3</v>
      </c>
      <c r="Z8" s="7">
        <f>$B8 * IFERROR(VLOOKUP("electricity|NOx|Asthma symptoms wheeze", US_national_yearly!$D:$AM, 34, FALSE) / VLOOKUP("electricity|NOx|Asthma symptoms wheeze", US_national_yearly!$D:$AM, 10, FALSE), 1)</f>
        <v>1.0708827785307635E-3</v>
      </c>
      <c r="AA8" s="7">
        <f>$B8 * IFERROR(VLOOKUP("electricity|NOx|Asthma symptoms wheeze", US_national_yearly!$D:$AM, 35, FALSE) / VLOOKUP("electricity|NOx|Asthma symptoms wheeze", US_national_yearly!$D:$AM, 10, FALSE), 1)</f>
        <v>1.075738199530014E-3</v>
      </c>
      <c r="AB8" s="7">
        <f>$B8 * IFERROR(VLOOKUP("electricity|NOx|Asthma symptoms wheeze", US_national_yearly!$D:$AM, 36, FALSE) / VLOOKUP("electricity|NOx|Asthma symptoms wheeze", US_national_yearly!$D:$AM, 10, FALSE), 1)</f>
        <v>1.0805936205292644E-3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1.0913300414795032E-5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1.1192808266217936E-5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1.1472316117640842E-5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1.1751823969063745E-5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1.2031331820486648E-5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1.2300401251319071E-5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1.2569470682151498E-5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1.2800848256761323E-5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1.3032225831371148E-5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1.3263603405980978E-5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1.3494980980590803E-5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1.372635855520063E-5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1.3884924512510157E-5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1.4043490469819682E-5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1.4202056427129208E-5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1.4360622384438734E-5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1.451918834174826E-5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1.4609496713196008E-5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1.469980508464376E-5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1.4790113456091506E-5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1.4880421827539255E-5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1.4970730198987004E-5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1.5036415594936288E-5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1.5102100990885568E-5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1.5167786386834854E-5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1.5233471782784138E-5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1.5299157178733418E-5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5.542292218276489E-5</v>
      </c>
      <c r="C13" s="7">
        <f>$B13 * IFERROR(VLOOKUP("electricity|NOx|Non-fatal heart attacks", US_national_yearly!$D:$AM, 11, FALSE) / VLOOKUP("electricity|NOx|Non-fatal heart attacks", US_national_yearly!$D:$AM, 10, FALSE), 1)</f>
        <v>5.7013407362060531E-5</v>
      </c>
      <c r="D13" s="7">
        <f>$B13 * IFERROR(VLOOKUP("electricity|NOx|Non-fatal heart attacks", US_national_yearly!$D:$AM, 12, FALSE) / VLOOKUP("electricity|NOx|Non-fatal heart attacks", US_national_yearly!$D:$AM, 10, FALSE), 1)</f>
        <v>5.860389254135618E-5</v>
      </c>
      <c r="E13" s="7">
        <f>$B13 * IFERROR(VLOOKUP("electricity|NOx|Non-fatal heart attacks", US_national_yearly!$D:$AM, 13, FALSE) / VLOOKUP("electricity|NOx|Non-fatal heart attacks", US_national_yearly!$D:$AM, 10, FALSE), 1)</f>
        <v>6.0194377720651821E-5</v>
      </c>
      <c r="F13" s="7">
        <f>$B13 * IFERROR(VLOOKUP("electricity|NOx|Non-fatal heart attacks", US_national_yearly!$D:$AM, 14, FALSE) / VLOOKUP("electricity|NOx|Non-fatal heart attacks", US_national_yearly!$D:$AM, 10, FALSE), 1)</f>
        <v>6.1784862899947476E-5</v>
      </c>
      <c r="G13" s="7">
        <f>$B13 * IFERROR(VLOOKUP("electricity|NOx|Non-fatal heart attacks", US_national_yearly!$D:$AM, 15, FALSE) / VLOOKUP("electricity|NOx|Non-fatal heart attacks", US_national_yearly!$D:$AM, 10, FALSE), 1)</f>
        <v>6.3283160963129216E-5</v>
      </c>
      <c r="H13" s="7">
        <f>$B13 * IFERROR(VLOOKUP("electricity|NOx|Non-fatal heart attacks", US_national_yearly!$D:$AM, 16, FALSE) / VLOOKUP("electricity|NOx|Non-fatal heart attacks", US_national_yearly!$D:$AM, 10, FALSE), 1)</f>
        <v>6.4781459026310955E-5</v>
      </c>
      <c r="I13" s="7">
        <f>$B13 * IFERROR(VLOOKUP("electricity|NOx|Non-fatal heart attacks", US_national_yearly!$D:$AM, 17, FALSE) / VLOOKUP("electricity|NOx|Non-fatal heart attacks", US_national_yearly!$D:$AM, 10, FALSE), 1)</f>
        <v>6.5982942491193928E-5</v>
      </c>
      <c r="J13" s="7">
        <f>$B13 * IFERROR(VLOOKUP("electricity|NOx|Non-fatal heart attacks", US_national_yearly!$D:$AM, 18, FALSE) / VLOOKUP("electricity|NOx|Non-fatal heart attacks", US_national_yearly!$D:$AM, 10, FALSE), 1)</f>
        <v>6.7184425956076887E-5</v>
      </c>
      <c r="K13" s="7">
        <f>$B13 * IFERROR(VLOOKUP("electricity|NOx|Non-fatal heart attacks", US_national_yearly!$D:$AM, 19, FALSE) / VLOOKUP("electricity|NOx|Non-fatal heart attacks", US_national_yearly!$D:$AM, 10, FALSE), 1)</f>
        <v>6.8385909420959793E-5</v>
      </c>
      <c r="L13" s="7">
        <f>$B13 * IFERROR(VLOOKUP("electricity|NOx|Non-fatal heart attacks", US_national_yearly!$D:$AM, 20, FALSE) / VLOOKUP("electricity|NOx|Non-fatal heart attacks", US_national_yearly!$D:$AM, 10, FALSE), 1)</f>
        <v>6.9587392885842766E-5</v>
      </c>
      <c r="M13" s="7">
        <f>$B13 * IFERROR(VLOOKUP("electricity|NOx|Non-fatal heart attacks", US_national_yearly!$D:$AM, 21, FALSE) / VLOOKUP("electricity|NOx|Non-fatal heart attacks", US_national_yearly!$D:$AM, 10, FALSE), 1)</f>
        <v>7.0788876350725739E-5</v>
      </c>
      <c r="N13" s="7">
        <f>$B13 * IFERROR(VLOOKUP("electricity|NOx|Non-fatal heart attacks", US_national_yearly!$D:$AM, 22, FALSE) / VLOOKUP("electricity|NOx|Non-fatal heart attacks", US_national_yearly!$D:$AM, 10, FALSE), 1)</f>
        <v>7.1529856167280029E-5</v>
      </c>
      <c r="O13" s="7">
        <f>$B13 * IFERROR(VLOOKUP("electricity|NOx|Non-fatal heart attacks", US_national_yearly!$D:$AM, 23, FALSE) / VLOOKUP("electricity|NOx|Non-fatal heart attacks", US_national_yearly!$D:$AM, 10, FALSE), 1)</f>
        <v>7.2270835983834333E-5</v>
      </c>
      <c r="P13" s="7">
        <f>$B13 * IFERROR(VLOOKUP("electricity|NOx|Non-fatal heart attacks", US_national_yearly!$D:$AM, 24, FALSE) / VLOOKUP("electricity|NOx|Non-fatal heart attacks", US_national_yearly!$D:$AM, 10, FALSE), 1)</f>
        <v>7.3011815800388637E-5</v>
      </c>
      <c r="Q13" s="7">
        <f>$B13 * IFERROR(VLOOKUP("electricity|NOx|Non-fatal heart attacks", US_national_yearly!$D:$AM, 25, FALSE) / VLOOKUP("electricity|NOx|Non-fatal heart attacks", US_national_yearly!$D:$AM, 10, FALSE), 1)</f>
        <v>7.3752795616942942E-5</v>
      </c>
      <c r="R13" s="7">
        <f>$B13 * IFERROR(VLOOKUP("electricity|NOx|Non-fatal heart attacks", US_national_yearly!$D:$AM, 26, FALSE) / VLOOKUP("electricity|NOx|Non-fatal heart attacks", US_national_yearly!$D:$AM, 10, FALSE), 1)</f>
        <v>7.4493775433497232E-5</v>
      </c>
      <c r="S13" s="7">
        <f>$B13 * IFERROR(VLOOKUP("electricity|NOx|Non-fatal heart attacks", US_national_yearly!$D:$AM, 27, FALSE) / VLOOKUP("electricity|NOx|Non-fatal heart attacks", US_national_yearly!$D:$AM, 10, FALSE), 1)</f>
        <v>7.4855815703278741E-5</v>
      </c>
      <c r="T13" s="7">
        <f>$B13 * IFERROR(VLOOKUP("electricity|NOx|Non-fatal heart attacks", US_national_yearly!$D:$AM, 28, FALSE) / VLOOKUP("electricity|NOx|Non-fatal heart attacks", US_national_yearly!$D:$AM, 10, FALSE), 1)</f>
        <v>7.5217855973060236E-5</v>
      </c>
      <c r="U13" s="7">
        <f>$B13 * IFERROR(VLOOKUP("electricity|NOx|Non-fatal heart attacks", US_national_yearly!$D:$AM, 29, FALSE) / VLOOKUP("electricity|NOx|Non-fatal heart attacks", US_national_yearly!$D:$AM, 10, FALSE), 1)</f>
        <v>7.5579896242841758E-5</v>
      </c>
      <c r="V13" s="7">
        <f>$B13 * IFERROR(VLOOKUP("electricity|NOx|Non-fatal heart attacks", US_national_yearly!$D:$AM, 30, FALSE) / VLOOKUP("electricity|NOx|Non-fatal heart attacks", US_national_yearly!$D:$AM, 10, FALSE), 1)</f>
        <v>7.5941936512623253E-5</v>
      </c>
      <c r="W13" s="7">
        <f>$B13 * IFERROR(VLOOKUP("electricity|NOx|Non-fatal heart attacks", US_national_yearly!$D:$AM, 31, FALSE) / VLOOKUP("electricity|NOx|Non-fatal heart attacks", US_national_yearly!$D:$AM, 10, FALSE), 1)</f>
        <v>7.6303976782404775E-5</v>
      </c>
      <c r="X13" s="7">
        <f>$B13 * IFERROR(VLOOKUP("electricity|NOx|Non-fatal heart attacks", US_national_yearly!$D:$AM, 32, FALSE) / VLOOKUP("electricity|NOx|Non-fatal heart attacks", US_national_yearly!$D:$AM, 10, FALSE), 1)</f>
        <v>7.655667126944616E-5</v>
      </c>
      <c r="Y13" s="7">
        <f>$B13 * IFERROR(VLOOKUP("electricity|NOx|Non-fatal heart attacks", US_national_yearly!$D:$AM, 33, FALSE) / VLOOKUP("electricity|NOx|Non-fatal heart attacks", US_national_yearly!$D:$AM, 10, FALSE), 1)</f>
        <v>7.6809365756487586E-5</v>
      </c>
      <c r="Z13" s="7">
        <f>$B13 * IFERROR(VLOOKUP("electricity|NOx|Non-fatal heart attacks", US_national_yearly!$D:$AM, 34, FALSE) / VLOOKUP("electricity|NOx|Non-fatal heart attacks", US_national_yearly!$D:$AM, 10, FALSE), 1)</f>
        <v>7.7062060243528971E-5</v>
      </c>
      <c r="AA13" s="7">
        <f>$B13 * IFERROR(VLOOKUP("electricity|NOx|Non-fatal heart attacks", US_national_yearly!$D:$AM, 35, FALSE) / VLOOKUP("electricity|NOx|Non-fatal heart attacks", US_national_yearly!$D:$AM, 10, FALSE), 1)</f>
        <v>7.7314754730570357E-5</v>
      </c>
      <c r="AB13" s="7">
        <f>$B13 * IFERROR(VLOOKUP("electricity|NOx|Non-fatal heart attacks", US_national_yearly!$D:$AM, 36, FALSE) / VLOOKUP("electricity|NOx|Non-fatal heart attacks", US_national_yearly!$D:$AM, 10, FALSE), 1)</f>
        <v>7.7567449217611769E-5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4.9638803171925878E-2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4.9714910295342411E-2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4.9791017418758937E-2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4.986712454217547E-2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4.994323166559201E-2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5.0075989085047429E-2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5.0208746504502841E-2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5.0471406159842351E-2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5.0734065815181834E-2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5.0996725470521344E-2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5.1259385125860833E-2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5.1522044781200337E-2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5.1901872711578298E-2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5.2281700641956239E-2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5.2661528572334186E-2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5.3041356502712141E-2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5.3421184433090095E-2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5.3803884744738295E-2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5.4186585056386495E-2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5.4569285368034702E-2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5.4951985679682902E-2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5.5334685991331102E-2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5.565833704093788E-2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5.5981988090544624E-2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5.6305639140151444E-2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5.6629290189758208E-2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5.6952941239364979E-2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8.3952192995695417E-3</v>
      </c>
      <c r="C15" s="7">
        <f>$B15 * IFERROR(VLOOKUP("electricity|NOx|Work loss days", US_national_yearly!$D:$AM, 11, FALSE) / VLOOKUP("electricity|NOx|Work loss days", US_national_yearly!$D:$AM, 10, FALSE), 1)</f>
        <v>8.4139436390619996E-3</v>
      </c>
      <c r="D15" s="7">
        <f>$B15 * IFERROR(VLOOKUP("electricity|NOx|Work loss days", US_national_yearly!$D:$AM, 12, FALSE) / VLOOKUP("electricity|NOx|Work loss days", US_national_yearly!$D:$AM, 10, FALSE), 1)</f>
        <v>8.4326679785544575E-3</v>
      </c>
      <c r="E15" s="7">
        <f>$B15 * IFERROR(VLOOKUP("electricity|NOx|Work loss days", US_national_yearly!$D:$AM, 13, FALSE) / VLOOKUP("electricity|NOx|Work loss days", US_national_yearly!$D:$AM, 10, FALSE), 1)</f>
        <v>8.4513923180469155E-3</v>
      </c>
      <c r="F15" s="7">
        <f>$B15 * IFERROR(VLOOKUP("electricity|NOx|Work loss days", US_national_yearly!$D:$AM, 14, FALSE) / VLOOKUP("electricity|NOx|Work loss days", US_national_yearly!$D:$AM, 10, FALSE), 1)</f>
        <v>8.4701166575393734E-3</v>
      </c>
      <c r="G15" s="7">
        <f>$B15 * IFERROR(VLOOKUP("electricity|NOx|Work loss days", US_national_yearly!$D:$AM, 15, FALSE) / VLOOKUP("electricity|NOx|Work loss days", US_national_yearly!$D:$AM, 10, FALSE), 1)</f>
        <v>8.49651368382188E-3</v>
      </c>
      <c r="H15" s="7">
        <f>$B15 * IFERROR(VLOOKUP("electricity|NOx|Work loss days", US_national_yearly!$D:$AM, 16, FALSE) / VLOOKUP("electricity|NOx|Work loss days", US_national_yearly!$D:$AM, 10, FALSE), 1)</f>
        <v>8.5229107101043849E-3</v>
      </c>
      <c r="I15" s="7">
        <f>$B15 * IFERROR(VLOOKUP("electricity|NOx|Work loss days", US_national_yearly!$D:$AM, 17, FALSE) / VLOOKUP("electricity|NOx|Work loss days", US_national_yearly!$D:$AM, 10, FALSE), 1)</f>
        <v>8.5657723945704797E-3</v>
      </c>
      <c r="J15" s="7">
        <f>$B15 * IFERROR(VLOOKUP("electricity|NOx|Work loss days", US_national_yearly!$D:$AM, 18, FALSE) / VLOOKUP("electricity|NOx|Work loss days", US_national_yearly!$D:$AM, 10, FALSE), 1)</f>
        <v>8.6086340790365746E-3</v>
      </c>
      <c r="K15" s="7">
        <f>$B15 * IFERROR(VLOOKUP("electricity|NOx|Work loss days", US_national_yearly!$D:$AM, 19, FALSE) / VLOOKUP("electricity|NOx|Work loss days", US_national_yearly!$D:$AM, 10, FALSE), 1)</f>
        <v>8.6514957635026677E-3</v>
      </c>
      <c r="L15" s="7">
        <f>$B15 * IFERROR(VLOOKUP("electricity|NOx|Work loss days", US_national_yearly!$D:$AM, 20, FALSE) / VLOOKUP("electricity|NOx|Work loss days", US_national_yearly!$D:$AM, 10, FALSE), 1)</f>
        <v>8.6943574479687608E-3</v>
      </c>
      <c r="M15" s="7">
        <f>$B15 * IFERROR(VLOOKUP("electricity|NOx|Work loss days", US_national_yearly!$D:$AM, 21, FALSE) / VLOOKUP("electricity|NOx|Work loss days", US_national_yearly!$D:$AM, 10, FALSE), 1)</f>
        <v>8.7372191324348522E-3</v>
      </c>
      <c r="N15" s="7">
        <f>$B15 * IFERROR(VLOOKUP("electricity|NOx|Work loss days", US_national_yearly!$D:$AM, 22, FALSE) / VLOOKUP("electricity|NOx|Work loss days", US_national_yearly!$D:$AM, 10, FALSE), 1)</f>
        <v>8.7937695128892639E-3</v>
      </c>
      <c r="O15" s="7">
        <f>$B15 * IFERROR(VLOOKUP("electricity|NOx|Work loss days", US_national_yearly!$D:$AM, 23, FALSE) / VLOOKUP("electricity|NOx|Work loss days", US_national_yearly!$D:$AM, 10, FALSE), 1)</f>
        <v>8.8503198933436739E-3</v>
      </c>
      <c r="P15" s="7">
        <f>$B15 * IFERROR(VLOOKUP("electricity|NOx|Work loss days", US_national_yearly!$D:$AM, 24, FALSE) / VLOOKUP("electricity|NOx|Work loss days", US_national_yearly!$D:$AM, 10, FALSE), 1)</f>
        <v>8.9068702737980857E-3</v>
      </c>
      <c r="Q15" s="7">
        <f>$B15 * IFERROR(VLOOKUP("electricity|NOx|Work loss days", US_national_yearly!$D:$AM, 25, FALSE) / VLOOKUP("electricity|NOx|Work loss days", US_national_yearly!$D:$AM, 10, FALSE), 1)</f>
        <v>8.9634206542524974E-3</v>
      </c>
      <c r="R15" s="7">
        <f>$B15 * IFERROR(VLOOKUP("electricity|NOx|Work loss days", US_national_yearly!$D:$AM, 26, FALSE) / VLOOKUP("electricity|NOx|Work loss days", US_national_yearly!$D:$AM, 10, FALSE), 1)</f>
        <v>9.0199710347069039E-3</v>
      </c>
      <c r="S15" s="7">
        <f>$B15 * IFERROR(VLOOKUP("electricity|NOx|Work loss days", US_national_yearly!$D:$AM, 27, FALSE) / VLOOKUP("electricity|NOx|Work loss days", US_national_yearly!$D:$AM, 10, FALSE), 1)</f>
        <v>9.0833429371394523E-3</v>
      </c>
      <c r="T15" s="7">
        <f>$B15 * IFERROR(VLOOKUP("electricity|NOx|Work loss days", US_national_yearly!$D:$AM, 28, FALSE) / VLOOKUP("electricity|NOx|Work loss days", US_national_yearly!$D:$AM, 10, FALSE), 1)</f>
        <v>9.146714839571999E-3</v>
      </c>
      <c r="U15" s="7">
        <f>$B15 * IFERROR(VLOOKUP("electricity|NOx|Work loss days", US_national_yearly!$D:$AM, 29, FALSE) / VLOOKUP("electricity|NOx|Work loss days", US_national_yearly!$D:$AM, 10, FALSE), 1)</f>
        <v>9.2100867420045439E-3</v>
      </c>
      <c r="V15" s="7">
        <f>$B15 * IFERROR(VLOOKUP("electricity|NOx|Work loss days", US_national_yearly!$D:$AM, 30, FALSE) / VLOOKUP("electricity|NOx|Work loss days", US_national_yearly!$D:$AM, 10, FALSE), 1)</f>
        <v>9.2734586444370905E-3</v>
      </c>
      <c r="W15" s="7">
        <f>$B15 * IFERROR(VLOOKUP("electricity|NOx|Work loss days", US_national_yearly!$D:$AM, 31, FALSE) / VLOOKUP("electricity|NOx|Work loss days", US_national_yearly!$D:$AM, 10, FALSE), 1)</f>
        <v>9.3368305468696389E-3</v>
      </c>
      <c r="X15" s="7">
        <f>$B15 * IFERROR(VLOOKUP("electricity|NOx|Work loss days", US_national_yearly!$D:$AM, 32, FALSE) / VLOOKUP("electricity|NOx|Work loss days", US_national_yearly!$D:$AM, 10, FALSE), 1)</f>
        <v>9.3920721085981925E-3</v>
      </c>
      <c r="Y15" s="7">
        <f>$B15 * IFERROR(VLOOKUP("electricity|NOx|Work loss days", US_national_yearly!$D:$AM, 33, FALSE) / VLOOKUP("electricity|NOx|Work loss days", US_national_yearly!$D:$AM, 10, FALSE), 1)</f>
        <v>9.4473136703267478E-3</v>
      </c>
      <c r="Z15" s="7">
        <f>$B15 * IFERROR(VLOOKUP("electricity|NOx|Work loss days", US_national_yearly!$D:$AM, 34, FALSE) / VLOOKUP("electricity|NOx|Work loss days", US_national_yearly!$D:$AM, 10, FALSE), 1)</f>
        <v>9.5025552320553031E-3</v>
      </c>
      <c r="AA15" s="7">
        <f>$B15 * IFERROR(VLOOKUP("electricity|NOx|Work loss days", US_national_yearly!$D:$AM, 35, FALSE) / VLOOKUP("electricity|NOx|Work loss days", US_national_yearly!$D:$AM, 10, FALSE), 1)</f>
        <v>9.5577967937838584E-3</v>
      </c>
      <c r="AB15" s="7">
        <f>$B15 * IFERROR(VLOOKUP("electricity|NOx|Work loss days", US_national_yearly!$D:$AM, 36, FALSE) / VLOOKUP("electricity|NOx|Work loss days", US_national_yearly!$D:$AM, 10, FALSE), 1)</f>
        <v>9.6130383555124137E-3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1.2073065476792604E-5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1.2428697340644532E-5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1.2784329204496464E-5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1.3139961068348392E-5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1.3495592932200324E-5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1.3836138054300792E-5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1.417668317640126E-5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1.4467355919911303E-5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1.4758028663421348E-5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1.5048701406931392E-5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1.5339374150441437E-5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1.5630046893951481E-5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1.5816592557882247E-5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1.6003138221813012E-5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1.6189683885743778E-5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1.6376229549674544E-5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1.6562775213605309E-5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1.6654577622356216E-5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1.6746380031107127E-5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1.6838182439858035E-5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1.6929984848608945E-5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1.7021787257359853E-5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1.7076807927913055E-5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1.7131828598466258E-5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1.718684926901946E-5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1.7241869939572659E-5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1.7296890610125861E-5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1.8649136133081648E-4</v>
      </c>
      <c r="C2" s="7">
        <f>$B2 * IFERROR(VLOOKUP("electricity|SO2|Premature mortality", US_national_yearly!$D:$AM, 11, FALSE) / VLOOKUP("electricity|SO2|Premature mortality", US_national_yearly!$D:$AM, 10, FALSE), 1)</f>
        <v>1.8888222360784903E-4</v>
      </c>
      <c r="D2" s="7">
        <f>$B2 * IFERROR(VLOOKUP("electricity|SO2|Premature mortality", US_national_yearly!$D:$AM, 12, FALSE) / VLOOKUP("electricity|SO2|Premature mortality", US_national_yearly!$D:$AM, 10, FALSE), 1)</f>
        <v>1.9127308588488153E-4</v>
      </c>
      <c r="E2" s="7">
        <f>$B2 * IFERROR(VLOOKUP("electricity|SO2|Premature mortality", US_national_yearly!$D:$AM, 13, FALSE) / VLOOKUP("electricity|SO2|Premature mortality", US_national_yearly!$D:$AM, 10, FALSE), 1)</f>
        <v>1.9366394816191409E-4</v>
      </c>
      <c r="F2" s="7">
        <f>$B2 * IFERROR(VLOOKUP("electricity|SO2|Premature mortality", US_national_yearly!$D:$AM, 14, FALSE) / VLOOKUP("electricity|SO2|Premature mortality", US_national_yearly!$D:$AM, 10, FALSE), 1)</f>
        <v>1.9605481043894659E-4</v>
      </c>
      <c r="G2" s="7">
        <f>$B2 * IFERROR(VLOOKUP("electricity|SO2|Premature mortality", US_national_yearly!$D:$AM, 15, FALSE) / VLOOKUP("electricity|SO2|Premature mortality", US_national_yearly!$D:$AM, 10, FALSE), 1)</f>
        <v>2.0066057014888545E-4</v>
      </c>
      <c r="H2" s="7">
        <f>$B2 * IFERROR(VLOOKUP("electricity|SO2|Premature mortality", US_national_yearly!$D:$AM, 16, FALSE) / VLOOKUP("electricity|SO2|Premature mortality", US_national_yearly!$D:$AM, 10, FALSE), 1)</f>
        <v>2.0526632985882429E-4</v>
      </c>
      <c r="I2" s="7">
        <f>$B2 * IFERROR(VLOOKUP("electricity|SO2|Premature mortality", US_national_yearly!$D:$AM, 17, FALSE) / VLOOKUP("electricity|SO2|Premature mortality", US_national_yearly!$D:$AM, 10, FALSE), 1)</f>
        <v>2.0836664227472977E-4</v>
      </c>
      <c r="J2" s="7">
        <f>$B2 * IFERROR(VLOOKUP("electricity|SO2|Premature mortality", US_national_yearly!$D:$AM, 18, FALSE) / VLOOKUP("electricity|SO2|Premature mortality", US_national_yearly!$D:$AM, 10, FALSE), 1)</f>
        <v>2.1146695469063527E-4</v>
      </c>
      <c r="K2" s="7">
        <f>$B2 * IFERROR(VLOOKUP("electricity|SO2|Premature mortality", US_national_yearly!$D:$AM, 19, FALSE) / VLOOKUP("electricity|SO2|Premature mortality", US_national_yearly!$D:$AM, 10, FALSE), 1)</f>
        <v>2.1456726710654072E-4</v>
      </c>
      <c r="L2" s="7">
        <f>$B2 * IFERROR(VLOOKUP("electricity|SO2|Premature mortality", US_national_yearly!$D:$AM, 20, FALSE) / VLOOKUP("electricity|SO2|Premature mortality", US_national_yearly!$D:$AM, 10, FALSE), 1)</f>
        <v>2.1766757952244625E-4</v>
      </c>
      <c r="M2" s="7">
        <f>$B2 * IFERROR(VLOOKUP("electricity|SO2|Premature mortality", US_national_yearly!$D:$AM, 21, FALSE) / VLOOKUP("electricity|SO2|Premature mortality", US_national_yearly!$D:$AM, 10, FALSE), 1)</f>
        <v>2.207678919383517E-4</v>
      </c>
      <c r="N2" s="7">
        <f>$B2 * IFERROR(VLOOKUP("electricity|SO2|Premature mortality", US_national_yearly!$D:$AM, 22, FALSE) / VLOOKUP("electricity|SO2|Premature mortality", US_national_yearly!$D:$AM, 10, FALSE), 1)</f>
        <v>2.2325254523128369E-4</v>
      </c>
      <c r="O2" s="7">
        <f>$B2 * IFERROR(VLOOKUP("electricity|SO2|Premature mortality", US_national_yearly!$D:$AM, 23, FALSE) / VLOOKUP("electricity|SO2|Premature mortality", US_national_yearly!$D:$AM, 10, FALSE), 1)</f>
        <v>2.2573719852421573E-4</v>
      </c>
      <c r="P2" s="7">
        <f>$B2 * IFERROR(VLOOKUP("electricity|SO2|Premature mortality", US_national_yearly!$D:$AM, 24, FALSE) / VLOOKUP("electricity|SO2|Premature mortality", US_national_yearly!$D:$AM, 10, FALSE), 1)</f>
        <v>2.2822185181714768E-4</v>
      </c>
      <c r="Q2" s="7">
        <f>$B2 * IFERROR(VLOOKUP("electricity|SO2|Premature mortality", US_national_yearly!$D:$AM, 25, FALSE) / VLOOKUP("electricity|SO2|Premature mortality", US_national_yearly!$D:$AM, 10, FALSE), 1)</f>
        <v>2.3070650511007967E-4</v>
      </c>
      <c r="R2" s="7">
        <f>$B2 * IFERROR(VLOOKUP("electricity|SO2|Premature mortality", US_national_yearly!$D:$AM, 26, FALSE) / VLOOKUP("electricity|SO2|Premature mortality", US_national_yearly!$D:$AM, 10, FALSE), 1)</f>
        <v>2.3319115840301168E-4</v>
      </c>
      <c r="S2" s="7">
        <f>$B2 * IFERROR(VLOOKUP("electricity|SO2|Premature mortality", US_national_yearly!$D:$AM, 27, FALSE) / VLOOKUP("electricity|SO2|Premature mortality", US_national_yearly!$D:$AM, 10, FALSE), 1)</f>
        <v>2.3461568271144313E-4</v>
      </c>
      <c r="T2" s="7">
        <f>$B2 * IFERROR(VLOOKUP("electricity|SO2|Premature mortality", US_national_yearly!$D:$AM, 28, FALSE) / VLOOKUP("electricity|SO2|Premature mortality", US_national_yearly!$D:$AM, 10, FALSE), 1)</f>
        <v>2.360402070198746E-4</v>
      </c>
      <c r="U2" s="7">
        <f>$B2 * IFERROR(VLOOKUP("electricity|SO2|Premature mortality", US_national_yearly!$D:$AM, 29, FALSE) / VLOOKUP("electricity|SO2|Premature mortality", US_national_yearly!$D:$AM, 10, FALSE), 1)</f>
        <v>2.3746473132830605E-4</v>
      </c>
      <c r="V2" s="7">
        <f>$B2 * IFERROR(VLOOKUP("electricity|SO2|Premature mortality", US_national_yearly!$D:$AM, 30, FALSE) / VLOOKUP("electricity|SO2|Premature mortality", US_national_yearly!$D:$AM, 10, FALSE), 1)</f>
        <v>2.3888925563673752E-4</v>
      </c>
      <c r="W2" s="7">
        <f>$B2 * IFERROR(VLOOKUP("electricity|SO2|Premature mortality", US_national_yearly!$D:$AM, 31, FALSE) / VLOOKUP("electricity|SO2|Premature mortality", US_national_yearly!$D:$AM, 10, FALSE), 1)</f>
        <v>2.4031377994516897E-4</v>
      </c>
      <c r="X2" s="7">
        <f>$B2 * IFERROR(VLOOKUP("electricity|SO2|Premature mortality", US_national_yearly!$D:$AM, 32, FALSE) / VLOOKUP("electricity|SO2|Premature mortality", US_national_yearly!$D:$AM, 10, FALSE), 1)</f>
        <v>2.407335098621187E-4</v>
      </c>
      <c r="Y2" s="7">
        <f>$B2 * IFERROR(VLOOKUP("electricity|SO2|Premature mortality", US_national_yearly!$D:$AM, 33, FALSE) / VLOOKUP("electricity|SO2|Premature mortality", US_national_yearly!$D:$AM, 10, FALSE), 1)</f>
        <v>2.411532397790684E-4</v>
      </c>
      <c r="Z2" s="7">
        <f>$B2 * IFERROR(VLOOKUP("electricity|SO2|Premature mortality", US_national_yearly!$D:$AM, 34, FALSE) / VLOOKUP("electricity|SO2|Premature mortality", US_national_yearly!$D:$AM, 10, FALSE), 1)</f>
        <v>2.415729696960181E-4</v>
      </c>
      <c r="AA2" s="7">
        <f>$B2 * IFERROR(VLOOKUP("electricity|SO2|Premature mortality", US_national_yearly!$D:$AM, 35, FALSE) / VLOOKUP("electricity|SO2|Premature mortality", US_national_yearly!$D:$AM, 10, FALSE), 1)</f>
        <v>2.4199269961296783E-4</v>
      </c>
      <c r="AB2" s="7">
        <f>$B2 * IFERROR(VLOOKUP("electricity|SO2|Premature mortality", US_national_yearly!$D:$AM, 36, FALSE) / VLOOKUP("electricity|SO2|Premature mortality", US_national_yearly!$D:$AM, 10, FALSE), 1)</f>
        <v>2.4241242952991753E-4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4.7895090095595468E-7</v>
      </c>
      <c r="C3" s="7">
        <f>$B3 * IFERROR(VLOOKUP("electricity|SO2|Infant mortality", US_national_yearly!$D:$AM, 11, FALSE) / VLOOKUP("electricity|SO2|Infant mortality", US_national_yearly!$D:$AM, 10, FALSE), 1)</f>
        <v>4.7490467650351457E-7</v>
      </c>
      <c r="D3" s="7">
        <f>$B3 * IFERROR(VLOOKUP("electricity|SO2|Infant mortality", US_national_yearly!$D:$AM, 12, FALSE) / VLOOKUP("electricity|SO2|Infant mortality", US_national_yearly!$D:$AM, 10, FALSE), 1)</f>
        <v>4.7085845205107436E-7</v>
      </c>
      <c r="E3" s="7">
        <f>$B3 * IFERROR(VLOOKUP("electricity|SO2|Infant mortality", US_national_yearly!$D:$AM, 13, FALSE) / VLOOKUP("electricity|SO2|Infant mortality", US_national_yearly!$D:$AM, 10, FALSE), 1)</f>
        <v>4.668122275986342E-7</v>
      </c>
      <c r="F3" s="7">
        <f>$B3 * IFERROR(VLOOKUP("electricity|SO2|Infant mortality", US_national_yearly!$D:$AM, 14, FALSE) / VLOOKUP("electricity|SO2|Infant mortality", US_national_yearly!$D:$AM, 10, FALSE), 1)</f>
        <v>4.6276600314619414E-7</v>
      </c>
      <c r="G3" s="7">
        <f>$B3 * IFERROR(VLOOKUP("electricity|SO2|Infant mortality", US_national_yearly!$D:$AM, 15, FALSE) / VLOOKUP("electricity|SO2|Infant mortality", US_national_yearly!$D:$AM, 10, FALSE), 1)</f>
        <v>3.0776336395739914E-7</v>
      </c>
      <c r="H3" s="7">
        <f>$B3 * IFERROR(VLOOKUP("electricity|SO2|Infant mortality", US_national_yearly!$D:$AM, 16, FALSE) / VLOOKUP("electricity|SO2|Infant mortality", US_national_yearly!$D:$AM, 10, FALSE), 1)</f>
        <v>1.5276072476860416E-7</v>
      </c>
      <c r="I3" s="7">
        <f>$B3 * IFERROR(VLOOKUP("electricity|SO2|Infant mortality", US_national_yearly!$D:$AM, 17, FALSE) / VLOOKUP("electricity|SO2|Infant mortality", US_national_yearly!$D:$AM, 10, FALSE), 1)</f>
        <v>1.5178344098941202E-7</v>
      </c>
      <c r="J3" s="7">
        <f>$B3 * IFERROR(VLOOKUP("electricity|SO2|Infant mortality", US_national_yearly!$D:$AM, 18, FALSE) / VLOOKUP("electricity|SO2|Infant mortality", US_national_yearly!$D:$AM, 10, FALSE), 1)</f>
        <v>1.5080615721021986E-7</v>
      </c>
      <c r="K3" s="7">
        <f>$B3 * IFERROR(VLOOKUP("electricity|SO2|Infant mortality", US_national_yearly!$D:$AM, 19, FALSE) / VLOOKUP("electricity|SO2|Infant mortality", US_national_yearly!$D:$AM, 10, FALSE), 1)</f>
        <v>1.4982887343102775E-7</v>
      </c>
      <c r="L3" s="7">
        <f>$B3 * IFERROR(VLOOKUP("electricity|SO2|Infant mortality", US_national_yearly!$D:$AM, 20, FALSE) / VLOOKUP("electricity|SO2|Infant mortality", US_national_yearly!$D:$AM, 10, FALSE), 1)</f>
        <v>1.4885158965183559E-7</v>
      </c>
      <c r="M3" s="7">
        <f>$B3 * IFERROR(VLOOKUP("electricity|SO2|Infant mortality", US_national_yearly!$D:$AM, 21, FALSE) / VLOOKUP("electricity|SO2|Infant mortality", US_national_yearly!$D:$AM, 10, FALSE), 1)</f>
        <v>1.4787430587264345E-7</v>
      </c>
      <c r="N3" s="7">
        <f>$B3 * IFERROR(VLOOKUP("electricity|SO2|Infant mortality", US_national_yearly!$D:$AM, 22, FALSE) / VLOOKUP("electricity|SO2|Infant mortality", US_national_yearly!$D:$AM, 10, FALSE), 1)</f>
        <v>1.4725505556374227E-7</v>
      </c>
      <c r="O3" s="7">
        <f>$B3 * IFERROR(VLOOKUP("electricity|SO2|Infant mortality", US_national_yearly!$D:$AM, 23, FALSE) / VLOOKUP("electricity|SO2|Infant mortality", US_national_yearly!$D:$AM, 10, FALSE), 1)</f>
        <v>1.4663580525484106E-7</v>
      </c>
      <c r="P3" s="7">
        <f>$B3 * IFERROR(VLOOKUP("electricity|SO2|Infant mortality", US_national_yearly!$D:$AM, 24, FALSE) / VLOOKUP("electricity|SO2|Infant mortality", US_national_yearly!$D:$AM, 10, FALSE), 1)</f>
        <v>1.4601655494593985E-7</v>
      </c>
      <c r="Q3" s="7">
        <f>$B3 * IFERROR(VLOOKUP("electricity|SO2|Infant mortality", US_national_yearly!$D:$AM, 25, FALSE) / VLOOKUP("electricity|SO2|Infant mortality", US_national_yearly!$D:$AM, 10, FALSE), 1)</f>
        <v>1.4539730463703869E-7</v>
      </c>
      <c r="R3" s="7">
        <f>$B3 * IFERROR(VLOOKUP("electricity|SO2|Infant mortality", US_national_yearly!$D:$AM, 26, FALSE) / VLOOKUP("electricity|SO2|Infant mortality", US_national_yearly!$D:$AM, 10, FALSE), 1)</f>
        <v>1.447780543281375E-7</v>
      </c>
      <c r="S3" s="7">
        <f>$B3 * IFERROR(VLOOKUP("electricity|SO2|Infant mortality", US_national_yearly!$D:$AM, 27, FALSE) / VLOOKUP("electricity|SO2|Infant mortality", US_national_yearly!$D:$AM, 10, FALSE), 1)</f>
        <v>1.4400623728380497E-7</v>
      </c>
      <c r="T3" s="7">
        <f>$B3 * IFERROR(VLOOKUP("electricity|SO2|Infant mortality", US_national_yearly!$D:$AM, 28, FALSE) / VLOOKUP("electricity|SO2|Infant mortality", US_national_yearly!$D:$AM, 10, FALSE), 1)</f>
        <v>1.4323442023947245E-7</v>
      </c>
      <c r="U3" s="7">
        <f>$B3 * IFERROR(VLOOKUP("electricity|SO2|Infant mortality", US_national_yearly!$D:$AM, 29, FALSE) / VLOOKUP("electricity|SO2|Infant mortality", US_national_yearly!$D:$AM, 10, FALSE), 1)</f>
        <v>1.4246260319513994E-7</v>
      </c>
      <c r="V3" s="7">
        <f>$B3 * IFERROR(VLOOKUP("electricity|SO2|Infant mortality", US_national_yearly!$D:$AM, 30, FALSE) / VLOOKUP("electricity|SO2|Infant mortality", US_national_yearly!$D:$AM, 10, FALSE), 1)</f>
        <v>1.4169078615080743E-7</v>
      </c>
      <c r="W3" s="7">
        <f>$B3 * IFERROR(VLOOKUP("electricity|SO2|Infant mortality", US_national_yearly!$D:$AM, 31, FALSE) / VLOOKUP("electricity|SO2|Infant mortality", US_national_yearly!$D:$AM, 10, FALSE), 1)</f>
        <v>1.4091896910647489E-7</v>
      </c>
      <c r="X3" s="7">
        <f>$B3 * IFERROR(VLOOKUP("electricity|SO2|Infant mortality", US_national_yearly!$D:$AM, 32, FALSE) / VLOOKUP("electricity|SO2|Infant mortality", US_national_yearly!$D:$AM, 10, FALSE), 1)</f>
        <v>1.4009546292199829E-7</v>
      </c>
      <c r="Y3" s="7">
        <f>$B3 * IFERROR(VLOOKUP("electricity|SO2|Infant mortality", US_national_yearly!$D:$AM, 33, FALSE) / VLOOKUP("electricity|SO2|Infant mortality", US_national_yearly!$D:$AM, 10, FALSE), 1)</f>
        <v>1.3927195673752165E-7</v>
      </c>
      <c r="Z3" s="7">
        <f>$B3 * IFERROR(VLOOKUP("electricity|SO2|Infant mortality", US_national_yearly!$D:$AM, 34, FALSE) / VLOOKUP("electricity|SO2|Infant mortality", US_national_yearly!$D:$AM, 10, FALSE), 1)</f>
        <v>1.3844845055304506E-7</v>
      </c>
      <c r="AA3" s="7">
        <f>$B3 * IFERROR(VLOOKUP("electricity|SO2|Infant mortality", US_national_yearly!$D:$AM, 35, FALSE) / VLOOKUP("electricity|SO2|Infant mortality", US_national_yearly!$D:$AM, 10, FALSE), 1)</f>
        <v>1.3762494436856847E-7</v>
      </c>
      <c r="AB3" s="7">
        <f>$B3 * IFERROR(VLOOKUP("electricity|SO2|Infant mortality", US_national_yearly!$D:$AM, 36, FALSE) / VLOOKUP("electricity|SO2|Infant mortality", US_national_yearly!$D:$AM, 10, FALSE), 1)</f>
        <v>1.3680143818409182E-7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5.5087921076732579E-4</v>
      </c>
      <c r="C6" s="7">
        <f>$B6 * IFERROR(VLOOKUP("electricity|SO2|Asthma symptoms cough", US_national_yearly!$D:$AM, 11, FALSE) / VLOOKUP("electricity|SO2|Asthma symptoms cough", US_national_yearly!$D:$AM, 10, FALSE), 1)</f>
        <v>5.5087921076732579E-4</v>
      </c>
      <c r="D6" s="7">
        <f>$B6 * IFERROR(VLOOKUP("electricity|SO2|Asthma symptoms cough", US_national_yearly!$D:$AM, 12, FALSE) / VLOOKUP("electricity|SO2|Asthma symptoms cough", US_national_yearly!$D:$AM, 10, FALSE), 1)</f>
        <v>5.5087921076732579E-4</v>
      </c>
      <c r="E6" s="7">
        <f>$B6 * IFERROR(VLOOKUP("electricity|SO2|Asthma symptoms cough", US_national_yearly!$D:$AM, 13, FALSE) / VLOOKUP("electricity|SO2|Asthma symptoms cough", US_national_yearly!$D:$AM, 10, FALSE), 1)</f>
        <v>5.5087921076732579E-4</v>
      </c>
      <c r="F6" s="7">
        <f>$B6 * IFERROR(VLOOKUP("electricity|SO2|Asthma symptoms cough", US_national_yearly!$D:$AM, 14, FALSE) / VLOOKUP("electricity|SO2|Asthma symptoms cough", US_national_yearly!$D:$AM, 10, FALSE), 1)</f>
        <v>5.5087921076732579E-4</v>
      </c>
      <c r="G6" s="7">
        <f>$B6 * IFERROR(VLOOKUP("electricity|SO2|Asthma symptoms cough", US_national_yearly!$D:$AM, 15, FALSE) / VLOOKUP("electricity|SO2|Asthma symptoms cough", US_national_yearly!$D:$AM, 10, FALSE), 1)</f>
        <v>5.5087921076732579E-4</v>
      </c>
      <c r="H6" s="7">
        <f>$B6 * IFERROR(VLOOKUP("electricity|SO2|Asthma symptoms cough", US_national_yearly!$D:$AM, 16, FALSE) / VLOOKUP("electricity|SO2|Asthma symptoms cough", US_national_yearly!$D:$AM, 10, FALSE), 1)</f>
        <v>5.5087921076732579E-4</v>
      </c>
      <c r="I6" s="7">
        <f>$B6 * IFERROR(VLOOKUP("electricity|SO2|Asthma symptoms cough", US_national_yearly!$D:$AM, 17, FALSE) / VLOOKUP("electricity|SO2|Asthma symptoms cough", US_national_yearly!$D:$AM, 10, FALSE), 1)</f>
        <v>5.5087921076732579E-4</v>
      </c>
      <c r="J6" s="7">
        <f>$B6 * IFERROR(VLOOKUP("electricity|SO2|Asthma symptoms cough", US_national_yearly!$D:$AM, 18, FALSE) / VLOOKUP("electricity|SO2|Asthma symptoms cough", US_national_yearly!$D:$AM, 10, FALSE), 1)</f>
        <v>5.5087921076732579E-4</v>
      </c>
      <c r="K6" s="7">
        <f>$B6 * IFERROR(VLOOKUP("electricity|SO2|Asthma symptoms cough", US_national_yearly!$D:$AM, 19, FALSE) / VLOOKUP("electricity|SO2|Asthma symptoms cough", US_national_yearly!$D:$AM, 10, FALSE), 1)</f>
        <v>5.5087921076732579E-4</v>
      </c>
      <c r="L6" s="7">
        <f>$B6 * IFERROR(VLOOKUP("electricity|SO2|Asthma symptoms cough", US_national_yearly!$D:$AM, 20, FALSE) / VLOOKUP("electricity|SO2|Asthma symptoms cough", US_national_yearly!$D:$AM, 10, FALSE), 1)</f>
        <v>5.5087921076732579E-4</v>
      </c>
      <c r="M6" s="7">
        <f>$B6 * IFERROR(VLOOKUP("electricity|SO2|Asthma symptoms cough", US_national_yearly!$D:$AM, 21, FALSE) / VLOOKUP("electricity|SO2|Asthma symptoms cough", US_national_yearly!$D:$AM, 10, FALSE), 1)</f>
        <v>5.5087921076732579E-4</v>
      </c>
      <c r="N6" s="7">
        <f>$B6 * IFERROR(VLOOKUP("electricity|SO2|Asthma symptoms cough", US_national_yearly!$D:$AM, 22, FALSE) / VLOOKUP("electricity|SO2|Asthma symptoms cough", US_national_yearly!$D:$AM, 10, FALSE), 1)</f>
        <v>5.5087921076732579E-4</v>
      </c>
      <c r="O6" s="7">
        <f>$B6 * IFERROR(VLOOKUP("electricity|SO2|Asthma symptoms cough", US_national_yearly!$D:$AM, 23, FALSE) / VLOOKUP("electricity|SO2|Asthma symptoms cough", US_national_yearly!$D:$AM, 10, FALSE), 1)</f>
        <v>5.5087921076732579E-4</v>
      </c>
      <c r="P6" s="7">
        <f>$B6 * IFERROR(VLOOKUP("electricity|SO2|Asthma symptoms cough", US_national_yearly!$D:$AM, 24, FALSE) / VLOOKUP("electricity|SO2|Asthma symptoms cough", US_national_yearly!$D:$AM, 10, FALSE), 1)</f>
        <v>5.5087921076732579E-4</v>
      </c>
      <c r="Q6" s="7">
        <f>$B6 * IFERROR(VLOOKUP("electricity|SO2|Asthma symptoms cough", US_national_yearly!$D:$AM, 25, FALSE) / VLOOKUP("electricity|SO2|Asthma symptoms cough", US_national_yearly!$D:$AM, 10, FALSE), 1)</f>
        <v>5.5087921076732579E-4</v>
      </c>
      <c r="R6" s="7">
        <f>$B6 * IFERROR(VLOOKUP("electricity|SO2|Asthma symptoms cough", US_national_yearly!$D:$AM, 26, FALSE) / VLOOKUP("electricity|SO2|Asthma symptoms cough", US_national_yearly!$D:$AM, 10, FALSE), 1)</f>
        <v>5.5087921076732579E-4</v>
      </c>
      <c r="S6" s="7">
        <f>$B6 * IFERROR(VLOOKUP("electricity|SO2|Asthma symptoms cough", US_national_yearly!$D:$AM, 27, FALSE) / VLOOKUP("electricity|SO2|Asthma symptoms cough", US_national_yearly!$D:$AM, 10, FALSE), 1)</f>
        <v>5.5087921076732579E-4</v>
      </c>
      <c r="T6" s="7">
        <f>$B6 * IFERROR(VLOOKUP("electricity|SO2|Asthma symptoms cough", US_national_yearly!$D:$AM, 28, FALSE) / VLOOKUP("electricity|SO2|Asthma symptoms cough", US_national_yearly!$D:$AM, 10, FALSE), 1)</f>
        <v>5.5087921076732579E-4</v>
      </c>
      <c r="U6" s="7">
        <f>$B6 * IFERROR(VLOOKUP("electricity|SO2|Asthma symptoms cough", US_national_yearly!$D:$AM, 29, FALSE) / VLOOKUP("electricity|SO2|Asthma symptoms cough", US_national_yearly!$D:$AM, 10, FALSE), 1)</f>
        <v>5.5087921076732579E-4</v>
      </c>
      <c r="V6" s="7">
        <f>$B6 * IFERROR(VLOOKUP("electricity|SO2|Asthma symptoms cough", US_national_yearly!$D:$AM, 30, FALSE) / VLOOKUP("electricity|SO2|Asthma symptoms cough", US_national_yearly!$D:$AM, 10, FALSE), 1)</f>
        <v>5.5087921076732579E-4</v>
      </c>
      <c r="W6" s="7">
        <f>$B6 * IFERROR(VLOOKUP("electricity|SO2|Asthma symptoms cough", US_national_yearly!$D:$AM, 31, FALSE) / VLOOKUP("electricity|SO2|Asthma symptoms cough", US_national_yearly!$D:$AM, 10, FALSE), 1)</f>
        <v>5.5087921076732579E-4</v>
      </c>
      <c r="X6" s="7">
        <f>$B6 * IFERROR(VLOOKUP("electricity|SO2|Asthma symptoms cough", US_national_yearly!$D:$AM, 32, FALSE) / VLOOKUP("electricity|SO2|Asthma symptoms cough", US_national_yearly!$D:$AM, 10, FALSE), 1)</f>
        <v>5.5087921076732579E-4</v>
      </c>
      <c r="Y6" s="7">
        <f>$B6 * IFERROR(VLOOKUP("electricity|SO2|Asthma symptoms cough", US_national_yearly!$D:$AM, 33, FALSE) / VLOOKUP("electricity|SO2|Asthma symptoms cough", US_national_yearly!$D:$AM, 10, FALSE), 1)</f>
        <v>5.5087921076732579E-4</v>
      </c>
      <c r="Z6" s="7">
        <f>$B6 * IFERROR(VLOOKUP("electricity|SO2|Asthma symptoms cough", US_national_yearly!$D:$AM, 34, FALSE) / VLOOKUP("electricity|SO2|Asthma symptoms cough", US_national_yearly!$D:$AM, 10, FALSE), 1)</f>
        <v>5.5087921076732579E-4</v>
      </c>
      <c r="AA6" s="7">
        <f>$B6 * IFERROR(VLOOKUP("electricity|SO2|Asthma symptoms cough", US_national_yearly!$D:$AM, 35, FALSE) / VLOOKUP("electricity|SO2|Asthma symptoms cough", US_national_yearly!$D:$AM, 10, FALSE), 1)</f>
        <v>5.5087921076732579E-4</v>
      </c>
      <c r="AB6" s="7">
        <f>$B6 * IFERROR(VLOOKUP("electricity|SO2|Asthma symptoms cough", US_national_yearly!$D:$AM, 36, FALSE) / VLOOKUP("electricity|SO2|Asthma symptoms cough", US_national_yearly!$D:$AM, 10, FALSE), 1)</f>
        <v>5.5087921076732579E-4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7.4183392925796692E-4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7.4183392925796692E-4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7.4183392925796692E-4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7.4183392925796692E-4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7.4183392925796692E-4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7.4183392925796692E-4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7.4183392925796692E-4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7.4183392925796692E-4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7.4183392925796692E-4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7.4183392925796692E-4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7.4183392925796692E-4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7.4183392925796692E-4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7.4183392925796692E-4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7.4183392925796692E-4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7.4183392925796692E-4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7.4183392925796692E-4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7.4183392925796692E-4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7.4183392925796692E-4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7.4183392925796692E-4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7.4183392925796692E-4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7.4183392925796692E-4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7.4183392925796692E-4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7.4183392925796692E-4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7.4183392925796692E-4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7.4183392925796692E-4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7.4183392925796692E-4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7.4183392925796692E-4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1.1334138656331262E-3</v>
      </c>
      <c r="C8" s="7">
        <f>$B8 * IFERROR(VLOOKUP("electricity|SO2|Asthma symptoms wheeze", US_national_yearly!$D:$AM, 11, FALSE) / VLOOKUP("electricity|SO2|Asthma symptoms wheeze", US_national_yearly!$D:$AM, 10, FALSE), 1)</f>
        <v>1.1334138656331262E-3</v>
      </c>
      <c r="D8" s="7">
        <f>$B8 * IFERROR(VLOOKUP("electricity|SO2|Asthma symptoms wheeze", US_national_yearly!$D:$AM, 12, FALSE) / VLOOKUP("electricity|SO2|Asthma symptoms wheeze", US_national_yearly!$D:$AM, 10, FALSE), 1)</f>
        <v>1.1334138656331262E-3</v>
      </c>
      <c r="E8" s="7">
        <f>$B8 * IFERROR(VLOOKUP("electricity|SO2|Asthma symptoms wheeze", US_national_yearly!$D:$AM, 13, FALSE) / VLOOKUP("electricity|SO2|Asthma symptoms wheeze", US_national_yearly!$D:$AM, 10, FALSE), 1)</f>
        <v>1.1334138656331262E-3</v>
      </c>
      <c r="F8" s="7">
        <f>$B8 * IFERROR(VLOOKUP("electricity|SO2|Asthma symptoms wheeze", US_national_yearly!$D:$AM, 14, FALSE) / VLOOKUP("electricity|SO2|Asthma symptoms wheeze", US_national_yearly!$D:$AM, 10, FALSE), 1)</f>
        <v>1.1334138656331262E-3</v>
      </c>
      <c r="G8" s="7">
        <f>$B8 * IFERROR(VLOOKUP("electricity|SO2|Asthma symptoms wheeze", US_national_yearly!$D:$AM, 15, FALSE) / VLOOKUP("electricity|SO2|Asthma symptoms wheeze", US_national_yearly!$D:$AM, 10, FALSE), 1)</f>
        <v>1.1334138656331262E-3</v>
      </c>
      <c r="H8" s="7">
        <f>$B8 * IFERROR(VLOOKUP("electricity|SO2|Asthma symptoms wheeze", US_national_yearly!$D:$AM, 16, FALSE) / VLOOKUP("electricity|SO2|Asthma symptoms wheeze", US_national_yearly!$D:$AM, 10, FALSE), 1)</f>
        <v>1.1334138656331262E-3</v>
      </c>
      <c r="I8" s="7">
        <f>$B8 * IFERROR(VLOOKUP("electricity|SO2|Asthma symptoms wheeze", US_national_yearly!$D:$AM, 17, FALSE) / VLOOKUP("electricity|SO2|Asthma symptoms wheeze", US_national_yearly!$D:$AM, 10, FALSE), 1)</f>
        <v>1.1334138656331262E-3</v>
      </c>
      <c r="J8" s="7">
        <f>$B8 * IFERROR(VLOOKUP("electricity|SO2|Asthma symptoms wheeze", US_national_yearly!$D:$AM, 18, FALSE) / VLOOKUP("electricity|SO2|Asthma symptoms wheeze", US_national_yearly!$D:$AM, 10, FALSE), 1)</f>
        <v>1.1334138656331262E-3</v>
      </c>
      <c r="K8" s="7">
        <f>$B8 * IFERROR(VLOOKUP("electricity|SO2|Asthma symptoms wheeze", US_national_yearly!$D:$AM, 19, FALSE) / VLOOKUP("electricity|SO2|Asthma symptoms wheeze", US_national_yearly!$D:$AM, 10, FALSE), 1)</f>
        <v>1.1334138656331262E-3</v>
      </c>
      <c r="L8" s="7">
        <f>$B8 * IFERROR(VLOOKUP("electricity|SO2|Asthma symptoms wheeze", US_national_yearly!$D:$AM, 20, FALSE) / VLOOKUP("electricity|SO2|Asthma symptoms wheeze", US_national_yearly!$D:$AM, 10, FALSE), 1)</f>
        <v>1.1334138656331262E-3</v>
      </c>
      <c r="M8" s="7">
        <f>$B8 * IFERROR(VLOOKUP("electricity|SO2|Asthma symptoms wheeze", US_national_yearly!$D:$AM, 21, FALSE) / VLOOKUP("electricity|SO2|Asthma symptoms wheeze", US_national_yearly!$D:$AM, 10, FALSE), 1)</f>
        <v>1.1334138656331262E-3</v>
      </c>
      <c r="N8" s="7">
        <f>$B8 * IFERROR(VLOOKUP("electricity|SO2|Asthma symptoms wheeze", US_national_yearly!$D:$AM, 22, FALSE) / VLOOKUP("electricity|SO2|Asthma symptoms wheeze", US_national_yearly!$D:$AM, 10, FALSE), 1)</f>
        <v>1.1334138656331262E-3</v>
      </c>
      <c r="O8" s="7">
        <f>$B8 * IFERROR(VLOOKUP("electricity|SO2|Asthma symptoms wheeze", US_national_yearly!$D:$AM, 23, FALSE) / VLOOKUP("electricity|SO2|Asthma symptoms wheeze", US_national_yearly!$D:$AM, 10, FALSE), 1)</f>
        <v>1.1334138656331262E-3</v>
      </c>
      <c r="P8" s="7">
        <f>$B8 * IFERROR(VLOOKUP("electricity|SO2|Asthma symptoms wheeze", US_national_yearly!$D:$AM, 24, FALSE) / VLOOKUP("electricity|SO2|Asthma symptoms wheeze", US_national_yearly!$D:$AM, 10, FALSE), 1)</f>
        <v>1.1334138656331262E-3</v>
      </c>
      <c r="Q8" s="7">
        <f>$B8 * IFERROR(VLOOKUP("electricity|SO2|Asthma symptoms wheeze", US_national_yearly!$D:$AM, 25, FALSE) / VLOOKUP("electricity|SO2|Asthma symptoms wheeze", US_national_yearly!$D:$AM, 10, FALSE), 1)</f>
        <v>1.1334138656331262E-3</v>
      </c>
      <c r="R8" s="7">
        <f>$B8 * IFERROR(VLOOKUP("electricity|SO2|Asthma symptoms wheeze", US_national_yearly!$D:$AM, 26, FALSE) / VLOOKUP("electricity|SO2|Asthma symptoms wheeze", US_national_yearly!$D:$AM, 10, FALSE), 1)</f>
        <v>1.1334138656331262E-3</v>
      </c>
      <c r="S8" s="7">
        <f>$B8 * IFERROR(VLOOKUP("electricity|SO2|Asthma symptoms wheeze", US_national_yearly!$D:$AM, 27, FALSE) / VLOOKUP("electricity|SO2|Asthma symptoms wheeze", US_national_yearly!$D:$AM, 10, FALSE), 1)</f>
        <v>1.1334138656331262E-3</v>
      </c>
      <c r="T8" s="7">
        <f>$B8 * IFERROR(VLOOKUP("electricity|SO2|Asthma symptoms wheeze", US_national_yearly!$D:$AM, 28, FALSE) / VLOOKUP("electricity|SO2|Asthma symptoms wheeze", US_national_yearly!$D:$AM, 10, FALSE), 1)</f>
        <v>1.1334138656331262E-3</v>
      </c>
      <c r="U8" s="7">
        <f>$B8 * IFERROR(VLOOKUP("electricity|SO2|Asthma symptoms wheeze", US_national_yearly!$D:$AM, 29, FALSE) / VLOOKUP("electricity|SO2|Asthma symptoms wheeze", US_national_yearly!$D:$AM, 10, FALSE), 1)</f>
        <v>1.1334138656331262E-3</v>
      </c>
      <c r="V8" s="7">
        <f>$B8 * IFERROR(VLOOKUP("electricity|SO2|Asthma symptoms wheeze", US_national_yearly!$D:$AM, 30, FALSE) / VLOOKUP("electricity|SO2|Asthma symptoms wheeze", US_national_yearly!$D:$AM, 10, FALSE), 1)</f>
        <v>1.1334138656331262E-3</v>
      </c>
      <c r="W8" s="7">
        <f>$B8 * IFERROR(VLOOKUP("electricity|SO2|Asthma symptoms wheeze", US_national_yearly!$D:$AM, 31, FALSE) / VLOOKUP("electricity|SO2|Asthma symptoms wheeze", US_national_yearly!$D:$AM, 10, FALSE), 1)</f>
        <v>1.1334138656331262E-3</v>
      </c>
      <c r="X8" s="7">
        <f>$B8 * IFERROR(VLOOKUP("electricity|SO2|Asthma symptoms wheeze", US_national_yearly!$D:$AM, 32, FALSE) / VLOOKUP("electricity|SO2|Asthma symptoms wheeze", US_national_yearly!$D:$AM, 10, FALSE), 1)</f>
        <v>1.1334138656331262E-3</v>
      </c>
      <c r="Y8" s="7">
        <f>$B8 * IFERROR(VLOOKUP("electricity|SO2|Asthma symptoms wheeze", US_national_yearly!$D:$AM, 33, FALSE) / VLOOKUP("electricity|SO2|Asthma symptoms wheeze", US_national_yearly!$D:$AM, 10, FALSE), 1)</f>
        <v>1.1334138656331262E-3</v>
      </c>
      <c r="Z8" s="7">
        <f>$B8 * IFERROR(VLOOKUP("electricity|SO2|Asthma symptoms wheeze", US_national_yearly!$D:$AM, 34, FALSE) / VLOOKUP("electricity|SO2|Asthma symptoms wheeze", US_national_yearly!$D:$AM, 10, FALSE), 1)</f>
        <v>1.1334138656331262E-3</v>
      </c>
      <c r="AA8" s="7">
        <f>$B8 * IFERROR(VLOOKUP("electricity|SO2|Asthma symptoms wheeze", US_national_yearly!$D:$AM, 35, FALSE) / VLOOKUP("electricity|SO2|Asthma symptoms wheeze", US_national_yearly!$D:$AM, 10, FALSE), 1)</f>
        <v>1.1334138656331262E-3</v>
      </c>
      <c r="AB8" s="7">
        <f>$B8 * IFERROR(VLOOKUP("electricity|SO2|Asthma symptoms wheeze", US_national_yearly!$D:$AM, 36, FALSE) / VLOOKUP("electricity|SO2|Asthma symptoms wheeze", US_national_yearly!$D:$AM, 10, FALSE), 1)</f>
        <v>1.1334138656331262E-3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1.2520794232932653E-5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1.2594537089756143E-5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1.2668279946579637E-5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1.2742022803403127E-5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1.2815765660226618E-5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1.2896122924135594E-5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1.2976480188044571E-5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1.3053785050283304E-5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1.3131089912522038E-5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1.3208394774760773E-5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1.3285699636999506E-5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1.3363004499238241E-5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1.3418452215813599E-5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1.3473899932388961E-5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1.3529347648964319E-5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1.3584795365539678E-5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1.3640243082115039E-5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1.3692577564704486E-5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1.3744912047293936E-5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1.3797246529883383E-5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1.3849581012472833E-5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1.3901915495062283E-5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1.3952121374146593E-5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1.4002327253230908E-5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1.4052533132315222E-5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1.4102739011399532E-5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1.4152944890483847E-5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6.6450906826224913E-5</v>
      </c>
      <c r="C13" s="7">
        <f>$B13 * IFERROR(VLOOKUP("electricity|SO2|Non-fatal heart attacks", US_national_yearly!$D:$AM, 11, FALSE) / VLOOKUP("electricity|SO2|Non-fatal heart attacks", US_national_yearly!$D:$AM, 10, FALSE), 1)</f>
        <v>6.8408256131734189E-5</v>
      </c>
      <c r="D13" s="7">
        <f>$B13 * IFERROR(VLOOKUP("electricity|SO2|Non-fatal heart attacks", US_national_yearly!$D:$AM, 12, FALSE) / VLOOKUP("electricity|SO2|Non-fatal heart attacks", US_national_yearly!$D:$AM, 10, FALSE), 1)</f>
        <v>7.0365605437243438E-5</v>
      </c>
      <c r="E13" s="7">
        <f>$B13 * IFERROR(VLOOKUP("electricity|SO2|Non-fatal heart attacks", US_national_yearly!$D:$AM, 13, FALSE) / VLOOKUP("electricity|SO2|Non-fatal heart attacks", US_national_yearly!$D:$AM, 10, FALSE), 1)</f>
        <v>7.2322954742752715E-5</v>
      </c>
      <c r="F13" s="7">
        <f>$B13 * IFERROR(VLOOKUP("electricity|SO2|Non-fatal heart attacks", US_national_yearly!$D:$AM, 14, FALSE) / VLOOKUP("electricity|SO2|Non-fatal heart attacks", US_national_yearly!$D:$AM, 10, FALSE), 1)</f>
        <v>7.4280304048261978E-5</v>
      </c>
      <c r="G13" s="7">
        <f>$B13 * IFERROR(VLOOKUP("electricity|SO2|Non-fatal heart attacks", US_national_yearly!$D:$AM, 15, FALSE) / VLOOKUP("electricity|SO2|Non-fatal heart attacks", US_national_yearly!$D:$AM, 10, FALSE), 1)</f>
        <v>7.6137887265666137E-5</v>
      </c>
      <c r="H13" s="7">
        <f>$B13 * IFERROR(VLOOKUP("electricity|SO2|Non-fatal heart attacks", US_national_yearly!$D:$AM, 16, FALSE) / VLOOKUP("electricity|SO2|Non-fatal heart attacks", US_national_yearly!$D:$AM, 10, FALSE), 1)</f>
        <v>7.7995470483070296E-5</v>
      </c>
      <c r="I13" s="7">
        <f>$B13 * IFERROR(VLOOKUP("electricity|SO2|Non-fatal heart attacks", US_national_yearly!$D:$AM, 17, FALSE) / VLOOKUP("electricity|SO2|Non-fatal heart attacks", US_national_yearly!$D:$AM, 10, FALSE), 1)</f>
        <v>7.950825939137879E-5</v>
      </c>
      <c r="J13" s="7">
        <f>$B13 * IFERROR(VLOOKUP("electricity|SO2|Non-fatal heart attacks", US_national_yearly!$D:$AM, 18, FALSE) / VLOOKUP("electricity|SO2|Non-fatal heart attacks", US_national_yearly!$D:$AM, 10, FALSE), 1)</f>
        <v>8.1021048299687284E-5</v>
      </c>
      <c r="K13" s="7">
        <f>$B13 * IFERROR(VLOOKUP("electricity|SO2|Non-fatal heart attacks", US_national_yearly!$D:$AM, 19, FALSE) / VLOOKUP("electricity|SO2|Non-fatal heart attacks", US_national_yearly!$D:$AM, 10, FALSE), 1)</f>
        <v>8.2533837207995778E-5</v>
      </c>
      <c r="L13" s="7">
        <f>$B13 * IFERROR(VLOOKUP("electricity|SO2|Non-fatal heart attacks", US_national_yearly!$D:$AM, 20, FALSE) / VLOOKUP("electricity|SO2|Non-fatal heart attacks", US_national_yearly!$D:$AM, 10, FALSE), 1)</f>
        <v>8.4046626116304258E-5</v>
      </c>
      <c r="M13" s="7">
        <f>$B13 * IFERROR(VLOOKUP("electricity|SO2|Non-fatal heart attacks", US_national_yearly!$D:$AM, 21, FALSE) / VLOOKUP("electricity|SO2|Non-fatal heart attacks", US_national_yearly!$D:$AM, 10, FALSE), 1)</f>
        <v>8.5559415024612752E-5</v>
      </c>
      <c r="N13" s="7">
        <f>$B13 * IFERROR(VLOOKUP("electricity|SO2|Non-fatal heart attacks", US_national_yearly!$D:$AM, 22, FALSE) / VLOOKUP("electricity|SO2|Non-fatal heart attacks", US_national_yearly!$D:$AM, 10, FALSE), 1)</f>
        <v>8.6557028089890526E-5</v>
      </c>
      <c r="O13" s="7">
        <f>$B13 * IFERROR(VLOOKUP("electricity|SO2|Non-fatal heart attacks", US_national_yearly!$D:$AM, 23, FALSE) / VLOOKUP("electricity|SO2|Non-fatal heart attacks", US_national_yearly!$D:$AM, 10, FALSE), 1)</f>
        <v>8.7554641155168287E-5</v>
      </c>
      <c r="P13" s="7">
        <f>$B13 * IFERROR(VLOOKUP("electricity|SO2|Non-fatal heart attacks", US_national_yearly!$D:$AM, 24, FALSE) / VLOOKUP("electricity|SO2|Non-fatal heart attacks", US_national_yearly!$D:$AM, 10, FALSE), 1)</f>
        <v>8.8552254220446047E-5</v>
      </c>
      <c r="Q13" s="7">
        <f>$B13 * IFERROR(VLOOKUP("electricity|SO2|Non-fatal heart attacks", US_national_yearly!$D:$AM, 25, FALSE) / VLOOKUP("electricity|SO2|Non-fatal heart attacks", US_national_yearly!$D:$AM, 10, FALSE), 1)</f>
        <v>8.9549867285723821E-5</v>
      </c>
      <c r="R13" s="7">
        <f>$B13 * IFERROR(VLOOKUP("electricity|SO2|Non-fatal heart attacks", US_national_yearly!$D:$AM, 26, FALSE) / VLOOKUP("electricity|SO2|Non-fatal heart attacks", US_national_yearly!$D:$AM, 10, FALSE), 1)</f>
        <v>9.0547480351001595E-5</v>
      </c>
      <c r="S13" s="7">
        <f>$B13 * IFERROR(VLOOKUP("electricity|SO2|Non-fatal heart attacks", US_national_yearly!$D:$AM, 27, FALSE) / VLOOKUP("electricity|SO2|Non-fatal heart attacks", US_national_yearly!$D:$AM, 10, FALSE), 1)</f>
        <v>9.1090357640902621E-5</v>
      </c>
      <c r="T13" s="7">
        <f>$B13 * IFERROR(VLOOKUP("electricity|SO2|Non-fatal heart attacks", US_national_yearly!$D:$AM, 28, FALSE) / VLOOKUP("electricity|SO2|Non-fatal heart attacks", US_national_yearly!$D:$AM, 10, FALSE), 1)</f>
        <v>9.1633234930803661E-5</v>
      </c>
      <c r="U13" s="7">
        <f>$B13 * IFERROR(VLOOKUP("electricity|SO2|Non-fatal heart attacks", US_national_yearly!$D:$AM, 29, FALSE) / VLOOKUP("electricity|SO2|Non-fatal heart attacks", US_national_yearly!$D:$AM, 10, FALSE), 1)</f>
        <v>9.21761122207047E-5</v>
      </c>
      <c r="V13" s="7">
        <f>$B13 * IFERROR(VLOOKUP("electricity|SO2|Non-fatal heart attacks", US_national_yearly!$D:$AM, 30, FALSE) / VLOOKUP("electricity|SO2|Non-fatal heart attacks", US_national_yearly!$D:$AM, 10, FALSE), 1)</f>
        <v>9.2718989510605712E-5</v>
      </c>
      <c r="W13" s="7">
        <f>$B13 * IFERROR(VLOOKUP("electricity|SO2|Non-fatal heart attacks", US_national_yearly!$D:$AM, 31, FALSE) / VLOOKUP("electricity|SO2|Non-fatal heart attacks", US_national_yearly!$D:$AM, 10, FALSE), 1)</f>
        <v>9.3261866800506752E-5</v>
      </c>
      <c r="X13" s="7">
        <f>$B13 * IFERROR(VLOOKUP("electricity|SO2|Non-fatal heart attacks", US_national_yearly!$D:$AM, 32, FALSE) / VLOOKUP("electricity|SO2|Non-fatal heart attacks", US_national_yearly!$D:$AM, 10, FALSE), 1)</f>
        <v>9.3678887190298907E-5</v>
      </c>
      <c r="Y13" s="7">
        <f>$B13 * IFERROR(VLOOKUP("electricity|SO2|Non-fatal heart attacks", US_national_yearly!$D:$AM, 33, FALSE) / VLOOKUP("electricity|SO2|Non-fatal heart attacks", US_national_yearly!$D:$AM, 10, FALSE), 1)</f>
        <v>9.4095907580091077E-5</v>
      </c>
      <c r="Z13" s="7">
        <f>$B13 * IFERROR(VLOOKUP("electricity|SO2|Non-fatal heart attacks", US_national_yearly!$D:$AM, 34, FALSE) / VLOOKUP("electricity|SO2|Non-fatal heart attacks", US_national_yearly!$D:$AM, 10, FALSE), 1)</f>
        <v>9.4512927969883219E-5</v>
      </c>
      <c r="AA13" s="7">
        <f>$B13 * IFERROR(VLOOKUP("electricity|SO2|Non-fatal heart attacks", US_national_yearly!$D:$AM, 35, FALSE) / VLOOKUP("electricity|SO2|Non-fatal heart attacks", US_national_yearly!$D:$AM, 10, FALSE), 1)</f>
        <v>9.4929948359675362E-5</v>
      </c>
      <c r="AB13" s="7">
        <f>$B13 * IFERROR(VLOOKUP("electricity|SO2|Non-fatal heart attacks", US_national_yearly!$D:$AM, 36, FALSE) / VLOOKUP("electricity|SO2|Non-fatal heart attacks", US_national_yearly!$D:$AM, 10, FALSE), 1)</f>
        <v>9.5346968749467518E-5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6.1710110269363759E-2</v>
      </c>
      <c r="C14" s="7">
        <f>$B14 * IFERROR(VLOOKUP("electricity|SO2|Minor restricted activity days", US_national_yearly!$D:$AM, 11, FALSE) / VLOOKUP("electricity|SO2|Minor restricted activity days", US_national_yearly!$D:$AM, 10, FALSE), 1)</f>
        <v>6.1865184824415588E-2</v>
      </c>
      <c r="D14" s="7">
        <f>$B14 * IFERROR(VLOOKUP("electricity|SO2|Minor restricted activity days", US_national_yearly!$D:$AM, 12, FALSE) / VLOOKUP("electricity|SO2|Minor restricted activity days", US_national_yearly!$D:$AM, 10, FALSE), 1)</f>
        <v>6.2020259379467417E-2</v>
      </c>
      <c r="E14" s="7">
        <f>$B14 * IFERROR(VLOOKUP("electricity|SO2|Minor restricted activity days", US_national_yearly!$D:$AM, 13, FALSE) / VLOOKUP("electricity|SO2|Minor restricted activity days", US_national_yearly!$D:$AM, 10, FALSE), 1)</f>
        <v>6.217533393451926E-2</v>
      </c>
      <c r="F14" s="7">
        <f>$B14 * IFERROR(VLOOKUP("electricity|SO2|Minor restricted activity days", US_national_yearly!$D:$AM, 14, FALSE) / VLOOKUP("electricity|SO2|Minor restricted activity days", US_national_yearly!$D:$AM, 10, FALSE), 1)</f>
        <v>6.2330408489571075E-2</v>
      </c>
      <c r="G14" s="7">
        <f>$B14 * IFERROR(VLOOKUP("electricity|SO2|Minor restricted activity days", US_national_yearly!$D:$AM, 15, FALSE) / VLOOKUP("electricity|SO2|Minor restricted activity days", US_national_yearly!$D:$AM, 10, FALSE), 1)</f>
        <v>6.2554457695515361E-2</v>
      </c>
      <c r="H14" s="7">
        <f>$B14 * IFERROR(VLOOKUP("electricity|SO2|Minor restricted activity days", US_national_yearly!$D:$AM, 16, FALSE) / VLOOKUP("electricity|SO2|Minor restricted activity days", US_national_yearly!$D:$AM, 10, FALSE), 1)</f>
        <v>6.2778506901459669E-2</v>
      </c>
      <c r="I14" s="7">
        <f>$B14 * IFERROR(VLOOKUP("electricity|SO2|Minor restricted activity days", US_national_yearly!$D:$AM, 17, FALSE) / VLOOKUP("electricity|SO2|Minor restricted activity days", US_national_yearly!$D:$AM, 10, FALSE), 1)</f>
        <v>6.3162768539468145E-2</v>
      </c>
      <c r="J14" s="7">
        <f>$B14 * IFERROR(VLOOKUP("electricity|SO2|Minor restricted activity days", US_national_yearly!$D:$AM, 18, FALSE) / VLOOKUP("electricity|SO2|Minor restricted activity days", US_national_yearly!$D:$AM, 10, FALSE), 1)</f>
        <v>6.3547030177476649E-2</v>
      </c>
      <c r="K14" s="7">
        <f>$B14 * IFERROR(VLOOKUP("electricity|SO2|Minor restricted activity days", US_national_yearly!$D:$AM, 19, FALSE) / VLOOKUP("electricity|SO2|Minor restricted activity days", US_national_yearly!$D:$AM, 10, FALSE), 1)</f>
        <v>6.3931291815485139E-2</v>
      </c>
      <c r="L14" s="7">
        <f>$B14 * IFERROR(VLOOKUP("electricity|SO2|Minor restricted activity days", US_national_yearly!$D:$AM, 20, FALSE) / VLOOKUP("electricity|SO2|Minor restricted activity days", US_national_yearly!$D:$AM, 10, FALSE), 1)</f>
        <v>6.4315553453493643E-2</v>
      </c>
      <c r="M14" s="7">
        <f>$B14 * IFERROR(VLOOKUP("electricity|SO2|Minor restricted activity days", US_national_yearly!$D:$AM, 21, FALSE) / VLOOKUP("electricity|SO2|Minor restricted activity days", US_national_yearly!$D:$AM, 10, FALSE), 1)</f>
        <v>6.4699815091502133E-2</v>
      </c>
      <c r="N14" s="7">
        <f>$B14 * IFERROR(VLOOKUP("electricity|SO2|Minor restricted activity days", US_national_yearly!$D:$AM, 22, FALSE) / VLOOKUP("electricity|SO2|Minor restricted activity days", US_national_yearly!$D:$AM, 10, FALSE), 1)</f>
        <v>6.522899887265117E-2</v>
      </c>
      <c r="O14" s="7">
        <f>$B14 * IFERROR(VLOOKUP("electricity|SO2|Minor restricted activity days", US_national_yearly!$D:$AM, 23, FALSE) / VLOOKUP("electricity|SO2|Minor restricted activity days", US_national_yearly!$D:$AM, 10, FALSE), 1)</f>
        <v>6.5758182653800207E-2</v>
      </c>
      <c r="P14" s="7">
        <f>$B14 * IFERROR(VLOOKUP("electricity|SO2|Minor restricted activity days", US_national_yearly!$D:$AM, 24, FALSE) / VLOOKUP("electricity|SO2|Minor restricted activity days", US_national_yearly!$D:$AM, 10, FALSE), 1)</f>
        <v>6.628736643494923E-2</v>
      </c>
      <c r="Q14" s="7">
        <f>$B14 * IFERROR(VLOOKUP("electricity|SO2|Minor restricted activity days", US_national_yearly!$D:$AM, 25, FALSE) / VLOOKUP("electricity|SO2|Minor restricted activity days", US_national_yearly!$D:$AM, 10, FALSE), 1)</f>
        <v>6.681655021609828E-2</v>
      </c>
      <c r="R14" s="7">
        <f>$B14 * IFERROR(VLOOKUP("electricity|SO2|Minor restricted activity days", US_national_yearly!$D:$AM, 26, FALSE) / VLOOKUP("electricity|SO2|Minor restricted activity days", US_national_yearly!$D:$AM, 10, FALSE), 1)</f>
        <v>6.7345733997247303E-2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6.7888230803300267E-2</v>
      </c>
      <c r="T14" s="7">
        <f>$B14 * IFERROR(VLOOKUP("electricity|SO2|Minor restricted activity days", US_national_yearly!$D:$AM, 28, FALSE) / VLOOKUP("electricity|SO2|Minor restricted activity days", US_national_yearly!$D:$AM, 10, FALSE), 1)</f>
        <v>6.8430727609353231E-2</v>
      </c>
      <c r="U14" s="7">
        <f>$B14 * IFERROR(VLOOKUP("electricity|SO2|Minor restricted activity days", US_national_yearly!$D:$AM, 29, FALSE) / VLOOKUP("electricity|SO2|Minor restricted activity days", US_national_yearly!$D:$AM, 10, FALSE), 1)</f>
        <v>6.8973224415406181E-2</v>
      </c>
      <c r="V14" s="7">
        <f>$B14 * IFERROR(VLOOKUP("electricity|SO2|Minor restricted activity days", US_national_yearly!$D:$AM, 30, FALSE) / VLOOKUP("electricity|SO2|Minor restricted activity days", US_national_yearly!$D:$AM, 10, FALSE), 1)</f>
        <v>6.9515721221459145E-2</v>
      </c>
      <c r="W14" s="7">
        <f>$B14 * IFERROR(VLOOKUP("electricity|SO2|Minor restricted activity days", US_national_yearly!$D:$AM, 31, FALSE) / VLOOKUP("electricity|SO2|Minor restricted activity days", US_national_yearly!$D:$AM, 10, FALSE), 1)</f>
        <v>7.0058218027512109E-2</v>
      </c>
      <c r="X14" s="7">
        <f>$B14 * IFERROR(VLOOKUP("electricity|SO2|Minor restricted activity days", US_national_yearly!$D:$AM, 32, FALSE) / VLOOKUP("electricity|SO2|Minor restricted activity days", US_national_yearly!$D:$AM, 10, FALSE), 1)</f>
        <v>7.0535555760577115E-2</v>
      </c>
      <c r="Y14" s="7">
        <f>$B14 * IFERROR(VLOOKUP("electricity|SO2|Minor restricted activity days", US_national_yearly!$D:$AM, 33, FALSE) / VLOOKUP("electricity|SO2|Minor restricted activity days", US_national_yearly!$D:$AM, 10, FALSE), 1)</f>
        <v>7.1012893493642107E-2</v>
      </c>
      <c r="Z14" s="7">
        <f>$B14 * IFERROR(VLOOKUP("electricity|SO2|Minor restricted activity days", US_national_yearly!$D:$AM, 34, FALSE) / VLOOKUP("electricity|SO2|Minor restricted activity days", US_national_yearly!$D:$AM, 10, FALSE), 1)</f>
        <v>7.1490231226707099E-2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7.1967568959772105E-2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7.2444906692837097E-2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1.045663261750009E-2</v>
      </c>
      <c r="C15" s="7">
        <f>$B15 * IFERROR(VLOOKUP("electricity|SO2|Work loss days", US_national_yearly!$D:$AM, 11, FALSE) / VLOOKUP("electricity|SO2|Work loss days", US_national_yearly!$D:$AM, 10, FALSE), 1)</f>
        <v>1.0490491510157294E-2</v>
      </c>
      <c r="D15" s="7">
        <f>$B15 * IFERROR(VLOOKUP("electricity|SO2|Work loss days", US_national_yearly!$D:$AM, 12, FALSE) / VLOOKUP("electricity|SO2|Work loss days", US_national_yearly!$D:$AM, 10, FALSE), 1)</f>
        <v>1.0524350402814499E-2</v>
      </c>
      <c r="E15" s="7">
        <f>$B15 * IFERROR(VLOOKUP("electricity|SO2|Work loss days", US_national_yearly!$D:$AM, 13, FALSE) / VLOOKUP("electricity|SO2|Work loss days", US_national_yearly!$D:$AM, 10, FALSE), 1)</f>
        <v>1.0558209295471705E-2</v>
      </c>
      <c r="F15" s="7">
        <f>$B15 * IFERROR(VLOOKUP("electricity|SO2|Work loss days", US_national_yearly!$D:$AM, 14, FALSE) / VLOOKUP("electricity|SO2|Work loss days", US_national_yearly!$D:$AM, 10, FALSE), 1)</f>
        <v>1.059206818812891E-2</v>
      </c>
      <c r="G15" s="7">
        <f>$B15 * IFERROR(VLOOKUP("electricity|SO2|Work loss days", US_national_yearly!$D:$AM, 15, FALSE) / VLOOKUP("electricity|SO2|Work loss days", US_national_yearly!$D:$AM, 10, FALSE), 1)</f>
        <v>1.0635443527653469E-2</v>
      </c>
      <c r="H15" s="7">
        <f>$B15 * IFERROR(VLOOKUP("electricity|SO2|Work loss days", US_national_yearly!$D:$AM, 16, FALSE) / VLOOKUP("electricity|SO2|Work loss days", US_national_yearly!$D:$AM, 10, FALSE), 1)</f>
        <v>1.0678818867178029E-2</v>
      </c>
      <c r="I15" s="7">
        <f>$B15 * IFERROR(VLOOKUP("electricity|SO2|Work loss days", US_national_yearly!$D:$AM, 17, FALSE) / VLOOKUP("electricity|SO2|Work loss days", US_national_yearly!$D:$AM, 10, FALSE), 1)</f>
        <v>1.0742282091102824E-2</v>
      </c>
      <c r="J15" s="7">
        <f>$B15 * IFERROR(VLOOKUP("electricity|SO2|Work loss days", US_national_yearly!$D:$AM, 18, FALSE) / VLOOKUP("electricity|SO2|Work loss days", US_national_yearly!$D:$AM, 10, FALSE), 1)</f>
        <v>1.0805745315027617E-2</v>
      </c>
      <c r="K15" s="7">
        <f>$B15 * IFERROR(VLOOKUP("electricity|SO2|Work loss days", US_national_yearly!$D:$AM, 19, FALSE) / VLOOKUP("electricity|SO2|Work loss days", US_national_yearly!$D:$AM, 10, FALSE), 1)</f>
        <v>1.0869208538952416E-2</v>
      </c>
      <c r="L15" s="7">
        <f>$B15 * IFERROR(VLOOKUP("electricity|SO2|Work loss days", US_national_yearly!$D:$AM, 20, FALSE) / VLOOKUP("electricity|SO2|Work loss days", US_national_yearly!$D:$AM, 10, FALSE), 1)</f>
        <v>1.0932671762877209E-2</v>
      </c>
      <c r="M15" s="7">
        <f>$B15 * IFERROR(VLOOKUP("electricity|SO2|Work loss days", US_national_yearly!$D:$AM, 21, FALSE) / VLOOKUP("electricity|SO2|Work loss days", US_national_yearly!$D:$AM, 10, FALSE), 1)</f>
        <v>1.0996134986802008E-2</v>
      </c>
      <c r="N15" s="7">
        <f>$B15 * IFERROR(VLOOKUP("electricity|SO2|Work loss days", US_national_yearly!$D:$AM, 22, FALSE) / VLOOKUP("electricity|SO2|Work loss days", US_national_yearly!$D:$AM, 10, FALSE), 1)</f>
        <v>1.1076431748005176E-2</v>
      </c>
      <c r="O15" s="7">
        <f>$B15 * IFERROR(VLOOKUP("electricity|SO2|Work loss days", US_national_yearly!$D:$AM, 23, FALSE) / VLOOKUP("electricity|SO2|Work loss days", US_national_yearly!$D:$AM, 10, FALSE), 1)</f>
        <v>1.1156728509208349E-2</v>
      </c>
      <c r="P15" s="7">
        <f>$B15 * IFERROR(VLOOKUP("electricity|SO2|Work loss days", US_national_yearly!$D:$AM, 24, FALSE) / VLOOKUP("electricity|SO2|Work loss days", US_national_yearly!$D:$AM, 10, FALSE), 1)</f>
        <v>1.1237025270411521E-2</v>
      </c>
      <c r="Q15" s="7">
        <f>$B15 * IFERROR(VLOOKUP("electricity|SO2|Work loss days", US_national_yearly!$D:$AM, 25, FALSE) / VLOOKUP("electricity|SO2|Work loss days", US_national_yearly!$D:$AM, 10, FALSE), 1)</f>
        <v>1.1317322031614689E-2</v>
      </c>
      <c r="R15" s="7">
        <f>$B15 * IFERROR(VLOOKUP("electricity|SO2|Work loss days", US_national_yearly!$D:$AM, 26, FALSE) / VLOOKUP("electricity|SO2|Work loss days", US_national_yearly!$D:$AM, 10, FALSE), 1)</f>
        <v>1.1397618792817862E-2</v>
      </c>
      <c r="S15" s="7">
        <f>$B15 * IFERROR(VLOOKUP("electricity|SO2|Work loss days", US_national_yearly!$D:$AM, 27, FALSE) / VLOOKUP("electricity|SO2|Work loss days", US_national_yearly!$D:$AM, 10, FALSE), 1)</f>
        <v>1.1487638955184563E-2</v>
      </c>
      <c r="T15" s="7">
        <f>$B15 * IFERROR(VLOOKUP("electricity|SO2|Work loss days", US_national_yearly!$D:$AM, 28, FALSE) / VLOOKUP("electricity|SO2|Work loss days", US_national_yearly!$D:$AM, 10, FALSE), 1)</f>
        <v>1.1577659117551268E-2</v>
      </c>
      <c r="U15" s="7">
        <f>$B15 * IFERROR(VLOOKUP("electricity|SO2|Work loss days", US_national_yearly!$D:$AM, 29, FALSE) / VLOOKUP("electricity|SO2|Work loss days", US_national_yearly!$D:$AM, 10, FALSE), 1)</f>
        <v>1.1667679279917973E-2</v>
      </c>
      <c r="V15" s="7">
        <f>$B15 * IFERROR(VLOOKUP("electricity|SO2|Work loss days", US_national_yearly!$D:$AM, 30, FALSE) / VLOOKUP("electricity|SO2|Work loss days", US_national_yearly!$D:$AM, 10, FALSE), 1)</f>
        <v>1.1757699442284678E-2</v>
      </c>
      <c r="W15" s="7">
        <f>$B15 * IFERROR(VLOOKUP("electricity|SO2|Work loss days", US_national_yearly!$D:$AM, 31, FALSE) / VLOOKUP("electricity|SO2|Work loss days", US_national_yearly!$D:$AM, 10, FALSE), 1)</f>
        <v>1.1847719604651381E-2</v>
      </c>
      <c r="X15" s="7">
        <f>$B15 * IFERROR(VLOOKUP("electricity|SO2|Work loss days", US_national_yearly!$D:$AM, 32, FALSE) / VLOOKUP("electricity|SO2|Work loss days", US_national_yearly!$D:$AM, 10, FALSE), 1)</f>
        <v>1.1928818867420974E-2</v>
      </c>
      <c r="Y15" s="7">
        <f>$B15 * IFERROR(VLOOKUP("electricity|SO2|Work loss days", US_national_yearly!$D:$AM, 33, FALSE) / VLOOKUP("electricity|SO2|Work loss days", US_national_yearly!$D:$AM, 10, FALSE), 1)</f>
        <v>1.2009918130190568E-2</v>
      </c>
      <c r="Z15" s="7">
        <f>$B15 * IFERROR(VLOOKUP("electricity|SO2|Work loss days", US_national_yearly!$D:$AM, 34, FALSE) / VLOOKUP("electricity|SO2|Work loss days", US_national_yearly!$D:$AM, 10, FALSE), 1)</f>
        <v>1.2091017392960158E-2</v>
      </c>
      <c r="AA15" s="7">
        <f>$B15 * IFERROR(VLOOKUP("electricity|SO2|Work loss days", US_national_yearly!$D:$AM, 35, FALSE) / VLOOKUP("electricity|SO2|Work loss days", US_national_yearly!$D:$AM, 10, FALSE), 1)</f>
        <v>1.2172116655729752E-2</v>
      </c>
      <c r="AB15" s="7">
        <f>$B15 * IFERROR(VLOOKUP("electricity|SO2|Work loss days", US_national_yearly!$D:$AM, 36, FALSE) / VLOOKUP("electricity|SO2|Work loss days", US_national_yearly!$D:$AM, 10, FALSE), 1)</f>
        <v>1.2253215918499346E-2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1.3927295321868536E-5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1.4349331085523156E-5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1.4771366849177776E-5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1.5193402612832399E-5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1.5615438376487019E-5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1.6022253959877189E-5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1.6429069543267363E-5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1.6781266286109422E-5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1.7133463028951481E-5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1.748565977179354E-5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1.7837856514635596E-5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1.8190053257477652E-5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1.8430426595469854E-5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1.8670799933462053E-5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1.8911173271454262E-5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1.915154660944646E-5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1.9391919947438663E-5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1.9523697014813559E-5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1.9655474082188451E-5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1.9787251149563351E-5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1.9919028216938243E-5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2.0050805284313136E-5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2.0141769389010428E-5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2.0232733493707713E-5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2.0323697598405001E-5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2.0414661703102286E-5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2.0505625807799574E-5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1.393686168018602E-2</v>
      </c>
      <c r="C2" s="7">
        <f>$B2 * IFERROR(VLOOKUP("buildings|PM25|Premature mortality", US_national_yearly!$D:$AM, 11, FALSE) / VLOOKUP("buildings|PM25|Premature mortality", US_national_yearly!$D:$AM, 10, FALSE), 1)</f>
        <v>1.4109773374228304E-2</v>
      </c>
      <c r="D2" s="7">
        <f>$B2 * IFERROR(VLOOKUP("buildings|PM25|Premature mortality", US_national_yearly!$D:$AM, 12, FALSE) / VLOOKUP("buildings|PM25|Premature mortality", US_national_yearly!$D:$AM, 10, FALSE), 1)</f>
        <v>1.4282685068270587E-2</v>
      </c>
      <c r="E2" s="7">
        <f>$B2 * IFERROR(VLOOKUP("buildings|PM25|Premature mortality", US_national_yearly!$D:$AM, 13, FALSE) / VLOOKUP("buildings|PM25|Premature mortality", US_national_yearly!$D:$AM, 10, FALSE), 1)</f>
        <v>1.445559676231287E-2</v>
      </c>
      <c r="F2" s="7">
        <f>$B2 * IFERROR(VLOOKUP("buildings|PM25|Premature mortality", US_national_yearly!$D:$AM, 14, FALSE) / VLOOKUP("buildings|PM25|Premature mortality", US_national_yearly!$D:$AM, 10, FALSE), 1)</f>
        <v>1.4628508456355153E-2</v>
      </c>
      <c r="G2" s="7">
        <f>$B2 * IFERROR(VLOOKUP("buildings|PM25|Premature mortality", US_national_yearly!$D:$AM, 15, FALSE) / VLOOKUP("buildings|PM25|Premature mortality", US_national_yearly!$D:$AM, 10, FALSE), 1)</f>
        <v>1.4965202983842784E-2</v>
      </c>
      <c r="H2" s="7">
        <f>$B2 * IFERROR(VLOOKUP("buildings|PM25|Premature mortality", US_national_yearly!$D:$AM, 16, FALSE) / VLOOKUP("buildings|PM25|Premature mortality", US_national_yearly!$D:$AM, 10, FALSE), 1)</f>
        <v>1.5301897511330414E-2</v>
      </c>
      <c r="I2" s="7">
        <f>$B2 * IFERROR(VLOOKUP("buildings|PM25|Premature mortality", US_national_yearly!$D:$AM, 17, FALSE) / VLOOKUP("buildings|PM25|Premature mortality", US_national_yearly!$D:$AM, 10, FALSE), 1)</f>
        <v>1.5523335702820521E-2</v>
      </c>
      <c r="J2" s="7">
        <f>$B2 * IFERROR(VLOOKUP("buildings|PM25|Premature mortality", US_national_yearly!$D:$AM, 18, FALSE) / VLOOKUP("buildings|PM25|Premature mortality", US_national_yearly!$D:$AM, 10, FALSE), 1)</f>
        <v>1.5744773894310629E-2</v>
      </c>
      <c r="K2" s="7">
        <f>$B2 * IFERROR(VLOOKUP("buildings|PM25|Premature mortality", US_national_yearly!$D:$AM, 19, FALSE) / VLOOKUP("buildings|PM25|Premature mortality", US_national_yearly!$D:$AM, 10, FALSE), 1)</f>
        <v>1.5966212085800735E-2</v>
      </c>
      <c r="L2" s="7">
        <f>$B2 * IFERROR(VLOOKUP("buildings|PM25|Premature mortality", US_national_yearly!$D:$AM, 20, FALSE) / VLOOKUP("buildings|PM25|Premature mortality", US_national_yearly!$D:$AM, 10, FALSE), 1)</f>
        <v>1.6187650277290844E-2</v>
      </c>
      <c r="M2" s="7">
        <f>$B2 * IFERROR(VLOOKUP("buildings|PM25|Premature mortality", US_national_yearly!$D:$AM, 21, FALSE) / VLOOKUP("buildings|PM25|Premature mortality", US_national_yearly!$D:$AM, 10, FALSE), 1)</f>
        <v>1.640908846878095E-2</v>
      </c>
      <c r="N2" s="7">
        <f>$B2 * IFERROR(VLOOKUP("buildings|PM25|Premature mortality", US_national_yearly!$D:$AM, 22, FALSE) / VLOOKUP("buildings|PM25|Premature mortality", US_national_yearly!$D:$AM, 10, FALSE), 1)</f>
        <v>1.6581281273706398E-2</v>
      </c>
      <c r="O2" s="7">
        <f>$B2 * IFERROR(VLOOKUP("buildings|PM25|Premature mortality", US_national_yearly!$D:$AM, 23, FALSE) / VLOOKUP("buildings|PM25|Premature mortality", US_national_yearly!$D:$AM, 10, FALSE), 1)</f>
        <v>1.6753474078631848E-2</v>
      </c>
      <c r="P2" s="7">
        <f>$B2 * IFERROR(VLOOKUP("buildings|PM25|Premature mortality", US_national_yearly!$D:$AM, 24, FALSE) / VLOOKUP("buildings|PM25|Premature mortality", US_national_yearly!$D:$AM, 10, FALSE), 1)</f>
        <v>1.6925666883557296E-2</v>
      </c>
      <c r="Q2" s="7">
        <f>$B2 * IFERROR(VLOOKUP("buildings|PM25|Premature mortality", US_national_yearly!$D:$AM, 25, FALSE) / VLOOKUP("buildings|PM25|Premature mortality", US_national_yearly!$D:$AM, 10, FALSE), 1)</f>
        <v>1.7097859688482746E-2</v>
      </c>
      <c r="R2" s="7">
        <f>$B2 * IFERROR(VLOOKUP("buildings|PM25|Premature mortality", US_national_yearly!$D:$AM, 26, FALSE) / VLOOKUP("buildings|PM25|Premature mortality", US_national_yearly!$D:$AM, 10, FALSE), 1)</f>
        <v>1.7270052493408194E-2</v>
      </c>
      <c r="S2" s="7">
        <f>$B2 * IFERROR(VLOOKUP("buildings|PM25|Premature mortality", US_national_yearly!$D:$AM, 27, FALSE) / VLOOKUP("buildings|PM25|Premature mortality", US_national_yearly!$D:$AM, 10, FALSE), 1)</f>
        <v>1.7361574679596151E-2</v>
      </c>
      <c r="T2" s="7">
        <f>$B2 * IFERROR(VLOOKUP("buildings|PM25|Premature mortality", US_national_yearly!$D:$AM, 28, FALSE) / VLOOKUP("buildings|PM25|Premature mortality", US_national_yearly!$D:$AM, 10, FALSE), 1)</f>
        <v>1.7453096865784112E-2</v>
      </c>
      <c r="U2" s="7">
        <f>$B2 * IFERROR(VLOOKUP("buildings|PM25|Premature mortality", US_national_yearly!$D:$AM, 29, FALSE) / VLOOKUP("buildings|PM25|Premature mortality", US_national_yearly!$D:$AM, 10, FALSE), 1)</f>
        <v>1.7544619051972073E-2</v>
      </c>
      <c r="V2" s="7">
        <f>$B2 * IFERROR(VLOOKUP("buildings|PM25|Premature mortality", US_national_yearly!$D:$AM, 30, FALSE) / VLOOKUP("buildings|PM25|Premature mortality", US_national_yearly!$D:$AM, 10, FALSE), 1)</f>
        <v>1.7636141238160034E-2</v>
      </c>
      <c r="W2" s="7">
        <f>$B2 * IFERROR(VLOOKUP("buildings|PM25|Premature mortality", US_national_yearly!$D:$AM, 31, FALSE) / VLOOKUP("buildings|PM25|Premature mortality", US_national_yearly!$D:$AM, 10, FALSE), 1)</f>
        <v>1.7727663424347992E-2</v>
      </c>
      <c r="X2" s="7">
        <f>$B2 * IFERROR(VLOOKUP("buildings|PM25|Premature mortality", US_national_yearly!$D:$AM, 32, FALSE) / VLOOKUP("buildings|PM25|Premature mortality", US_national_yearly!$D:$AM, 10, FALSE), 1)</f>
        <v>1.774409092201349E-2</v>
      </c>
      <c r="Y2" s="7">
        <f>$B2 * IFERROR(VLOOKUP("buildings|PM25|Premature mortality", US_national_yearly!$D:$AM, 33, FALSE) / VLOOKUP("buildings|PM25|Premature mortality", US_national_yearly!$D:$AM, 10, FALSE), 1)</f>
        <v>1.7760518419678989E-2</v>
      </c>
      <c r="Z2" s="7">
        <f>$B2 * IFERROR(VLOOKUP("buildings|PM25|Premature mortality", US_national_yearly!$D:$AM, 34, FALSE) / VLOOKUP("buildings|PM25|Premature mortality", US_national_yearly!$D:$AM, 10, FALSE), 1)</f>
        <v>1.7776945917344487E-2</v>
      </c>
      <c r="AA2" s="7">
        <f>$B2 * IFERROR(VLOOKUP("buildings|PM25|Premature mortality", US_national_yearly!$D:$AM, 35, FALSE) / VLOOKUP("buildings|PM25|Premature mortality", US_national_yearly!$D:$AM, 10, FALSE), 1)</f>
        <v>1.7793373415009986E-2</v>
      </c>
      <c r="AB2" s="7">
        <f>$B2 * IFERROR(VLOOKUP("buildings|PM25|Premature mortality", US_national_yearly!$D:$AM, 36, FALSE) / VLOOKUP("buildings|PM25|Premature mortality", US_national_yearly!$D:$AM, 10, FALSE), 1)</f>
        <v>1.7809800912675484E-2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4.4334166696844492E-5</v>
      </c>
      <c r="C3" s="7">
        <f>$B3 * IFERROR(VLOOKUP("buildings|PM25|Infant mortality", US_national_yearly!$D:$AM, 11, FALSE) / VLOOKUP("buildings|PM25|Infant mortality", US_national_yearly!$D:$AM, 10, FALSE), 1)</f>
        <v>4.3950161096006487E-5</v>
      </c>
      <c r="D3" s="7">
        <f>$B3 * IFERROR(VLOOKUP("buildings|PM25|Infant mortality", US_national_yearly!$D:$AM, 12, FALSE) / VLOOKUP("buildings|PM25|Infant mortality", US_national_yearly!$D:$AM, 10, FALSE), 1)</f>
        <v>4.3566155495168481E-5</v>
      </c>
      <c r="E3" s="7">
        <f>$B3 * IFERROR(VLOOKUP("buildings|PM25|Infant mortality", US_national_yearly!$D:$AM, 13, FALSE) / VLOOKUP("buildings|PM25|Infant mortality", US_national_yearly!$D:$AM, 10, FALSE), 1)</f>
        <v>4.3182149894330476E-5</v>
      </c>
      <c r="F3" s="7">
        <f>$B3 * IFERROR(VLOOKUP("buildings|PM25|Infant mortality", US_national_yearly!$D:$AM, 14, FALSE) / VLOOKUP("buildings|PM25|Infant mortality", US_national_yearly!$D:$AM, 10, FALSE), 1)</f>
        <v>4.2798144293492478E-5</v>
      </c>
      <c r="G3" s="7">
        <f>$B3 * IFERROR(VLOOKUP("buildings|PM25|Infant mortality", US_national_yearly!$D:$AM, 15, FALSE) / VLOOKUP("buildings|PM25|Infant mortality", US_national_yearly!$D:$AM, 10, FALSE), 1)</f>
        <v>2.8459213273796491E-5</v>
      </c>
      <c r="H3" s="7">
        <f>$B3 * IFERROR(VLOOKUP("buildings|PM25|Infant mortality", US_national_yearly!$D:$AM, 16, FALSE) / VLOOKUP("buildings|PM25|Infant mortality", US_national_yearly!$D:$AM, 10, FALSE), 1)</f>
        <v>1.4120282254100509E-5</v>
      </c>
      <c r="I3" s="7">
        <f>$B3 * IFERROR(VLOOKUP("buildings|PM25|Infant mortality", US_national_yearly!$D:$AM, 17, FALSE) / VLOOKUP("buildings|PM25|Infant mortality", US_national_yearly!$D:$AM, 10, FALSE), 1)</f>
        <v>1.4028268767310889E-5</v>
      </c>
      <c r="J3" s="7">
        <f>$B3 * IFERROR(VLOOKUP("buildings|PM25|Infant mortality", US_national_yearly!$D:$AM, 18, FALSE) / VLOOKUP("buildings|PM25|Infant mortality", US_national_yearly!$D:$AM, 10, FALSE), 1)</f>
        <v>1.3936255280521269E-5</v>
      </c>
      <c r="K3" s="7">
        <f>$B3 * IFERROR(VLOOKUP("buildings|PM25|Infant mortality", US_national_yearly!$D:$AM, 19, FALSE) / VLOOKUP("buildings|PM25|Infant mortality", US_national_yearly!$D:$AM, 10, FALSE), 1)</f>
        <v>1.384424179373165E-5</v>
      </c>
      <c r="L3" s="7">
        <f>$B3 * IFERROR(VLOOKUP("buildings|PM25|Infant mortality", US_national_yearly!$D:$AM, 20, FALSE) / VLOOKUP("buildings|PM25|Infant mortality", US_national_yearly!$D:$AM, 10, FALSE), 1)</f>
        <v>1.375222830694203E-5</v>
      </c>
      <c r="M3" s="7">
        <f>$B3 * IFERROR(VLOOKUP("buildings|PM25|Infant mortality", US_national_yearly!$D:$AM, 21, FALSE) / VLOOKUP("buildings|PM25|Infant mortality", US_national_yearly!$D:$AM, 10, FALSE), 1)</f>
        <v>1.3660214820152411E-5</v>
      </c>
      <c r="N3" s="7">
        <f>$B3 * IFERROR(VLOOKUP("buildings|PM25|Infant mortality", US_national_yearly!$D:$AM, 22, FALSE) / VLOOKUP("buildings|PM25|Infant mortality", US_national_yearly!$D:$AM, 10, FALSE), 1)</f>
        <v>1.3602642376355811E-5</v>
      </c>
      <c r="O3" s="7">
        <f>$B3 * IFERROR(VLOOKUP("buildings|PM25|Infant mortality", US_national_yearly!$D:$AM, 23, FALSE) / VLOOKUP("buildings|PM25|Infant mortality", US_national_yearly!$D:$AM, 10, FALSE), 1)</f>
        <v>1.3545069932559213E-5</v>
      </c>
      <c r="P3" s="7">
        <f>$B3 * IFERROR(VLOOKUP("buildings|PM25|Infant mortality", US_national_yearly!$D:$AM, 24, FALSE) / VLOOKUP("buildings|PM25|Infant mortality", US_national_yearly!$D:$AM, 10, FALSE), 1)</f>
        <v>1.3487497488762614E-5</v>
      </c>
      <c r="Q3" s="7">
        <f>$B3 * IFERROR(VLOOKUP("buildings|PM25|Infant mortality", US_national_yearly!$D:$AM, 25, FALSE) / VLOOKUP("buildings|PM25|Infant mortality", US_national_yearly!$D:$AM, 10, FALSE), 1)</f>
        <v>1.3429925044966016E-5</v>
      </c>
      <c r="R3" s="7">
        <f>$B3 * IFERROR(VLOOKUP("buildings|PM25|Infant mortality", US_national_yearly!$D:$AM, 26, FALSE) / VLOOKUP("buildings|PM25|Infant mortality", US_national_yearly!$D:$AM, 10, FALSE), 1)</f>
        <v>1.3372352601169416E-5</v>
      </c>
      <c r="S3" s="7">
        <f>$B3 * IFERROR(VLOOKUP("buildings|PM25|Infant mortality", US_national_yearly!$D:$AM, 27, FALSE) / VLOOKUP("buildings|PM25|Infant mortality", US_national_yearly!$D:$AM, 10, FALSE), 1)</f>
        <v>1.3300469446259485E-5</v>
      </c>
      <c r="T3" s="7">
        <f>$B3 * IFERROR(VLOOKUP("buildings|PM25|Infant mortality", US_national_yearly!$D:$AM, 28, FALSE) / VLOOKUP("buildings|PM25|Infant mortality", US_national_yearly!$D:$AM, 10, FALSE), 1)</f>
        <v>1.3228586291349555E-5</v>
      </c>
      <c r="U3" s="7">
        <f>$B3 * IFERROR(VLOOKUP("buildings|PM25|Infant mortality", US_national_yearly!$D:$AM, 29, FALSE) / VLOOKUP("buildings|PM25|Infant mortality", US_national_yearly!$D:$AM, 10, FALSE), 1)</f>
        <v>1.315670313643962E-5</v>
      </c>
      <c r="V3" s="7">
        <f>$B3 * IFERROR(VLOOKUP("buildings|PM25|Infant mortality", US_national_yearly!$D:$AM, 30, FALSE) / VLOOKUP("buildings|PM25|Infant mortality", US_national_yearly!$D:$AM, 10, FALSE), 1)</f>
        <v>1.308481998152969E-5</v>
      </c>
      <c r="W3" s="7">
        <f>$B3 * IFERROR(VLOOKUP("buildings|PM25|Infant mortality", US_national_yearly!$D:$AM, 31, FALSE) / VLOOKUP("buildings|PM25|Infant mortality", US_national_yearly!$D:$AM, 10, FALSE), 1)</f>
        <v>1.3012936826619757E-5</v>
      </c>
      <c r="X3" s="7">
        <f>$B3 * IFERROR(VLOOKUP("buildings|PM25|Infant mortality", US_national_yearly!$D:$AM, 32, FALSE) / VLOOKUP("buildings|PM25|Infant mortality", US_national_yearly!$D:$AM, 10, FALSE), 1)</f>
        <v>1.2935545355127486E-5</v>
      </c>
      <c r="Y3" s="7">
        <f>$B3 * IFERROR(VLOOKUP("buildings|PM25|Infant mortality", US_national_yearly!$D:$AM, 33, FALSE) / VLOOKUP("buildings|PM25|Infant mortality", US_national_yearly!$D:$AM, 10, FALSE), 1)</f>
        <v>1.2858153883635216E-5</v>
      </c>
      <c r="Z3" s="7">
        <f>$B3 * IFERROR(VLOOKUP("buildings|PM25|Infant mortality", US_national_yearly!$D:$AM, 34, FALSE) / VLOOKUP("buildings|PM25|Infant mortality", US_national_yearly!$D:$AM, 10, FALSE), 1)</f>
        <v>1.2780762412142945E-5</v>
      </c>
      <c r="AA3" s="7">
        <f>$B3 * IFERROR(VLOOKUP("buildings|PM25|Infant mortality", US_national_yearly!$D:$AM, 35, FALSE) / VLOOKUP("buildings|PM25|Infant mortality", US_national_yearly!$D:$AM, 10, FALSE), 1)</f>
        <v>1.2703370940650673E-5</v>
      </c>
      <c r="AB3" s="7">
        <f>$B3 * IFERROR(VLOOKUP("buildings|PM25|Infant mortality", US_national_yearly!$D:$AM, 36, FALSE) / VLOOKUP("buildings|PM25|Infant mortality", US_national_yearly!$D:$AM, 10, FALSE), 1)</f>
        <v>1.2625979469158403E-5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4.8536792225559587E-2</v>
      </c>
      <c r="C6" s="7">
        <f>$B6 * IFERROR(VLOOKUP("buildings|PM25|Asthma symptoms cough", US_national_yearly!$D:$AM, 11, FALSE) / VLOOKUP("buildings|PM25|Asthma symptoms cough", US_national_yearly!$D:$AM, 10, FALSE), 1)</f>
        <v>4.8536792225559587E-2</v>
      </c>
      <c r="D6" s="7">
        <f>$B6 * IFERROR(VLOOKUP("buildings|PM25|Asthma symptoms cough", US_national_yearly!$D:$AM, 12, FALSE) / VLOOKUP("buildings|PM25|Asthma symptoms cough", US_national_yearly!$D:$AM, 10, FALSE), 1)</f>
        <v>4.8536792225559587E-2</v>
      </c>
      <c r="E6" s="7">
        <f>$B6 * IFERROR(VLOOKUP("buildings|PM25|Asthma symptoms cough", US_national_yearly!$D:$AM, 13, FALSE) / VLOOKUP("buildings|PM25|Asthma symptoms cough", US_national_yearly!$D:$AM, 10, FALSE), 1)</f>
        <v>4.8536792225559587E-2</v>
      </c>
      <c r="F6" s="7">
        <f>$B6 * IFERROR(VLOOKUP("buildings|PM25|Asthma symptoms cough", US_national_yearly!$D:$AM, 14, FALSE) / VLOOKUP("buildings|PM25|Asthma symptoms cough", US_national_yearly!$D:$AM, 10, FALSE), 1)</f>
        <v>4.8536792225559587E-2</v>
      </c>
      <c r="G6" s="7">
        <f>$B6 * IFERROR(VLOOKUP("buildings|PM25|Asthma symptoms cough", US_national_yearly!$D:$AM, 15, FALSE) / VLOOKUP("buildings|PM25|Asthma symptoms cough", US_national_yearly!$D:$AM, 10, FALSE), 1)</f>
        <v>4.8536792225559587E-2</v>
      </c>
      <c r="H6" s="7">
        <f>$B6 * IFERROR(VLOOKUP("buildings|PM25|Asthma symptoms cough", US_national_yearly!$D:$AM, 16, FALSE) / VLOOKUP("buildings|PM25|Asthma symptoms cough", US_national_yearly!$D:$AM, 10, FALSE), 1)</f>
        <v>4.8536792225559587E-2</v>
      </c>
      <c r="I6" s="7">
        <f>$B6 * IFERROR(VLOOKUP("buildings|PM25|Asthma symptoms cough", US_national_yearly!$D:$AM, 17, FALSE) / VLOOKUP("buildings|PM25|Asthma symptoms cough", US_national_yearly!$D:$AM, 10, FALSE), 1)</f>
        <v>4.8536792225559587E-2</v>
      </c>
      <c r="J6" s="7">
        <f>$B6 * IFERROR(VLOOKUP("buildings|PM25|Asthma symptoms cough", US_national_yearly!$D:$AM, 18, FALSE) / VLOOKUP("buildings|PM25|Asthma symptoms cough", US_national_yearly!$D:$AM, 10, FALSE), 1)</f>
        <v>4.8536792225559587E-2</v>
      </c>
      <c r="K6" s="7">
        <f>$B6 * IFERROR(VLOOKUP("buildings|PM25|Asthma symptoms cough", US_national_yearly!$D:$AM, 19, FALSE) / VLOOKUP("buildings|PM25|Asthma symptoms cough", US_national_yearly!$D:$AM, 10, FALSE), 1)</f>
        <v>4.8536792225559587E-2</v>
      </c>
      <c r="L6" s="7">
        <f>$B6 * IFERROR(VLOOKUP("buildings|PM25|Asthma symptoms cough", US_national_yearly!$D:$AM, 20, FALSE) / VLOOKUP("buildings|PM25|Asthma symptoms cough", US_national_yearly!$D:$AM, 10, FALSE), 1)</f>
        <v>4.8536792225559587E-2</v>
      </c>
      <c r="M6" s="7">
        <f>$B6 * IFERROR(VLOOKUP("buildings|PM25|Asthma symptoms cough", US_national_yearly!$D:$AM, 21, FALSE) / VLOOKUP("buildings|PM25|Asthma symptoms cough", US_national_yearly!$D:$AM, 10, FALSE), 1)</f>
        <v>4.8536792225559587E-2</v>
      </c>
      <c r="N6" s="7">
        <f>$B6 * IFERROR(VLOOKUP("buildings|PM25|Asthma symptoms cough", US_national_yearly!$D:$AM, 22, FALSE) / VLOOKUP("buildings|PM25|Asthma symptoms cough", US_national_yearly!$D:$AM, 10, FALSE), 1)</f>
        <v>4.8536792225559587E-2</v>
      </c>
      <c r="O6" s="7">
        <f>$B6 * IFERROR(VLOOKUP("buildings|PM25|Asthma symptoms cough", US_national_yearly!$D:$AM, 23, FALSE) / VLOOKUP("buildings|PM25|Asthma symptoms cough", US_national_yearly!$D:$AM, 10, FALSE), 1)</f>
        <v>4.8536792225559587E-2</v>
      </c>
      <c r="P6" s="7">
        <f>$B6 * IFERROR(VLOOKUP("buildings|PM25|Asthma symptoms cough", US_national_yearly!$D:$AM, 24, FALSE) / VLOOKUP("buildings|PM25|Asthma symptoms cough", US_national_yearly!$D:$AM, 10, FALSE), 1)</f>
        <v>4.8536792225559587E-2</v>
      </c>
      <c r="Q6" s="7">
        <f>$B6 * IFERROR(VLOOKUP("buildings|PM25|Asthma symptoms cough", US_national_yearly!$D:$AM, 25, FALSE) / VLOOKUP("buildings|PM25|Asthma symptoms cough", US_national_yearly!$D:$AM, 10, FALSE), 1)</f>
        <v>4.8536792225559587E-2</v>
      </c>
      <c r="R6" s="7">
        <f>$B6 * IFERROR(VLOOKUP("buildings|PM25|Asthma symptoms cough", US_national_yearly!$D:$AM, 26, FALSE) / VLOOKUP("buildings|PM25|Asthma symptoms cough", US_national_yearly!$D:$AM, 10, FALSE), 1)</f>
        <v>4.8536792225559587E-2</v>
      </c>
      <c r="S6" s="7">
        <f>$B6 * IFERROR(VLOOKUP("buildings|PM25|Asthma symptoms cough", US_national_yearly!$D:$AM, 27, FALSE) / VLOOKUP("buildings|PM25|Asthma symptoms cough", US_national_yearly!$D:$AM, 10, FALSE), 1)</f>
        <v>4.8536792225559587E-2</v>
      </c>
      <c r="T6" s="7">
        <f>$B6 * IFERROR(VLOOKUP("buildings|PM25|Asthma symptoms cough", US_national_yearly!$D:$AM, 28, FALSE) / VLOOKUP("buildings|PM25|Asthma symptoms cough", US_national_yearly!$D:$AM, 10, FALSE), 1)</f>
        <v>4.8536792225559587E-2</v>
      </c>
      <c r="U6" s="7">
        <f>$B6 * IFERROR(VLOOKUP("buildings|PM25|Asthma symptoms cough", US_national_yearly!$D:$AM, 29, FALSE) / VLOOKUP("buildings|PM25|Asthma symptoms cough", US_national_yearly!$D:$AM, 10, FALSE), 1)</f>
        <v>4.8536792225559587E-2</v>
      </c>
      <c r="V6" s="7">
        <f>$B6 * IFERROR(VLOOKUP("buildings|PM25|Asthma symptoms cough", US_national_yearly!$D:$AM, 30, FALSE) / VLOOKUP("buildings|PM25|Asthma symptoms cough", US_national_yearly!$D:$AM, 10, FALSE), 1)</f>
        <v>4.8536792225559587E-2</v>
      </c>
      <c r="W6" s="7">
        <f>$B6 * IFERROR(VLOOKUP("buildings|PM25|Asthma symptoms cough", US_national_yearly!$D:$AM, 31, FALSE) / VLOOKUP("buildings|PM25|Asthma symptoms cough", US_national_yearly!$D:$AM, 10, FALSE), 1)</f>
        <v>4.8536792225559587E-2</v>
      </c>
      <c r="X6" s="7">
        <f>$B6 * IFERROR(VLOOKUP("buildings|PM25|Asthma symptoms cough", US_national_yearly!$D:$AM, 32, FALSE) / VLOOKUP("buildings|PM25|Asthma symptoms cough", US_national_yearly!$D:$AM, 10, FALSE), 1)</f>
        <v>4.8536792225559587E-2</v>
      </c>
      <c r="Y6" s="7">
        <f>$B6 * IFERROR(VLOOKUP("buildings|PM25|Asthma symptoms cough", US_national_yearly!$D:$AM, 33, FALSE) / VLOOKUP("buildings|PM25|Asthma symptoms cough", US_national_yearly!$D:$AM, 10, FALSE), 1)</f>
        <v>4.8536792225559587E-2</v>
      </c>
      <c r="Z6" s="7">
        <f>$B6 * IFERROR(VLOOKUP("buildings|PM25|Asthma symptoms cough", US_national_yearly!$D:$AM, 34, FALSE) / VLOOKUP("buildings|PM25|Asthma symptoms cough", US_national_yearly!$D:$AM, 10, FALSE), 1)</f>
        <v>4.8536792225559587E-2</v>
      </c>
      <c r="AA6" s="7">
        <f>$B6 * IFERROR(VLOOKUP("buildings|PM25|Asthma symptoms cough", US_national_yearly!$D:$AM, 35, FALSE) / VLOOKUP("buildings|PM25|Asthma symptoms cough", US_national_yearly!$D:$AM, 10, FALSE), 1)</f>
        <v>4.8536792225559587E-2</v>
      </c>
      <c r="AB6" s="7">
        <f>$B6 * IFERROR(VLOOKUP("buildings|PM25|Asthma symptoms cough", US_national_yearly!$D:$AM, 36, FALSE) / VLOOKUP("buildings|PM25|Asthma symptoms cough", US_national_yearly!$D:$AM, 10, FALSE), 1)</f>
        <v>4.8536792225559587E-2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6.5361884469512063E-2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6.5361884469512063E-2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6.5361884469512063E-2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6.5361884469512063E-2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6.5361884469512063E-2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6.5361884469512063E-2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6.5361884469512063E-2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6.5361884469512063E-2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6.5361884469512063E-2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6.5361884469512063E-2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6.5361884469512063E-2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6.5361884469512063E-2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6.5361884469512063E-2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6.5361884469512063E-2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6.5361884469512063E-2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6.5361884469512063E-2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6.5361884469512063E-2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6.5361884469512063E-2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6.5361884469512063E-2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6.5361884469512063E-2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6.5361884469512063E-2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6.5361884469512063E-2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6.5361884469512063E-2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6.5361884469512063E-2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6.5361884469512063E-2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6.5361884469512063E-2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6.5361884469512063E-2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9.9861701423203275E-2</v>
      </c>
      <c r="C8" s="7">
        <f>$B8 * IFERROR(VLOOKUP("buildings|PM25|Asthma symptoms wheeze", US_national_yearly!$D:$AM, 11, FALSE) / VLOOKUP("buildings|PM25|Asthma symptoms wheeze", US_national_yearly!$D:$AM, 10, FALSE), 1)</f>
        <v>9.9861701423203275E-2</v>
      </c>
      <c r="D8" s="7">
        <f>$B8 * IFERROR(VLOOKUP("buildings|PM25|Asthma symptoms wheeze", US_national_yearly!$D:$AM, 12, FALSE) / VLOOKUP("buildings|PM25|Asthma symptoms wheeze", US_national_yearly!$D:$AM, 10, FALSE), 1)</f>
        <v>9.9861701423203275E-2</v>
      </c>
      <c r="E8" s="7">
        <f>$B8 * IFERROR(VLOOKUP("buildings|PM25|Asthma symptoms wheeze", US_national_yearly!$D:$AM, 13, FALSE) / VLOOKUP("buildings|PM25|Asthma symptoms wheeze", US_national_yearly!$D:$AM, 10, FALSE), 1)</f>
        <v>9.9861701423203275E-2</v>
      </c>
      <c r="F8" s="7">
        <f>$B8 * IFERROR(VLOOKUP("buildings|PM25|Asthma symptoms wheeze", US_national_yearly!$D:$AM, 14, FALSE) / VLOOKUP("buildings|PM25|Asthma symptoms wheeze", US_national_yearly!$D:$AM, 10, FALSE), 1)</f>
        <v>9.9861701423203275E-2</v>
      </c>
      <c r="G8" s="7">
        <f>$B8 * IFERROR(VLOOKUP("buildings|PM25|Asthma symptoms wheeze", US_national_yearly!$D:$AM, 15, FALSE) / VLOOKUP("buildings|PM25|Asthma symptoms wheeze", US_national_yearly!$D:$AM, 10, FALSE), 1)</f>
        <v>9.9861701423203275E-2</v>
      </c>
      <c r="H8" s="7">
        <f>$B8 * IFERROR(VLOOKUP("buildings|PM25|Asthma symptoms wheeze", US_national_yearly!$D:$AM, 16, FALSE) / VLOOKUP("buildings|PM25|Asthma symptoms wheeze", US_national_yearly!$D:$AM, 10, FALSE), 1)</f>
        <v>9.9861701423203275E-2</v>
      </c>
      <c r="I8" s="7">
        <f>$B8 * IFERROR(VLOOKUP("buildings|PM25|Asthma symptoms wheeze", US_national_yearly!$D:$AM, 17, FALSE) / VLOOKUP("buildings|PM25|Asthma symptoms wheeze", US_national_yearly!$D:$AM, 10, FALSE), 1)</f>
        <v>9.9861701423203275E-2</v>
      </c>
      <c r="J8" s="7">
        <f>$B8 * IFERROR(VLOOKUP("buildings|PM25|Asthma symptoms wheeze", US_national_yearly!$D:$AM, 18, FALSE) / VLOOKUP("buildings|PM25|Asthma symptoms wheeze", US_national_yearly!$D:$AM, 10, FALSE), 1)</f>
        <v>9.9861701423203275E-2</v>
      </c>
      <c r="K8" s="7">
        <f>$B8 * IFERROR(VLOOKUP("buildings|PM25|Asthma symptoms wheeze", US_national_yearly!$D:$AM, 19, FALSE) / VLOOKUP("buildings|PM25|Asthma symptoms wheeze", US_national_yearly!$D:$AM, 10, FALSE), 1)</f>
        <v>9.9861701423203275E-2</v>
      </c>
      <c r="L8" s="7">
        <f>$B8 * IFERROR(VLOOKUP("buildings|PM25|Asthma symptoms wheeze", US_national_yearly!$D:$AM, 20, FALSE) / VLOOKUP("buildings|PM25|Asthma symptoms wheeze", US_national_yearly!$D:$AM, 10, FALSE), 1)</f>
        <v>9.9861701423203275E-2</v>
      </c>
      <c r="M8" s="7">
        <f>$B8 * IFERROR(VLOOKUP("buildings|PM25|Asthma symptoms wheeze", US_national_yearly!$D:$AM, 21, FALSE) / VLOOKUP("buildings|PM25|Asthma symptoms wheeze", US_national_yearly!$D:$AM, 10, FALSE), 1)</f>
        <v>9.9861701423203275E-2</v>
      </c>
      <c r="N8" s="7">
        <f>$B8 * IFERROR(VLOOKUP("buildings|PM25|Asthma symptoms wheeze", US_national_yearly!$D:$AM, 22, FALSE) / VLOOKUP("buildings|PM25|Asthma symptoms wheeze", US_national_yearly!$D:$AM, 10, FALSE), 1)</f>
        <v>9.9861701423203275E-2</v>
      </c>
      <c r="O8" s="7">
        <f>$B8 * IFERROR(VLOOKUP("buildings|PM25|Asthma symptoms wheeze", US_national_yearly!$D:$AM, 23, FALSE) / VLOOKUP("buildings|PM25|Asthma symptoms wheeze", US_national_yearly!$D:$AM, 10, FALSE), 1)</f>
        <v>9.9861701423203275E-2</v>
      </c>
      <c r="P8" s="7">
        <f>$B8 * IFERROR(VLOOKUP("buildings|PM25|Asthma symptoms wheeze", US_national_yearly!$D:$AM, 24, FALSE) / VLOOKUP("buildings|PM25|Asthma symptoms wheeze", US_national_yearly!$D:$AM, 10, FALSE), 1)</f>
        <v>9.9861701423203275E-2</v>
      </c>
      <c r="Q8" s="7">
        <f>$B8 * IFERROR(VLOOKUP("buildings|PM25|Asthma symptoms wheeze", US_national_yearly!$D:$AM, 25, FALSE) / VLOOKUP("buildings|PM25|Asthma symptoms wheeze", US_national_yearly!$D:$AM, 10, FALSE), 1)</f>
        <v>9.9861701423203275E-2</v>
      </c>
      <c r="R8" s="7">
        <f>$B8 * IFERROR(VLOOKUP("buildings|PM25|Asthma symptoms wheeze", US_national_yearly!$D:$AM, 26, FALSE) / VLOOKUP("buildings|PM25|Asthma symptoms wheeze", US_national_yearly!$D:$AM, 10, FALSE), 1)</f>
        <v>9.9861701423203275E-2</v>
      </c>
      <c r="S8" s="7">
        <f>$B8 * IFERROR(VLOOKUP("buildings|PM25|Asthma symptoms wheeze", US_national_yearly!$D:$AM, 27, FALSE) / VLOOKUP("buildings|PM25|Asthma symptoms wheeze", US_national_yearly!$D:$AM, 10, FALSE), 1)</f>
        <v>9.9861701423203275E-2</v>
      </c>
      <c r="T8" s="7">
        <f>$B8 * IFERROR(VLOOKUP("buildings|PM25|Asthma symptoms wheeze", US_national_yearly!$D:$AM, 28, FALSE) / VLOOKUP("buildings|PM25|Asthma symptoms wheeze", US_national_yearly!$D:$AM, 10, FALSE), 1)</f>
        <v>9.9861701423203275E-2</v>
      </c>
      <c r="U8" s="7">
        <f>$B8 * IFERROR(VLOOKUP("buildings|PM25|Asthma symptoms wheeze", US_national_yearly!$D:$AM, 29, FALSE) / VLOOKUP("buildings|PM25|Asthma symptoms wheeze", US_national_yearly!$D:$AM, 10, FALSE), 1)</f>
        <v>9.9861701423203275E-2</v>
      </c>
      <c r="V8" s="7">
        <f>$B8 * IFERROR(VLOOKUP("buildings|PM25|Asthma symptoms wheeze", US_national_yearly!$D:$AM, 30, FALSE) / VLOOKUP("buildings|PM25|Asthma symptoms wheeze", US_national_yearly!$D:$AM, 10, FALSE), 1)</f>
        <v>9.9861701423203275E-2</v>
      </c>
      <c r="W8" s="7">
        <f>$B8 * IFERROR(VLOOKUP("buildings|PM25|Asthma symptoms wheeze", US_national_yearly!$D:$AM, 31, FALSE) / VLOOKUP("buildings|PM25|Asthma symptoms wheeze", US_national_yearly!$D:$AM, 10, FALSE), 1)</f>
        <v>9.9861701423203275E-2</v>
      </c>
      <c r="X8" s="7">
        <f>$B8 * IFERROR(VLOOKUP("buildings|PM25|Asthma symptoms wheeze", US_national_yearly!$D:$AM, 32, FALSE) / VLOOKUP("buildings|PM25|Asthma symptoms wheeze", US_national_yearly!$D:$AM, 10, FALSE), 1)</f>
        <v>9.9861701423203275E-2</v>
      </c>
      <c r="Y8" s="7">
        <f>$B8 * IFERROR(VLOOKUP("buildings|PM25|Asthma symptoms wheeze", US_national_yearly!$D:$AM, 33, FALSE) / VLOOKUP("buildings|PM25|Asthma symptoms wheeze", US_national_yearly!$D:$AM, 10, FALSE), 1)</f>
        <v>9.9861701423203275E-2</v>
      </c>
      <c r="Z8" s="7">
        <f>$B8 * IFERROR(VLOOKUP("buildings|PM25|Asthma symptoms wheeze", US_national_yearly!$D:$AM, 34, FALSE) / VLOOKUP("buildings|PM25|Asthma symptoms wheeze", US_national_yearly!$D:$AM, 10, FALSE), 1)</f>
        <v>9.9861701423203275E-2</v>
      </c>
      <c r="AA8" s="7">
        <f>$B8 * IFERROR(VLOOKUP("buildings|PM25|Asthma symptoms wheeze", US_national_yearly!$D:$AM, 35, FALSE) / VLOOKUP("buildings|PM25|Asthma symptoms wheeze", US_national_yearly!$D:$AM, 10, FALSE), 1)</f>
        <v>9.9861701423203275E-2</v>
      </c>
      <c r="AB8" s="7">
        <f>$B8 * IFERROR(VLOOKUP("buildings|PM25|Asthma symptoms wheeze", US_national_yearly!$D:$AM, 36, FALSE) / VLOOKUP("buildings|PM25|Asthma symptoms wheeze", US_national_yearly!$D:$AM, 10, FALSE), 1)</f>
        <v>9.9861701423203275E-2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8.4462047893195987E-4</v>
      </c>
      <c r="C12" s="7">
        <f>$B12 * IFERROR(VLOOKUP("buildings|PM25|Respiratory hospital admissions", US_national_yearly!$D:$AM, 11, FALSE) / VLOOKUP("buildings|PM25|Respiratory hospital admissions", US_national_yearly!$D:$AM, 10, FALSE), 1)</f>
        <v>8.4948901180529181E-4</v>
      </c>
      <c r="D12" s="7">
        <f>$B12 * IFERROR(VLOOKUP("buildings|PM25|Respiratory hospital admissions", US_national_yearly!$D:$AM, 12, FALSE) / VLOOKUP("buildings|PM25|Respiratory hospital admissions", US_national_yearly!$D:$AM, 10, FALSE), 1)</f>
        <v>8.5435754467862385E-4</v>
      </c>
      <c r="E12" s="7">
        <f>$B12 * IFERROR(VLOOKUP("buildings|PM25|Respiratory hospital admissions", US_national_yearly!$D:$AM, 13, FALSE) / VLOOKUP("buildings|PM25|Respiratory hospital admissions", US_national_yearly!$D:$AM, 10, FALSE), 1)</f>
        <v>8.5922607755195589E-4</v>
      </c>
      <c r="F12" s="7">
        <f>$B12 * IFERROR(VLOOKUP("buildings|PM25|Respiratory hospital admissions", US_national_yearly!$D:$AM, 14, FALSE) / VLOOKUP("buildings|PM25|Respiratory hospital admissions", US_national_yearly!$D:$AM, 10, FALSE), 1)</f>
        <v>8.6409461042528805E-4</v>
      </c>
      <c r="G12" s="7">
        <f>$B12 * IFERROR(VLOOKUP("buildings|PM25|Respiratory hospital admissions", US_national_yearly!$D:$AM, 15, FALSE) / VLOOKUP("buildings|PM25|Respiratory hospital admissions", US_national_yearly!$D:$AM, 10, FALSE), 1)</f>
        <v>8.6934820845705678E-4</v>
      </c>
      <c r="H12" s="7">
        <f>$B12 * IFERROR(VLOOKUP("buildings|PM25|Respiratory hospital admissions", US_national_yearly!$D:$AM, 16, FALSE) / VLOOKUP("buildings|PM25|Respiratory hospital admissions", US_national_yearly!$D:$AM, 10, FALSE), 1)</f>
        <v>8.7460180648882562E-4</v>
      </c>
      <c r="I12" s="7">
        <f>$B12 * IFERROR(VLOOKUP("buildings|PM25|Respiratory hospital admissions", US_national_yearly!$D:$AM, 17, FALSE) / VLOOKUP("buildings|PM25|Respiratory hospital admissions", US_national_yearly!$D:$AM, 10, FALSE), 1)</f>
        <v>8.7959845329085796E-4</v>
      </c>
      <c r="J12" s="7">
        <f>$B12 * IFERROR(VLOOKUP("buildings|PM25|Respiratory hospital admissions", US_national_yearly!$D:$AM, 18, FALSE) / VLOOKUP("buildings|PM25|Respiratory hospital admissions", US_national_yearly!$D:$AM, 10, FALSE), 1)</f>
        <v>8.845951000928901E-4</v>
      </c>
      <c r="K12" s="7">
        <f>$B12 * IFERROR(VLOOKUP("buildings|PM25|Respiratory hospital admissions", US_national_yearly!$D:$AM, 19, FALSE) / VLOOKUP("buildings|PM25|Respiratory hospital admissions", US_national_yearly!$D:$AM, 10, FALSE), 1)</f>
        <v>8.8959174689492234E-4</v>
      </c>
      <c r="L12" s="7">
        <f>$B12 * IFERROR(VLOOKUP("buildings|PM25|Respiratory hospital admissions", US_national_yearly!$D:$AM, 20, FALSE) / VLOOKUP("buildings|PM25|Respiratory hospital admissions", US_national_yearly!$D:$AM, 10, FALSE), 1)</f>
        <v>8.9458839369695468E-4</v>
      </c>
      <c r="M12" s="7">
        <f>$B12 * IFERROR(VLOOKUP("buildings|PM25|Respiratory hospital admissions", US_national_yearly!$D:$AM, 21, FALSE) / VLOOKUP("buildings|PM25|Respiratory hospital admissions", US_national_yearly!$D:$AM, 10, FALSE), 1)</f>
        <v>8.9958504049898681E-4</v>
      </c>
      <c r="N12" s="7">
        <f>$B12 * IFERROR(VLOOKUP("buildings|PM25|Respiratory hospital admissions", US_national_yearly!$D:$AM, 22, FALSE) / VLOOKUP("buildings|PM25|Respiratory hospital admissions", US_national_yearly!$D:$AM, 10, FALSE), 1)</f>
        <v>9.0317898311699962E-4</v>
      </c>
      <c r="O12" s="7">
        <f>$B12 * IFERROR(VLOOKUP("buildings|PM25|Respiratory hospital admissions", US_national_yearly!$D:$AM, 23, FALSE) / VLOOKUP("buildings|PM25|Respiratory hospital admissions", US_national_yearly!$D:$AM, 10, FALSE), 1)</f>
        <v>9.0677292573501233E-4</v>
      </c>
      <c r="P12" s="7">
        <f>$B12 * IFERROR(VLOOKUP("buildings|PM25|Respiratory hospital admissions", US_national_yearly!$D:$AM, 24, FALSE) / VLOOKUP("buildings|PM25|Respiratory hospital admissions", US_national_yearly!$D:$AM, 10, FALSE), 1)</f>
        <v>9.1036686835302514E-4</v>
      </c>
      <c r="Q12" s="7">
        <f>$B12 * IFERROR(VLOOKUP("buildings|PM25|Respiratory hospital admissions", US_national_yearly!$D:$AM, 25, FALSE) / VLOOKUP("buildings|PM25|Respiratory hospital admissions", US_national_yearly!$D:$AM, 10, FALSE), 1)</f>
        <v>9.1396081097103762E-4</v>
      </c>
      <c r="R12" s="7">
        <f>$B12 * IFERROR(VLOOKUP("buildings|PM25|Respiratory hospital admissions", US_national_yearly!$D:$AM, 26, FALSE) / VLOOKUP("buildings|PM25|Respiratory hospital admissions", US_national_yearly!$D:$AM, 10, FALSE), 1)</f>
        <v>9.1755475358905043E-4</v>
      </c>
      <c r="S12" s="7">
        <f>$B12 * IFERROR(VLOOKUP("buildings|PM25|Respiratory hospital admissions", US_national_yearly!$D:$AM, 27, FALSE) / VLOOKUP("buildings|PM25|Respiratory hospital admissions", US_national_yearly!$D:$AM, 10, FALSE), 1)</f>
        <v>9.2097896475583309E-4</v>
      </c>
      <c r="T12" s="7">
        <f>$B12 * IFERROR(VLOOKUP("buildings|PM25|Respiratory hospital admissions", US_national_yearly!$D:$AM, 28, FALSE) / VLOOKUP("buildings|PM25|Respiratory hospital admissions", US_national_yearly!$D:$AM, 10, FALSE), 1)</f>
        <v>9.2440317592261617E-4</v>
      </c>
      <c r="U12" s="7">
        <f>$B12 * IFERROR(VLOOKUP("buildings|PM25|Respiratory hospital admissions", US_national_yearly!$D:$AM, 29, FALSE) / VLOOKUP("buildings|PM25|Respiratory hospital admissions", US_national_yearly!$D:$AM, 10, FALSE), 1)</f>
        <v>9.2782738708939894E-4</v>
      </c>
      <c r="V12" s="7">
        <f>$B12 * IFERROR(VLOOKUP("buildings|PM25|Respiratory hospital admissions", US_national_yearly!$D:$AM, 30, FALSE) / VLOOKUP("buildings|PM25|Respiratory hospital admissions", US_national_yearly!$D:$AM, 10, FALSE), 1)</f>
        <v>9.3125159825618159E-4</v>
      </c>
      <c r="W12" s="7">
        <f>$B12 * IFERROR(VLOOKUP("buildings|PM25|Respiratory hospital admissions", US_national_yearly!$D:$AM, 31, FALSE) / VLOOKUP("buildings|PM25|Respiratory hospital admissions", US_national_yearly!$D:$AM, 10, FALSE), 1)</f>
        <v>9.3467580942296468E-4</v>
      </c>
      <c r="X12" s="7">
        <f>$B12 * IFERROR(VLOOKUP("buildings|PM25|Respiratory hospital admissions", US_national_yearly!$D:$AM, 32, FALSE) / VLOOKUP("buildings|PM25|Respiratory hospital admissions", US_national_yearly!$D:$AM, 10, FALSE), 1)</f>
        <v>9.3798305461110251E-4</v>
      </c>
      <c r="Y12" s="7">
        <f>$B12 * IFERROR(VLOOKUP("buildings|PM25|Respiratory hospital admissions", US_national_yearly!$D:$AM, 33, FALSE) / VLOOKUP("buildings|PM25|Respiratory hospital admissions", US_national_yearly!$D:$AM, 10, FALSE), 1)</f>
        <v>9.4129029979924056E-4</v>
      </c>
      <c r="Z12" s="7">
        <f>$B12 * IFERROR(VLOOKUP("buildings|PM25|Respiratory hospital admissions", US_national_yearly!$D:$AM, 34, FALSE) / VLOOKUP("buildings|PM25|Respiratory hospital admissions", US_national_yearly!$D:$AM, 10, FALSE), 1)</f>
        <v>9.445975449873785E-4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9.4790479017551655E-4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9.5121203536365439E-4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5.1318358217818955E-3</v>
      </c>
      <c r="C13" s="7">
        <f>$B13 * IFERROR(VLOOKUP("buildings|PM25|Non-fatal heart attacks", US_national_yearly!$D:$AM, 11, FALSE) / VLOOKUP("buildings|PM25|Non-fatal heart attacks", US_national_yearly!$D:$AM, 10, FALSE), 1)</f>
        <v>5.2811025283499942E-3</v>
      </c>
      <c r="D13" s="7">
        <f>$B13 * IFERROR(VLOOKUP("buildings|PM25|Non-fatal heart attacks", US_national_yearly!$D:$AM, 12, FALSE) / VLOOKUP("buildings|PM25|Non-fatal heart attacks", US_national_yearly!$D:$AM, 10, FALSE), 1)</f>
        <v>5.4303692349180919E-3</v>
      </c>
      <c r="E13" s="7">
        <f>$B13 * IFERROR(VLOOKUP("buildings|PM25|Non-fatal heart attacks", US_national_yearly!$D:$AM, 13, FALSE) / VLOOKUP("buildings|PM25|Non-fatal heart attacks", US_national_yearly!$D:$AM, 10, FALSE), 1)</f>
        <v>5.5796359414861897E-3</v>
      </c>
      <c r="F13" s="7">
        <f>$B13 * IFERROR(VLOOKUP("buildings|PM25|Non-fatal heart attacks", US_national_yearly!$D:$AM, 14, FALSE) / VLOOKUP("buildings|PM25|Non-fatal heart attacks", US_national_yearly!$D:$AM, 10, FALSE), 1)</f>
        <v>5.7289026480542892E-3</v>
      </c>
      <c r="G13" s="7">
        <f>$B13 * IFERROR(VLOOKUP("buildings|PM25|Non-fatal heart attacks", US_national_yearly!$D:$AM, 15, FALSE) / VLOOKUP("buildings|PM25|Non-fatal heart attacks", US_national_yearly!$D:$AM, 10, FALSE), 1)</f>
        <v>5.8697443110943149E-3</v>
      </c>
      <c r="H13" s="7">
        <f>$B13 * IFERROR(VLOOKUP("buildings|PM25|Non-fatal heart attacks", US_national_yearly!$D:$AM, 16, FALSE) / VLOOKUP("buildings|PM25|Non-fatal heart attacks", US_national_yearly!$D:$AM, 10, FALSE), 1)</f>
        <v>6.0105859741343389E-3</v>
      </c>
      <c r="I13" s="7">
        <f>$B13 * IFERROR(VLOOKUP("buildings|PM25|Non-fatal heart attacks", US_national_yearly!$D:$AM, 17, FALSE) / VLOOKUP("buildings|PM25|Non-fatal heart attacks", US_national_yearly!$D:$AM, 10, FALSE), 1)</f>
        <v>6.1239040310588529E-3</v>
      </c>
      <c r="J13" s="7">
        <f>$B13 * IFERROR(VLOOKUP("buildings|PM25|Non-fatal heart attacks", US_national_yearly!$D:$AM, 18, FALSE) / VLOOKUP("buildings|PM25|Non-fatal heart attacks", US_national_yearly!$D:$AM, 10, FALSE), 1)</f>
        <v>6.2372220879833677E-3</v>
      </c>
      <c r="K13" s="7">
        <f>$B13 * IFERROR(VLOOKUP("buildings|PM25|Non-fatal heart attacks", US_national_yearly!$D:$AM, 19, FALSE) / VLOOKUP("buildings|PM25|Non-fatal heart attacks", US_national_yearly!$D:$AM, 10, FALSE), 1)</f>
        <v>6.3505401449078808E-3</v>
      </c>
      <c r="L13" s="7">
        <f>$B13 * IFERROR(VLOOKUP("buildings|PM25|Non-fatal heart attacks", US_national_yearly!$D:$AM, 20, FALSE) / VLOOKUP("buildings|PM25|Non-fatal heart attacks", US_national_yearly!$D:$AM, 10, FALSE), 1)</f>
        <v>6.463858201832394E-3</v>
      </c>
      <c r="M13" s="7">
        <f>$B13 * IFERROR(VLOOKUP("buildings|PM25|Non-fatal heart attacks", US_national_yearly!$D:$AM, 21, FALSE) / VLOOKUP("buildings|PM25|Non-fatal heart attacks", US_national_yearly!$D:$AM, 10, FALSE), 1)</f>
        <v>6.5771762587569071E-3</v>
      </c>
      <c r="N13" s="7">
        <f>$B13 * IFERROR(VLOOKUP("buildings|PM25|Non-fatal heart attacks", US_national_yearly!$D:$AM, 22, FALSE) / VLOOKUP("buildings|PM25|Non-fatal heart attacks", US_national_yearly!$D:$AM, 10, FALSE), 1)</f>
        <v>6.6503814939297516E-3</v>
      </c>
      <c r="O13" s="7">
        <f>$B13 * IFERROR(VLOOKUP("buildings|PM25|Non-fatal heart attacks", US_national_yearly!$D:$AM, 23, FALSE) / VLOOKUP("buildings|PM25|Non-fatal heart attacks", US_national_yearly!$D:$AM, 10, FALSE), 1)</f>
        <v>6.7235867291025953E-3</v>
      </c>
      <c r="P13" s="7">
        <f>$B13 * IFERROR(VLOOKUP("buildings|PM25|Non-fatal heart attacks", US_national_yearly!$D:$AM, 24, FALSE) / VLOOKUP("buildings|PM25|Non-fatal heart attacks", US_national_yearly!$D:$AM, 10, FALSE), 1)</f>
        <v>6.796791964275439E-3</v>
      </c>
      <c r="Q13" s="7">
        <f>$B13 * IFERROR(VLOOKUP("buildings|PM25|Non-fatal heart attacks", US_national_yearly!$D:$AM, 25, FALSE) / VLOOKUP("buildings|PM25|Non-fatal heart attacks", US_national_yearly!$D:$AM, 10, FALSE), 1)</f>
        <v>6.8699971994482835E-3</v>
      </c>
      <c r="R13" s="7">
        <f>$B13 * IFERROR(VLOOKUP("buildings|PM25|Non-fatal heart attacks", US_national_yearly!$D:$AM, 26, FALSE) / VLOOKUP("buildings|PM25|Non-fatal heart attacks", US_national_yearly!$D:$AM, 10, FALSE), 1)</f>
        <v>6.9432024346211263E-3</v>
      </c>
      <c r="S13" s="7">
        <f>$B13 * IFERROR(VLOOKUP("buildings|PM25|Non-fatal heart attacks", US_national_yearly!$D:$AM, 27, FALSE) / VLOOKUP("buildings|PM25|Non-fatal heart attacks", US_national_yearly!$D:$AM, 10, FALSE), 1)</f>
        <v>6.9819213820202716E-3</v>
      </c>
      <c r="T13" s="7">
        <f>$B13 * IFERROR(VLOOKUP("buildings|PM25|Non-fatal heart attacks", US_national_yearly!$D:$AM, 28, FALSE) / VLOOKUP("buildings|PM25|Non-fatal heart attacks", US_national_yearly!$D:$AM, 10, FALSE), 1)</f>
        <v>7.0206403294194178E-3</v>
      </c>
      <c r="U13" s="7">
        <f>$B13 * IFERROR(VLOOKUP("buildings|PM25|Non-fatal heart attacks", US_national_yearly!$D:$AM, 29, FALSE) / VLOOKUP("buildings|PM25|Non-fatal heart attacks", US_national_yearly!$D:$AM, 10, FALSE), 1)</f>
        <v>7.059359276818564E-3</v>
      </c>
      <c r="V13" s="7">
        <f>$B13 * IFERROR(VLOOKUP("buildings|PM25|Non-fatal heart attacks", US_national_yearly!$D:$AM, 30, FALSE) / VLOOKUP("buildings|PM25|Non-fatal heart attacks", US_national_yearly!$D:$AM, 10, FALSE), 1)</f>
        <v>7.0980782242177085E-3</v>
      </c>
      <c r="W13" s="7">
        <f>$B13 * IFERROR(VLOOKUP("buildings|PM25|Non-fatal heart attacks", US_national_yearly!$D:$AM, 31, FALSE) / VLOOKUP("buildings|PM25|Non-fatal heart attacks", US_national_yearly!$D:$AM, 10, FALSE), 1)</f>
        <v>7.1367971716168547E-3</v>
      </c>
      <c r="X13" s="7">
        <f>$B13 * IFERROR(VLOOKUP("buildings|PM25|Non-fatal heart attacks", US_national_yearly!$D:$AM, 32, FALSE) / VLOOKUP("buildings|PM25|Non-fatal heart attacks", US_national_yearly!$D:$AM, 10, FALSE), 1)</f>
        <v>7.1662651185545817E-3</v>
      </c>
      <c r="Y13" s="7">
        <f>$B13 * IFERROR(VLOOKUP("buildings|PM25|Non-fatal heart attacks", US_national_yearly!$D:$AM, 33, FALSE) / VLOOKUP("buildings|PM25|Non-fatal heart attacks", US_national_yearly!$D:$AM, 10, FALSE), 1)</f>
        <v>7.1957330654923079E-3</v>
      </c>
      <c r="Z13" s="7">
        <f>$B13 * IFERROR(VLOOKUP("buildings|PM25|Non-fatal heart attacks", US_national_yearly!$D:$AM, 34, FALSE) / VLOOKUP("buildings|PM25|Non-fatal heart attacks", US_national_yearly!$D:$AM, 10, FALSE), 1)</f>
        <v>7.2252010124300341E-3</v>
      </c>
      <c r="AA13" s="7">
        <f>$B13 * IFERROR(VLOOKUP("buildings|PM25|Non-fatal heart attacks", US_national_yearly!$D:$AM, 35, FALSE) / VLOOKUP("buildings|PM25|Non-fatal heart attacks", US_national_yearly!$D:$AM, 10, FALSE), 1)</f>
        <v>7.2546689593677603E-3</v>
      </c>
      <c r="AB13" s="7">
        <f>$B13 * IFERROR(VLOOKUP("buildings|PM25|Non-fatal heart attacks", US_national_yearly!$D:$AM, 36, FALSE) / VLOOKUP("buildings|PM25|Non-fatal heart attacks", US_national_yearly!$D:$AM, 10, FALSE), 1)</f>
        <v>7.2841369063054882E-3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5.2851588957959077</v>
      </c>
      <c r="C14" s="7">
        <f>$B14 * IFERROR(VLOOKUP("buildings|PM25|Minor restricted activity days", US_national_yearly!$D:$AM, 11, FALSE) / VLOOKUP("buildings|PM25|Minor restricted activity days", US_national_yearly!$D:$AM, 10, FALSE), 1)</f>
        <v>5.2983033822687418</v>
      </c>
      <c r="D14" s="7">
        <f>$B14 * IFERROR(VLOOKUP("buildings|PM25|Minor restricted activity days", US_national_yearly!$D:$AM, 12, FALSE) / VLOOKUP("buildings|PM25|Minor restricted activity days", US_national_yearly!$D:$AM, 10, FALSE), 1)</f>
        <v>5.3114478687415767</v>
      </c>
      <c r="E14" s="7">
        <f>$B14 * IFERROR(VLOOKUP("buildings|PM25|Minor restricted activity days", US_national_yearly!$D:$AM, 13, FALSE) / VLOOKUP("buildings|PM25|Minor restricted activity days", US_national_yearly!$D:$AM, 10, FALSE), 1)</f>
        <v>5.3245923552144108</v>
      </c>
      <c r="F14" s="7">
        <f>$B14 * IFERROR(VLOOKUP("buildings|PM25|Minor restricted activity days", US_national_yearly!$D:$AM, 14, FALSE) / VLOOKUP("buildings|PM25|Minor restricted activity days", US_national_yearly!$D:$AM, 10, FALSE), 1)</f>
        <v>5.3377368416872439</v>
      </c>
      <c r="G14" s="7">
        <f>$B14 * IFERROR(VLOOKUP("buildings|PM25|Minor restricted activity days", US_national_yearly!$D:$AM, 15, FALSE) / VLOOKUP("buildings|PM25|Minor restricted activity days", US_national_yearly!$D:$AM, 10, FALSE), 1)</f>
        <v>5.3570158123914187</v>
      </c>
      <c r="H14" s="7">
        <f>$B14 * IFERROR(VLOOKUP("buildings|PM25|Minor restricted activity days", US_national_yearly!$D:$AM, 16, FALSE) / VLOOKUP("buildings|PM25|Minor restricted activity days", US_national_yearly!$D:$AM, 10, FALSE), 1)</f>
        <v>5.3762947830955907</v>
      </c>
      <c r="I14" s="7">
        <f>$B14 * IFERROR(VLOOKUP("buildings|PM25|Minor restricted activity days", US_national_yearly!$D:$AM, 17, FALSE) / VLOOKUP("buildings|PM25|Minor restricted activity days", US_national_yearly!$D:$AM, 10, FALSE), 1)</f>
        <v>5.4090776876451434</v>
      </c>
      <c r="J14" s="7">
        <f>$B14 * IFERROR(VLOOKUP("buildings|PM25|Minor restricted activity days", US_national_yearly!$D:$AM, 18, FALSE) / VLOOKUP("buildings|PM25|Minor restricted activity days", US_national_yearly!$D:$AM, 10, FALSE), 1)</f>
        <v>5.4418605921946988</v>
      </c>
      <c r="K14" s="7">
        <f>$B14 * IFERROR(VLOOKUP("buildings|PM25|Minor restricted activity days", US_national_yearly!$D:$AM, 19, FALSE) / VLOOKUP("buildings|PM25|Minor restricted activity days", US_national_yearly!$D:$AM, 10, FALSE), 1)</f>
        <v>5.4746434967442488</v>
      </c>
      <c r="L14" s="7">
        <f>$B14 * IFERROR(VLOOKUP("buildings|PM25|Minor restricted activity days", US_national_yearly!$D:$AM, 20, FALSE) / VLOOKUP("buildings|PM25|Minor restricted activity days", US_national_yearly!$D:$AM, 10, FALSE), 1)</f>
        <v>5.5074264012937997</v>
      </c>
      <c r="M14" s="7">
        <f>$B14 * IFERROR(VLOOKUP("buildings|PM25|Minor restricted activity days", US_national_yearly!$D:$AM, 21, FALSE) / VLOOKUP("buildings|PM25|Minor restricted activity days", US_national_yearly!$D:$AM, 10, FALSE), 1)</f>
        <v>5.5402093058433515</v>
      </c>
      <c r="N14" s="7">
        <f>$B14 * IFERROR(VLOOKUP("buildings|PM25|Minor restricted activity days", US_national_yearly!$D:$AM, 22, FALSE) / VLOOKUP("buildings|PM25|Minor restricted activity days", US_national_yearly!$D:$AM, 10, FALSE), 1)</f>
        <v>5.5847533638015063</v>
      </c>
      <c r="O14" s="7">
        <f>$B14 * IFERROR(VLOOKUP("buildings|PM25|Minor restricted activity days", US_national_yearly!$D:$AM, 23, FALSE) / VLOOKUP("buildings|PM25|Minor restricted activity days", US_national_yearly!$D:$AM, 10, FALSE), 1)</f>
        <v>5.6292974217596594</v>
      </c>
      <c r="P14" s="7">
        <f>$B14 * IFERROR(VLOOKUP("buildings|PM25|Minor restricted activity days", US_national_yearly!$D:$AM, 24, FALSE) / VLOOKUP("buildings|PM25|Minor restricted activity days", US_national_yearly!$D:$AM, 10, FALSE), 1)</f>
        <v>5.6738414797178125</v>
      </c>
      <c r="Q14" s="7">
        <f>$B14 * IFERROR(VLOOKUP("buildings|PM25|Minor restricted activity days", US_national_yearly!$D:$AM, 25, FALSE) / VLOOKUP("buildings|PM25|Minor restricted activity days", US_national_yearly!$D:$AM, 10, FALSE), 1)</f>
        <v>5.7183855376759665</v>
      </c>
      <c r="R14" s="7">
        <f>$B14 * IFERROR(VLOOKUP("buildings|PM25|Minor restricted activity days", US_national_yearly!$D:$AM, 26, FALSE) / VLOOKUP("buildings|PM25|Minor restricted activity days", US_national_yearly!$D:$AM, 10, FALSE), 1)</f>
        <v>5.7629295956341196</v>
      </c>
      <c r="S14" s="7">
        <f>$B14 * IFERROR(VLOOKUP("buildings|PM25|Minor restricted activity days", US_national_yearly!$D:$AM, 27, FALSE) / VLOOKUP("buildings|PM25|Minor restricted activity days", US_national_yearly!$D:$AM, 10, FALSE), 1)</f>
        <v>5.8077496955290595</v>
      </c>
      <c r="T14" s="7">
        <f>$B14 * IFERROR(VLOOKUP("buildings|PM25|Minor restricted activity days", US_national_yearly!$D:$AM, 28, FALSE) / VLOOKUP("buildings|PM25|Minor restricted activity days", US_national_yearly!$D:$AM, 10, FALSE), 1)</f>
        <v>5.8525697954239977</v>
      </c>
      <c r="U14" s="7">
        <f>$B14 * IFERROR(VLOOKUP("buildings|PM25|Minor restricted activity days", US_national_yearly!$D:$AM, 29, FALSE) / VLOOKUP("buildings|PM25|Minor restricted activity days", US_national_yearly!$D:$AM, 10, FALSE), 1)</f>
        <v>5.8973898953189376</v>
      </c>
      <c r="V14" s="7">
        <f>$B14 * IFERROR(VLOOKUP("buildings|PM25|Minor restricted activity days", US_national_yearly!$D:$AM, 30, FALSE) / VLOOKUP("buildings|PM25|Minor restricted activity days", US_national_yearly!$D:$AM, 10, FALSE), 1)</f>
        <v>5.9422099952138767</v>
      </c>
      <c r="W14" s="7">
        <f>$B14 * IFERROR(VLOOKUP("buildings|PM25|Minor restricted activity days", US_national_yearly!$D:$AM, 31, FALSE) / VLOOKUP("buildings|PM25|Minor restricted activity days", US_national_yearly!$D:$AM, 10, FALSE), 1)</f>
        <v>5.9870300951088167</v>
      </c>
      <c r="X14" s="7">
        <f>$B14 * IFERROR(VLOOKUP("buildings|PM25|Minor restricted activity days", US_national_yearly!$D:$AM, 32, FALSE) / VLOOKUP("buildings|PM25|Minor restricted activity days", US_national_yearly!$D:$AM, 10, FALSE), 1)</f>
        <v>6.0259476384080513</v>
      </c>
      <c r="Y14" s="7">
        <f>$B14 * IFERROR(VLOOKUP("buildings|PM25|Minor restricted activity days", US_national_yearly!$D:$AM, 33, FALSE) / VLOOKUP("buildings|PM25|Minor restricted activity days", US_national_yearly!$D:$AM, 10, FALSE), 1)</f>
        <v>6.0648651817072858</v>
      </c>
      <c r="Z14" s="7">
        <f>$B14 * IFERROR(VLOOKUP("buildings|PM25|Minor restricted activity days", US_national_yearly!$D:$AM, 34, FALSE) / VLOOKUP("buildings|PM25|Minor restricted activity days", US_national_yearly!$D:$AM, 10, FALSE), 1)</f>
        <v>6.1037827250065178</v>
      </c>
      <c r="AA14" s="7">
        <f>$B14 * IFERROR(VLOOKUP("buildings|PM25|Minor restricted activity days", US_national_yearly!$D:$AM, 35, FALSE) / VLOOKUP("buildings|PM25|Minor restricted activity days", US_national_yearly!$D:$AM, 10, FALSE), 1)</f>
        <v>6.1427002683057523</v>
      </c>
      <c r="AB14" s="7">
        <f>$B14 * IFERROR(VLOOKUP("buildings|PM25|Minor restricted activity days", US_national_yearly!$D:$AM, 36, FALSE) / VLOOKUP("buildings|PM25|Minor restricted activity days", US_national_yearly!$D:$AM, 10, FALSE), 1)</f>
        <v>6.181617811604986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0.90129795785901057</v>
      </c>
      <c r="C15" s="7">
        <f>$B15 * IFERROR(VLOOKUP("buildings|PM25|Work loss days", US_national_yearly!$D:$AM, 11, FALSE) / VLOOKUP("buildings|PM25|Work loss days", US_national_yearly!$D:$AM, 10, FALSE), 1)</f>
        <v>0.9041264252247968</v>
      </c>
      <c r="D15" s="7">
        <f>$B15 * IFERROR(VLOOKUP("buildings|PM25|Work loss days", US_national_yearly!$D:$AM, 12, FALSE) / VLOOKUP("buildings|PM25|Work loss days", US_national_yearly!$D:$AM, 10, FALSE), 1)</f>
        <v>0.90695489259058271</v>
      </c>
      <c r="E15" s="7">
        <f>$B15 * IFERROR(VLOOKUP("buildings|PM25|Work loss days", US_national_yearly!$D:$AM, 13, FALSE) / VLOOKUP("buildings|PM25|Work loss days", US_national_yearly!$D:$AM, 10, FALSE), 1)</f>
        <v>0.90978335995636872</v>
      </c>
      <c r="F15" s="7">
        <f>$B15 * IFERROR(VLOOKUP("buildings|PM25|Work loss days", US_national_yearly!$D:$AM, 14, FALSE) / VLOOKUP("buildings|PM25|Work loss days", US_national_yearly!$D:$AM, 10, FALSE), 1)</f>
        <v>0.91261182732215473</v>
      </c>
      <c r="G15" s="7">
        <f>$B15 * IFERROR(VLOOKUP("buildings|PM25|Work loss days", US_national_yearly!$D:$AM, 15, FALSE) / VLOOKUP("buildings|PM25|Work loss days", US_national_yearly!$D:$AM, 10, FALSE), 1)</f>
        <v>0.9163088876399007</v>
      </c>
      <c r="H15" s="7">
        <f>$B15 * IFERROR(VLOOKUP("buildings|PM25|Work loss days", US_national_yearly!$D:$AM, 16, FALSE) / VLOOKUP("buildings|PM25|Work loss days", US_national_yearly!$D:$AM, 10, FALSE), 1)</f>
        <v>0.92000594795764679</v>
      </c>
      <c r="I15" s="7">
        <f>$B15 * IFERROR(VLOOKUP("buildings|PM25|Work loss days", US_national_yearly!$D:$AM, 17, FALSE) / VLOOKUP("buildings|PM25|Work loss days", US_national_yearly!$D:$AM, 10, FALSE), 1)</f>
        <v>0.92543569587474672</v>
      </c>
      <c r="J15" s="7">
        <f>$B15 * IFERROR(VLOOKUP("buildings|PM25|Work loss days", US_national_yearly!$D:$AM, 18, FALSE) / VLOOKUP("buildings|PM25|Work loss days", US_national_yearly!$D:$AM, 10, FALSE), 1)</f>
        <v>0.93086544379184666</v>
      </c>
      <c r="K15" s="7">
        <f>$B15 * IFERROR(VLOOKUP("buildings|PM25|Work loss days", US_national_yearly!$D:$AM, 19, FALSE) / VLOOKUP("buildings|PM25|Work loss days", US_national_yearly!$D:$AM, 10, FALSE), 1)</f>
        <v>0.93629519170894659</v>
      </c>
      <c r="L15" s="7">
        <f>$B15 * IFERROR(VLOOKUP("buildings|PM25|Work loss days", US_national_yearly!$D:$AM, 20, FALSE) / VLOOKUP("buildings|PM25|Work loss days", US_national_yearly!$D:$AM, 10, FALSE), 1)</f>
        <v>0.94172493962604642</v>
      </c>
      <c r="M15" s="7">
        <f>$B15 * IFERROR(VLOOKUP("buildings|PM25|Work loss days", US_national_yearly!$D:$AM, 21, FALSE) / VLOOKUP("buildings|PM25|Work loss days", US_national_yearly!$D:$AM, 10, FALSE), 1)</f>
        <v>0.94715468754314658</v>
      </c>
      <c r="N15" s="7">
        <f>$B15 * IFERROR(VLOOKUP("buildings|PM25|Work loss days", US_national_yearly!$D:$AM, 22, FALSE) / VLOOKUP("buildings|PM25|Work loss days", US_national_yearly!$D:$AM, 10, FALSE), 1)</f>
        <v>0.95398132188443818</v>
      </c>
      <c r="O15" s="7">
        <f>$B15 * IFERROR(VLOOKUP("buildings|PM25|Work loss days", US_national_yearly!$D:$AM, 23, FALSE) / VLOOKUP("buildings|PM25|Work loss days", US_national_yearly!$D:$AM, 10, FALSE), 1)</f>
        <v>0.96080795622573001</v>
      </c>
      <c r="P15" s="7">
        <f>$B15 * IFERROR(VLOOKUP("buildings|PM25|Work loss days", US_national_yearly!$D:$AM, 24, FALSE) / VLOOKUP("buildings|PM25|Work loss days", US_national_yearly!$D:$AM, 10, FALSE), 1)</f>
        <v>0.96763459056702161</v>
      </c>
      <c r="Q15" s="7">
        <f>$B15 * IFERROR(VLOOKUP("buildings|PM25|Work loss days", US_national_yearly!$D:$AM, 25, FALSE) / VLOOKUP("buildings|PM25|Work loss days", US_national_yearly!$D:$AM, 10, FALSE), 1)</f>
        <v>0.97446122490831322</v>
      </c>
      <c r="R15" s="7">
        <f>$B15 * IFERROR(VLOOKUP("buildings|PM25|Work loss days", US_national_yearly!$D:$AM, 26, FALSE) / VLOOKUP("buildings|PM25|Work loss days", US_national_yearly!$D:$AM, 10, FALSE), 1)</f>
        <v>0.98128785924960504</v>
      </c>
      <c r="S15" s="7">
        <f>$B15 * IFERROR(VLOOKUP("buildings|PM25|Work loss days", US_national_yearly!$D:$AM, 27, FALSE) / VLOOKUP("buildings|PM25|Work loss days", US_national_yearly!$D:$AM, 10, FALSE), 1)</f>
        <v>0.98882872531695776</v>
      </c>
      <c r="T15" s="7">
        <f>$B15 * IFERROR(VLOOKUP("buildings|PM25|Work loss days", US_national_yearly!$D:$AM, 28, FALSE) / VLOOKUP("buildings|PM25|Work loss days", US_national_yearly!$D:$AM, 10, FALSE), 1)</f>
        <v>0.9963695913843108</v>
      </c>
      <c r="U15" s="7">
        <f>$B15 * IFERROR(VLOOKUP("buildings|PM25|Work loss days", US_national_yearly!$D:$AM, 29, FALSE) / VLOOKUP("buildings|PM25|Work loss days", US_national_yearly!$D:$AM, 10, FALSE), 1)</f>
        <v>1.0039104574516637</v>
      </c>
      <c r="V15" s="7">
        <f>$B15 * IFERROR(VLOOKUP("buildings|PM25|Work loss days", US_national_yearly!$D:$AM, 30, FALSE) / VLOOKUP("buildings|PM25|Work loss days", US_national_yearly!$D:$AM, 10, FALSE), 1)</f>
        <v>1.0114513235190166</v>
      </c>
      <c r="W15" s="7">
        <f>$B15 * IFERROR(VLOOKUP("buildings|PM25|Work loss days", US_national_yearly!$D:$AM, 31, FALSE) / VLOOKUP("buildings|PM25|Work loss days", US_national_yearly!$D:$AM, 10, FALSE), 1)</f>
        <v>1.0189921895863694</v>
      </c>
      <c r="X15" s="7">
        <f>$B15 * IFERROR(VLOOKUP("buildings|PM25|Work loss days", US_national_yearly!$D:$AM, 32, FALSE) / VLOOKUP("buildings|PM25|Work loss days", US_national_yearly!$D:$AM, 10, FALSE), 1)</f>
        <v>1.0256839895056453</v>
      </c>
      <c r="Y15" s="7">
        <f>$B15 * IFERROR(VLOOKUP("buildings|PM25|Work loss days", US_national_yearly!$D:$AM, 33, FALSE) / VLOOKUP("buildings|PM25|Work loss days", US_national_yearly!$D:$AM, 10, FALSE), 1)</f>
        <v>1.0323757894249215</v>
      </c>
      <c r="Z15" s="7">
        <f>$B15 * IFERROR(VLOOKUP("buildings|PM25|Work loss days", US_national_yearly!$D:$AM, 34, FALSE) / VLOOKUP("buildings|PM25|Work loss days", US_national_yearly!$D:$AM, 10, FALSE), 1)</f>
        <v>1.0390675893441972</v>
      </c>
      <c r="AA15" s="7">
        <f>$B15 * IFERROR(VLOOKUP("buildings|PM25|Work loss days", US_national_yearly!$D:$AM, 35, FALSE) / VLOOKUP("buildings|PM25|Work loss days", US_national_yearly!$D:$AM, 10, FALSE), 1)</f>
        <v>1.0457593892634733</v>
      </c>
      <c r="AB15" s="7">
        <f>$B15 * IFERROR(VLOOKUP("buildings|PM25|Work loss days", US_national_yearly!$D:$AM, 36, FALSE) / VLOOKUP("buildings|PM25|Work loss days", US_national_yearly!$D:$AM, 10, FALSE), 1)</f>
        <v>1.0524511891827493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1.0132340073730991E-3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1.0435158702101779E-3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1.0737977330472566E-3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1.1040795958843351E-3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1.1343614587214139E-3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1.1633760671231588E-3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1.1923906755249036E-3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1.2172298498960353E-3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1.242069024267167E-3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1.2669081986382989E-3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1.2917473730094306E-3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1.3165865473805625E-3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1.3331729259260514E-3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1.3497593044715405E-3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1.3663456830170294E-3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1.3829320615625184E-3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1.3995184401080073E-3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1.4083318850302508E-3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1.417145329952494E-3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1.4259587748747375E-3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1.4347722197969807E-3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1.4435856647192244E-3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1.449544932750534E-3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1.4555042007818432E-3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1.4614634688131527E-3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1.4674227368444619E-3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1.4733820048757713E-3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4.5182021292335432E-4</v>
      </c>
      <c r="C2" s="7">
        <f>$B2 * IFERROR(VLOOKUP("buildings|NOx|Premature mortality", US_national_yearly!$D:$AM, 11, FALSE) / VLOOKUP("buildings|NOx|Premature mortality", US_national_yearly!$D:$AM, 10, FALSE), 1)</f>
        <v>4.584658936319206E-4</v>
      </c>
      <c r="D2" s="7">
        <f>$B2 * IFERROR(VLOOKUP("buildings|NOx|Premature mortality", US_national_yearly!$D:$AM, 12, FALSE) / VLOOKUP("buildings|NOx|Premature mortality", US_national_yearly!$D:$AM, 10, FALSE), 1)</f>
        <v>4.6511157434048672E-4</v>
      </c>
      <c r="E2" s="7">
        <f>$B2 * IFERROR(VLOOKUP("buildings|NOx|Premature mortality", US_national_yearly!$D:$AM, 13, FALSE) / VLOOKUP("buildings|NOx|Premature mortality", US_national_yearly!$D:$AM, 10, FALSE), 1)</f>
        <v>4.7175725504905301E-4</v>
      </c>
      <c r="F2" s="7">
        <f>$B2 * IFERROR(VLOOKUP("buildings|NOx|Premature mortality", US_national_yearly!$D:$AM, 14, FALSE) / VLOOKUP("buildings|NOx|Premature mortality", US_national_yearly!$D:$AM, 10, FALSE), 1)</f>
        <v>4.7840293575761918E-4</v>
      </c>
      <c r="G2" s="7">
        <f>$B2 * IFERROR(VLOOKUP("buildings|NOx|Premature mortality", US_national_yearly!$D:$AM, 15, FALSE) / VLOOKUP("buildings|NOx|Premature mortality", US_national_yearly!$D:$AM, 10, FALSE), 1)</f>
        <v>4.903343408269122E-4</v>
      </c>
      <c r="H2" s="7">
        <f>$B2 * IFERROR(VLOOKUP("buildings|NOx|Premature mortality", US_national_yearly!$D:$AM, 16, FALSE) / VLOOKUP("buildings|NOx|Premature mortality", US_national_yearly!$D:$AM, 10, FALSE), 1)</f>
        <v>5.0226574589620526E-4</v>
      </c>
      <c r="I2" s="7">
        <f>$B2 * IFERROR(VLOOKUP("buildings|NOx|Premature mortality", US_national_yearly!$D:$AM, 17, FALSE) / VLOOKUP("buildings|NOx|Premature mortality", US_national_yearly!$D:$AM, 10, FALSE), 1)</f>
        <v>5.099764625712519E-4</v>
      </c>
      <c r="J2" s="7">
        <f>$B2 * IFERROR(VLOOKUP("buildings|NOx|Premature mortality", US_national_yearly!$D:$AM, 18, FALSE) / VLOOKUP("buildings|NOx|Premature mortality", US_national_yearly!$D:$AM, 10, FALSE), 1)</f>
        <v>5.1768717924629843E-4</v>
      </c>
      <c r="K2" s="7">
        <f>$B2 * IFERROR(VLOOKUP("buildings|NOx|Premature mortality", US_national_yearly!$D:$AM, 19, FALSE) / VLOOKUP("buildings|NOx|Premature mortality", US_national_yearly!$D:$AM, 10, FALSE), 1)</f>
        <v>5.2539789592134496E-4</v>
      </c>
      <c r="L2" s="7">
        <f>$B2 * IFERROR(VLOOKUP("buildings|NOx|Premature mortality", US_national_yearly!$D:$AM, 20, FALSE) / VLOOKUP("buildings|NOx|Premature mortality", US_national_yearly!$D:$AM, 10, FALSE), 1)</f>
        <v>5.331086125963916E-4</v>
      </c>
      <c r="M2" s="7">
        <f>$B2 * IFERROR(VLOOKUP("buildings|NOx|Premature mortality", US_national_yearly!$D:$AM, 21, FALSE) / VLOOKUP("buildings|NOx|Premature mortality", US_national_yearly!$D:$AM, 10, FALSE), 1)</f>
        <v>5.4081932927143824E-4</v>
      </c>
      <c r="N2" s="7">
        <f>$B2 * IFERROR(VLOOKUP("buildings|NOx|Premature mortality", US_national_yearly!$D:$AM, 22, FALSE) / VLOOKUP("buildings|NOx|Premature mortality", US_national_yearly!$D:$AM, 10, FALSE), 1)</f>
        <v>5.4653267598575703E-4</v>
      </c>
      <c r="O2" s="7">
        <f>$B2 * IFERROR(VLOOKUP("buildings|NOx|Premature mortality", US_national_yearly!$D:$AM, 23, FALSE) / VLOOKUP("buildings|NOx|Premature mortality", US_national_yearly!$D:$AM, 10, FALSE), 1)</f>
        <v>5.5224602270007592E-4</v>
      </c>
      <c r="P2" s="7">
        <f>$B2 * IFERROR(VLOOKUP("buildings|NOx|Premature mortality", US_national_yearly!$D:$AM, 24, FALSE) / VLOOKUP("buildings|NOx|Premature mortality", US_national_yearly!$D:$AM, 10, FALSE), 1)</f>
        <v>5.5795936941439481E-4</v>
      </c>
      <c r="Q2" s="7">
        <f>$B2 * IFERROR(VLOOKUP("buildings|NOx|Premature mortality", US_national_yearly!$D:$AM, 25, FALSE) / VLOOKUP("buildings|NOx|Premature mortality", US_national_yearly!$D:$AM, 10, FALSE), 1)</f>
        <v>5.6367271612871371E-4</v>
      </c>
      <c r="R2" s="7">
        <f>$B2 * IFERROR(VLOOKUP("buildings|NOx|Premature mortality", US_national_yearly!$D:$AM, 26, FALSE) / VLOOKUP("buildings|NOx|Premature mortality", US_national_yearly!$D:$AM, 10, FALSE), 1)</f>
        <v>5.693860628430326E-4</v>
      </c>
      <c r="S2" s="7">
        <f>$B2 * IFERROR(VLOOKUP("buildings|NOx|Premature mortality", US_national_yearly!$D:$AM, 27, FALSE) / VLOOKUP("buildings|NOx|Premature mortality", US_national_yearly!$D:$AM, 10, FALSE), 1)</f>
        <v>5.719835755119703E-4</v>
      </c>
      <c r="T2" s="7">
        <f>$B2 * IFERROR(VLOOKUP("buildings|NOx|Premature mortality", US_national_yearly!$D:$AM, 28, FALSE) / VLOOKUP("buildings|NOx|Premature mortality", US_national_yearly!$D:$AM, 10, FALSE), 1)</f>
        <v>5.74581088180908E-4</v>
      </c>
      <c r="U2" s="7">
        <f>$B2 * IFERROR(VLOOKUP("buildings|NOx|Premature mortality", US_national_yearly!$D:$AM, 29, FALSE) / VLOOKUP("buildings|NOx|Premature mortality", US_national_yearly!$D:$AM, 10, FALSE), 1)</f>
        <v>5.771786008498457E-4</v>
      </c>
      <c r="V2" s="7">
        <f>$B2 * IFERROR(VLOOKUP("buildings|NOx|Premature mortality", US_national_yearly!$D:$AM, 30, FALSE) / VLOOKUP("buildings|NOx|Premature mortality", US_national_yearly!$D:$AM, 10, FALSE), 1)</f>
        <v>5.7977611351878351E-4</v>
      </c>
      <c r="W2" s="7">
        <f>$B2 * IFERROR(VLOOKUP("buildings|NOx|Premature mortality", US_national_yearly!$D:$AM, 31, FALSE) / VLOOKUP("buildings|NOx|Premature mortality", US_national_yearly!$D:$AM, 10, FALSE), 1)</f>
        <v>5.8237362618772121E-4</v>
      </c>
      <c r="X2" s="7">
        <f>$B2 * IFERROR(VLOOKUP("buildings|NOx|Premature mortality", US_national_yearly!$D:$AM, 32, FALSE) / VLOOKUP("buildings|NOx|Premature mortality", US_national_yearly!$D:$AM, 10, FALSE), 1)</f>
        <v>5.8246510846651041E-4</v>
      </c>
      <c r="Y2" s="7">
        <f>$B2 * IFERROR(VLOOKUP("buildings|NOx|Premature mortality", US_national_yearly!$D:$AM, 33, FALSE) / VLOOKUP("buildings|NOx|Premature mortality", US_national_yearly!$D:$AM, 10, FALSE), 1)</f>
        <v>5.825565907452996E-4</v>
      </c>
      <c r="Z2" s="7">
        <f>$B2 * IFERROR(VLOOKUP("buildings|NOx|Premature mortality", US_national_yearly!$D:$AM, 34, FALSE) / VLOOKUP("buildings|NOx|Premature mortality", US_national_yearly!$D:$AM, 10, FALSE), 1)</f>
        <v>5.826480730240889E-4</v>
      </c>
      <c r="AA2" s="7">
        <f>$B2 * IFERROR(VLOOKUP("buildings|NOx|Premature mortality", US_national_yearly!$D:$AM, 35, FALSE) / VLOOKUP("buildings|NOx|Premature mortality", US_national_yearly!$D:$AM, 10, FALSE), 1)</f>
        <v>5.8273955530287799E-4</v>
      </c>
      <c r="AB2" s="7">
        <f>$B2 * IFERROR(VLOOKUP("buildings|NOx|Premature mortality", US_national_yearly!$D:$AM, 36, FALSE) / VLOOKUP("buildings|NOx|Premature mortality", US_national_yearly!$D:$AM, 10, FALSE), 1)</f>
        <v>5.828310375816674E-4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1.3912376449863052E-6</v>
      </c>
      <c r="C3" s="7">
        <f>$B3 * IFERROR(VLOOKUP("buildings|NOx|Infant mortality", US_national_yearly!$D:$AM, 11, FALSE) / VLOOKUP("buildings|NOx|Infant mortality", US_national_yearly!$D:$AM, 10, FALSE), 1)</f>
        <v>1.3780225201663028E-6</v>
      </c>
      <c r="D3" s="7">
        <f>$B3 * IFERROR(VLOOKUP("buildings|NOx|Infant mortality", US_national_yearly!$D:$AM, 12, FALSE) / VLOOKUP("buildings|NOx|Infant mortality", US_national_yearly!$D:$AM, 10, FALSE), 1)</f>
        <v>1.3648073953463E-6</v>
      </c>
      <c r="E3" s="7">
        <f>$B3 * IFERROR(VLOOKUP("buildings|NOx|Infant mortality", US_national_yearly!$D:$AM, 13, FALSE) / VLOOKUP("buildings|NOx|Infant mortality", US_national_yearly!$D:$AM, 10, FALSE), 1)</f>
        <v>1.3515922705262976E-6</v>
      </c>
      <c r="F3" s="7">
        <f>$B3 * IFERROR(VLOOKUP("buildings|NOx|Infant mortality", US_national_yearly!$D:$AM, 14, FALSE) / VLOOKUP("buildings|NOx|Infant mortality", US_national_yearly!$D:$AM, 10, FALSE), 1)</f>
        <v>1.338377145706295E-6</v>
      </c>
      <c r="G3" s="7">
        <f>$B3 * IFERROR(VLOOKUP("buildings|NOx|Infant mortality", US_national_yearly!$D:$AM, 15, FALSE) / VLOOKUP("buildings|NOx|Infant mortality", US_national_yearly!$D:$AM, 10, FALSE), 1)</f>
        <v>8.8833102993347842E-7</v>
      </c>
      <c r="H3" s="7">
        <f>$B3 * IFERROR(VLOOKUP("buildings|NOx|Infant mortality", US_national_yearly!$D:$AM, 16, FALSE) / VLOOKUP("buildings|NOx|Infant mortality", US_national_yearly!$D:$AM, 10, FALSE), 1)</f>
        <v>4.3828491416066184E-7</v>
      </c>
      <c r="I3" s="7">
        <f>$B3 * IFERROR(VLOOKUP("buildings|NOx|Infant mortality", US_national_yearly!$D:$AM, 17, FALSE) / VLOOKUP("buildings|NOx|Infant mortality", US_national_yearly!$D:$AM, 10, FALSE), 1)</f>
        <v>4.351886247990298E-7</v>
      </c>
      <c r="J3" s="7">
        <f>$B3 * IFERROR(VLOOKUP("buildings|NOx|Infant mortality", US_national_yearly!$D:$AM, 18, FALSE) / VLOOKUP("buildings|NOx|Infant mortality", US_national_yearly!$D:$AM, 10, FALSE), 1)</f>
        <v>4.320923354373977E-7</v>
      </c>
      <c r="K3" s="7">
        <f>$B3 * IFERROR(VLOOKUP("buildings|NOx|Infant mortality", US_national_yearly!$D:$AM, 19, FALSE) / VLOOKUP("buildings|NOx|Infant mortality", US_national_yearly!$D:$AM, 10, FALSE), 1)</f>
        <v>4.2899604607576571E-7</v>
      </c>
      <c r="L3" s="7">
        <f>$B3 * IFERROR(VLOOKUP("buildings|NOx|Infant mortality", US_national_yearly!$D:$AM, 20, FALSE) / VLOOKUP("buildings|NOx|Infant mortality", US_national_yearly!$D:$AM, 10, FALSE), 1)</f>
        <v>4.2589975671413367E-7</v>
      </c>
      <c r="M3" s="7">
        <f>$B3 * IFERROR(VLOOKUP("buildings|NOx|Infant mortality", US_national_yearly!$D:$AM, 21, FALSE) / VLOOKUP("buildings|NOx|Infant mortality", US_national_yearly!$D:$AM, 10, FALSE), 1)</f>
        <v>4.2280346735250158E-7</v>
      </c>
      <c r="N3" s="7">
        <f>$B3 * IFERROR(VLOOKUP("buildings|NOx|Infant mortality", US_national_yearly!$D:$AM, 22, FALSE) / VLOOKUP("buildings|NOx|Infant mortality", US_national_yearly!$D:$AM, 10, FALSE), 1)</f>
        <v>4.2075172975356289E-7</v>
      </c>
      <c r="O3" s="7">
        <f>$B3 * IFERROR(VLOOKUP("buildings|NOx|Infant mortality", US_national_yearly!$D:$AM, 23, FALSE) / VLOOKUP("buildings|NOx|Infant mortality", US_national_yearly!$D:$AM, 10, FALSE), 1)</f>
        <v>4.1869999215462426E-7</v>
      </c>
      <c r="P3" s="7">
        <f>$B3 * IFERROR(VLOOKUP("buildings|NOx|Infant mortality", US_national_yearly!$D:$AM, 24, FALSE) / VLOOKUP("buildings|NOx|Infant mortality", US_national_yearly!$D:$AM, 10, FALSE), 1)</f>
        <v>4.1664825455568557E-7</v>
      </c>
      <c r="Q3" s="7">
        <f>$B3 * IFERROR(VLOOKUP("buildings|NOx|Infant mortality", US_national_yearly!$D:$AM, 25, FALSE) / VLOOKUP("buildings|NOx|Infant mortality", US_national_yearly!$D:$AM, 10, FALSE), 1)</f>
        <v>4.1459651695674699E-7</v>
      </c>
      <c r="R3" s="7">
        <f>$B3 * IFERROR(VLOOKUP("buildings|NOx|Infant mortality", US_national_yearly!$D:$AM, 26, FALSE) / VLOOKUP("buildings|NOx|Infant mortality", US_national_yearly!$D:$AM, 10, FALSE), 1)</f>
        <v>4.125447793578083E-7</v>
      </c>
      <c r="S3" s="7">
        <f>$B3 * IFERROR(VLOOKUP("buildings|NOx|Infant mortality", US_national_yearly!$D:$AM, 27, FALSE) / VLOOKUP("buildings|NOx|Infant mortality", US_national_yearly!$D:$AM, 10, FALSE), 1)</f>
        <v>4.100766700663119E-7</v>
      </c>
      <c r="T3" s="7">
        <f>$B3 * IFERROR(VLOOKUP("buildings|NOx|Infant mortality", US_national_yearly!$D:$AM, 28, FALSE) / VLOOKUP("buildings|NOx|Infant mortality", US_national_yearly!$D:$AM, 10, FALSE), 1)</f>
        <v>4.0760856077481561E-7</v>
      </c>
      <c r="U3" s="7">
        <f>$B3 * IFERROR(VLOOKUP("buildings|NOx|Infant mortality", US_national_yearly!$D:$AM, 29, FALSE) / VLOOKUP("buildings|NOx|Infant mortality", US_national_yearly!$D:$AM, 10, FALSE), 1)</f>
        <v>4.0514045148331915E-7</v>
      </c>
      <c r="V3" s="7">
        <f>$B3 * IFERROR(VLOOKUP("buildings|NOx|Infant mortality", US_national_yearly!$D:$AM, 30, FALSE) / VLOOKUP("buildings|NOx|Infant mortality", US_national_yearly!$D:$AM, 10, FALSE), 1)</f>
        <v>4.0267234219182275E-7</v>
      </c>
      <c r="W3" s="7">
        <f>$B3 * IFERROR(VLOOKUP("buildings|NOx|Infant mortality", US_national_yearly!$D:$AM, 31, FALSE) / VLOOKUP("buildings|NOx|Infant mortality", US_national_yearly!$D:$AM, 10, FALSE), 1)</f>
        <v>4.0020423290032646E-7</v>
      </c>
      <c r="X3" s="7">
        <f>$B3 * IFERROR(VLOOKUP("buildings|NOx|Infant mortality", US_national_yearly!$D:$AM, 32, FALSE) / VLOOKUP("buildings|NOx|Infant mortality", US_national_yearly!$D:$AM, 10, FALSE), 1)</f>
        <v>3.9759275695463344E-7</v>
      </c>
      <c r="Y3" s="7">
        <f>$B3 * IFERROR(VLOOKUP("buildings|NOx|Infant mortality", US_national_yearly!$D:$AM, 33, FALSE) / VLOOKUP("buildings|NOx|Infant mortality", US_national_yearly!$D:$AM, 10, FALSE), 1)</f>
        <v>3.9498128100894053E-7</v>
      </c>
      <c r="Z3" s="7">
        <f>$B3 * IFERROR(VLOOKUP("buildings|NOx|Infant mortality", US_national_yearly!$D:$AM, 34, FALSE) / VLOOKUP("buildings|NOx|Infant mortality", US_national_yearly!$D:$AM, 10, FALSE), 1)</f>
        <v>3.9236980506324757E-7</v>
      </c>
      <c r="AA3" s="7">
        <f>$B3 * IFERROR(VLOOKUP("buildings|NOx|Infant mortality", US_national_yearly!$D:$AM, 35, FALSE) / VLOOKUP("buildings|NOx|Infant mortality", US_national_yearly!$D:$AM, 10, FALSE), 1)</f>
        <v>3.8975832911755456E-7</v>
      </c>
      <c r="AB3" s="7">
        <f>$B3 * IFERROR(VLOOKUP("buildings|NOx|Infant mortality", US_national_yearly!$D:$AM, 36, FALSE) / VLOOKUP("buildings|NOx|Infant mortality", US_national_yearly!$D:$AM, 10, FALSE), 1)</f>
        <v>3.871468531718616E-7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1.5423939323049565E-3</v>
      </c>
      <c r="C6" s="7">
        <f>$B6 * IFERROR(VLOOKUP("buildings|NOx|Asthma symptoms cough", US_national_yearly!$D:$AM, 11, FALSE) / VLOOKUP("buildings|NOx|Asthma symptoms cough", US_national_yearly!$D:$AM, 10, FALSE), 1)</f>
        <v>1.5635020133881387E-3</v>
      </c>
      <c r="D6" s="7">
        <f>$B6 * IFERROR(VLOOKUP("buildings|NOx|Asthma symptoms cough", US_national_yearly!$D:$AM, 12, FALSE) / VLOOKUP("buildings|NOx|Asthma symptoms cough", US_national_yearly!$D:$AM, 10, FALSE), 1)</f>
        <v>1.5846100944713214E-3</v>
      </c>
      <c r="E6" s="7">
        <f>$B6 * IFERROR(VLOOKUP("buildings|NOx|Asthma symptoms cough", US_national_yearly!$D:$AM, 13, FALSE) / VLOOKUP("buildings|NOx|Asthma symptoms cough", US_national_yearly!$D:$AM, 10, FALSE), 1)</f>
        <v>1.6057181755545036E-3</v>
      </c>
      <c r="F6" s="7">
        <f>$B6 * IFERROR(VLOOKUP("buildings|NOx|Asthma symptoms cough", US_national_yearly!$D:$AM, 14, FALSE) / VLOOKUP("buildings|NOx|Asthma symptoms cough", US_national_yearly!$D:$AM, 10, FALSE), 1)</f>
        <v>1.6268262566376858E-3</v>
      </c>
      <c r="G6" s="7">
        <f>$B6 * IFERROR(VLOOKUP("buildings|NOx|Asthma symptoms cough", US_national_yearly!$D:$AM, 15, FALSE) / VLOOKUP("buildings|NOx|Asthma symptoms cough", US_national_yearly!$D:$AM, 10, FALSE), 1)</f>
        <v>1.6436955686472492E-3</v>
      </c>
      <c r="H6" s="7">
        <f>$B6 * IFERROR(VLOOKUP("buildings|NOx|Asthma symptoms cough", US_national_yearly!$D:$AM, 16, FALSE) / VLOOKUP("buildings|NOx|Asthma symptoms cough", US_national_yearly!$D:$AM, 10, FALSE), 1)</f>
        <v>1.6605648806568125E-3</v>
      </c>
      <c r="I6" s="7">
        <f>$B6 * IFERROR(VLOOKUP("buildings|NOx|Asthma symptoms cough", US_national_yearly!$D:$AM, 17, FALSE) / VLOOKUP("buildings|NOx|Asthma symptoms cough", US_national_yearly!$D:$AM, 10, FALSE), 1)</f>
        <v>1.666402851310614E-3</v>
      </c>
      <c r="J6" s="7">
        <f>$B6 * IFERROR(VLOOKUP("buildings|NOx|Asthma symptoms cough", US_national_yearly!$D:$AM, 18, FALSE) / VLOOKUP("buildings|NOx|Asthma symptoms cough", US_national_yearly!$D:$AM, 10, FALSE), 1)</f>
        <v>1.6722408219644156E-3</v>
      </c>
      <c r="K6" s="7">
        <f>$B6 * IFERROR(VLOOKUP("buildings|NOx|Asthma symptoms cough", US_national_yearly!$D:$AM, 19, FALSE) / VLOOKUP("buildings|NOx|Asthma symptoms cough", US_national_yearly!$D:$AM, 10, FALSE), 1)</f>
        <v>1.6780787926182169E-3</v>
      </c>
      <c r="L6" s="7">
        <f>$B6 * IFERROR(VLOOKUP("buildings|NOx|Asthma symptoms cough", US_national_yearly!$D:$AM, 20, FALSE) / VLOOKUP("buildings|NOx|Asthma symptoms cough", US_national_yearly!$D:$AM, 10, FALSE), 1)</f>
        <v>1.6839167632720184E-3</v>
      </c>
      <c r="M6" s="7">
        <f>$B6 * IFERROR(VLOOKUP("buildings|NOx|Asthma symptoms cough", US_national_yearly!$D:$AM, 21, FALSE) / VLOOKUP("buildings|NOx|Asthma symptoms cough", US_national_yearly!$D:$AM, 10, FALSE), 1)</f>
        <v>1.6897547339258198E-3</v>
      </c>
      <c r="N6" s="7">
        <f>$B6 * IFERROR(VLOOKUP("buildings|NOx|Asthma symptoms cough", US_national_yearly!$D:$AM, 22, FALSE) / VLOOKUP("buildings|NOx|Asthma symptoms cough", US_national_yearly!$D:$AM, 10, FALSE), 1)</f>
        <v>1.6965052512499239E-3</v>
      </c>
      <c r="O6" s="7">
        <f>$B6 * IFERROR(VLOOKUP("buildings|NOx|Asthma symptoms cough", US_national_yearly!$D:$AM, 23, FALSE) / VLOOKUP("buildings|NOx|Asthma symptoms cough", US_national_yearly!$D:$AM, 10, FALSE), 1)</f>
        <v>1.7032557685740276E-3</v>
      </c>
      <c r="P6" s="7">
        <f>$B6 * IFERROR(VLOOKUP("buildings|NOx|Asthma symptoms cough", US_national_yearly!$D:$AM, 24, FALSE) / VLOOKUP("buildings|NOx|Asthma symptoms cough", US_national_yearly!$D:$AM, 10, FALSE), 1)</f>
        <v>1.7100062858981316E-3</v>
      </c>
      <c r="Q6" s="7">
        <f>$B6 * IFERROR(VLOOKUP("buildings|NOx|Asthma symptoms cough", US_national_yearly!$D:$AM, 25, FALSE) / VLOOKUP("buildings|NOx|Asthma symptoms cough", US_national_yearly!$D:$AM, 10, FALSE), 1)</f>
        <v>1.7167568032222357E-3</v>
      </c>
      <c r="R6" s="7">
        <f>$B6 * IFERROR(VLOOKUP("buildings|NOx|Asthma symptoms cough", US_national_yearly!$D:$AM, 26, FALSE) / VLOOKUP("buildings|NOx|Asthma symptoms cough", US_national_yearly!$D:$AM, 10, FALSE), 1)</f>
        <v>1.7235073205463395E-3</v>
      </c>
      <c r="S6" s="7">
        <f>$B6 * IFERROR(VLOOKUP("buildings|NOx|Asthma symptoms cough", US_national_yearly!$D:$AM, 27, FALSE) / VLOOKUP("buildings|NOx|Asthma symptoms cough", US_national_yearly!$D:$AM, 10, FALSE), 1)</f>
        <v>1.7323236392335563E-3</v>
      </c>
      <c r="T6" s="7">
        <f>$B6 * IFERROR(VLOOKUP("buildings|NOx|Asthma symptoms cough", US_national_yearly!$D:$AM, 28, FALSE) / VLOOKUP("buildings|NOx|Asthma symptoms cough", US_national_yearly!$D:$AM, 10, FALSE), 1)</f>
        <v>1.7411399579207729E-3</v>
      </c>
      <c r="U6" s="7">
        <f>$B6 * IFERROR(VLOOKUP("buildings|NOx|Asthma symptoms cough", US_national_yearly!$D:$AM, 29, FALSE) / VLOOKUP("buildings|NOx|Asthma symptoms cough", US_national_yearly!$D:$AM, 10, FALSE), 1)</f>
        <v>1.7499562766079895E-3</v>
      </c>
      <c r="V6" s="7">
        <f>$B6 * IFERROR(VLOOKUP("buildings|NOx|Asthma symptoms cough", US_national_yearly!$D:$AM, 30, FALSE) / VLOOKUP("buildings|NOx|Asthma symptoms cough", US_national_yearly!$D:$AM, 10, FALSE), 1)</f>
        <v>1.7587725952952068E-3</v>
      </c>
      <c r="W6" s="7">
        <f>$B6 * IFERROR(VLOOKUP("buildings|NOx|Asthma symptoms cough", US_national_yearly!$D:$AM, 31, FALSE) / VLOOKUP("buildings|NOx|Asthma symptoms cough", US_national_yearly!$D:$AM, 10, FALSE), 1)</f>
        <v>1.7675889139824234E-3</v>
      </c>
      <c r="X6" s="7">
        <f>$B6 * IFERROR(VLOOKUP("buildings|NOx|Asthma symptoms cough", US_national_yearly!$D:$AM, 32, FALSE) / VLOOKUP("buildings|NOx|Asthma symptoms cough", US_national_yearly!$D:$AM, 10, FALSE), 1)</f>
        <v>1.775780487191788E-3</v>
      </c>
      <c r="Y6" s="7">
        <f>$B6 * IFERROR(VLOOKUP("buildings|NOx|Asthma symptoms cough", US_national_yearly!$D:$AM, 33, FALSE) / VLOOKUP("buildings|NOx|Asthma symptoms cough", US_national_yearly!$D:$AM, 10, FALSE), 1)</f>
        <v>1.7839720604011528E-3</v>
      </c>
      <c r="Z6" s="7">
        <f>$B6 * IFERROR(VLOOKUP("buildings|NOx|Asthma symptoms cough", US_national_yearly!$D:$AM, 34, FALSE) / VLOOKUP("buildings|NOx|Asthma symptoms cough", US_national_yearly!$D:$AM, 10, FALSE), 1)</f>
        <v>1.7921636336105176E-3</v>
      </c>
      <c r="AA6" s="7">
        <f>$B6 * IFERROR(VLOOKUP("buildings|NOx|Asthma symptoms cough", US_national_yearly!$D:$AM, 35, FALSE) / VLOOKUP("buildings|NOx|Asthma symptoms cough", US_national_yearly!$D:$AM, 10, FALSE), 1)</f>
        <v>1.8003552068198826E-3</v>
      </c>
      <c r="AB6" s="7">
        <f>$B6 * IFERROR(VLOOKUP("buildings|NOx|Asthma symptoms cough", US_national_yearly!$D:$AM, 36, FALSE) / VLOOKUP("buildings|NOx|Asthma symptoms cough", US_national_yearly!$D:$AM, 10, FALSE), 1)</f>
        <v>1.8085467800292474E-3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2.0770539183893491E-3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2.1054789669573259E-3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2.1339040155253027E-3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2.1623290640932799E-3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2.1907541126612567E-3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2.2134710526971256E-3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2.2361879927329941E-3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2.2440496546603209E-3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2.2519113165876468E-3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2.2597729785149741E-3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2.2676346404423005E-3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2.2754963023696273E-3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2.2845868388540747E-3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2.293677375338522E-3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2.3027679118229694E-3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2.3118584483074168E-3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2.3209489847918646E-3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2.3328214181541186E-3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2.3446938515163723E-3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2.3565662848786264E-3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2.36843871824088E-3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2.3803111516031341E-3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2.3913422758682604E-3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2.4023734001333862E-3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2.4134045243985125E-3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2.4244356486636375E-3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2.4354667729287638E-3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3.1733982138122483E-3</v>
      </c>
      <c r="C8" s="7">
        <f>$B8 * IFERROR(VLOOKUP("buildings|NOx|Asthma symptoms wheeze", US_national_yearly!$D:$AM, 11, FALSE) / VLOOKUP("buildings|NOx|Asthma symptoms wheeze", US_national_yearly!$D:$AM, 10, FALSE), 1)</f>
        <v>3.2168270327604248E-3</v>
      </c>
      <c r="D8" s="7">
        <f>$B8 * IFERROR(VLOOKUP("buildings|NOx|Asthma symptoms wheeze", US_national_yearly!$D:$AM, 12, FALSE) / VLOOKUP("buildings|NOx|Asthma symptoms wheeze", US_national_yearly!$D:$AM, 10, FALSE), 1)</f>
        <v>3.2602558517086009E-3</v>
      </c>
      <c r="E8" s="7">
        <f>$B8 * IFERROR(VLOOKUP("buildings|NOx|Asthma symptoms wheeze", US_national_yearly!$D:$AM, 13, FALSE) / VLOOKUP("buildings|NOx|Asthma symptoms wheeze", US_national_yearly!$D:$AM, 10, FALSE), 1)</f>
        <v>3.3036846706567769E-3</v>
      </c>
      <c r="F8" s="7">
        <f>$B8 * IFERROR(VLOOKUP("buildings|NOx|Asthma symptoms wheeze", US_national_yearly!$D:$AM, 14, FALSE) / VLOOKUP("buildings|NOx|Asthma symptoms wheeze", US_national_yearly!$D:$AM, 10, FALSE), 1)</f>
        <v>3.3471134896049539E-3</v>
      </c>
      <c r="G8" s="7">
        <f>$B8 * IFERROR(VLOOKUP("buildings|NOx|Asthma symptoms wheeze", US_national_yearly!$D:$AM, 15, FALSE) / VLOOKUP("buildings|NOx|Asthma symptoms wheeze", US_national_yearly!$D:$AM, 10, FALSE), 1)</f>
        <v>3.3818212536205921E-3</v>
      </c>
      <c r="H8" s="7">
        <f>$B8 * IFERROR(VLOOKUP("buildings|NOx|Asthma symptoms wheeze", US_national_yearly!$D:$AM, 16, FALSE) / VLOOKUP("buildings|NOx|Asthma symptoms wheeze", US_national_yearly!$D:$AM, 10, FALSE), 1)</f>
        <v>3.4165290176362295E-3</v>
      </c>
      <c r="I8" s="7">
        <f>$B8 * IFERROR(VLOOKUP("buildings|NOx|Asthma symptoms wheeze", US_national_yearly!$D:$AM, 17, FALSE) / VLOOKUP("buildings|NOx|Asthma symptoms wheeze", US_national_yearly!$D:$AM, 10, FALSE), 1)</f>
        <v>3.4285403496750661E-3</v>
      </c>
      <c r="J8" s="7">
        <f>$B8 * IFERROR(VLOOKUP("buildings|NOx|Asthma symptoms wheeze", US_national_yearly!$D:$AM, 18, FALSE) / VLOOKUP("buildings|NOx|Asthma symptoms wheeze", US_national_yearly!$D:$AM, 10, FALSE), 1)</f>
        <v>3.4405516817139028E-3</v>
      </c>
      <c r="K8" s="7">
        <f>$B8 * IFERROR(VLOOKUP("buildings|NOx|Asthma symptoms wheeze", US_national_yearly!$D:$AM, 19, FALSE) / VLOOKUP("buildings|NOx|Asthma symptoms wheeze", US_national_yearly!$D:$AM, 10, FALSE), 1)</f>
        <v>3.452563013752739E-3</v>
      </c>
      <c r="L8" s="7">
        <f>$B8 * IFERROR(VLOOKUP("buildings|NOx|Asthma symptoms wheeze", US_national_yearly!$D:$AM, 20, FALSE) / VLOOKUP("buildings|NOx|Asthma symptoms wheeze", US_national_yearly!$D:$AM, 10, FALSE), 1)</f>
        <v>3.4645743457915753E-3</v>
      </c>
      <c r="M8" s="7">
        <f>$B8 * IFERROR(VLOOKUP("buildings|NOx|Asthma symptoms wheeze", US_national_yearly!$D:$AM, 21, FALSE) / VLOOKUP("buildings|NOx|Asthma symptoms wheeze", US_national_yearly!$D:$AM, 10, FALSE), 1)</f>
        <v>3.4765856778304124E-3</v>
      </c>
      <c r="N8" s="7">
        <f>$B8 * IFERROR(VLOOKUP("buildings|NOx|Asthma symptoms wheeze", US_national_yearly!$D:$AM, 22, FALSE) / VLOOKUP("buildings|NOx|Asthma symptoms wheeze", US_national_yearly!$D:$AM, 10, FALSE), 1)</f>
        <v>3.4904745289098421E-3</v>
      </c>
      <c r="O8" s="7">
        <f>$B8 * IFERROR(VLOOKUP("buildings|NOx|Asthma symptoms wheeze", US_national_yearly!$D:$AM, 23, FALSE) / VLOOKUP("buildings|NOx|Asthma symptoms wheeze", US_national_yearly!$D:$AM, 10, FALSE), 1)</f>
        <v>3.5043633799892726E-3</v>
      </c>
      <c r="P8" s="7">
        <f>$B8 * IFERROR(VLOOKUP("buildings|NOx|Asthma symptoms wheeze", US_national_yearly!$D:$AM, 24, FALSE) / VLOOKUP("buildings|NOx|Asthma symptoms wheeze", US_national_yearly!$D:$AM, 10, FALSE), 1)</f>
        <v>3.5182522310687023E-3</v>
      </c>
      <c r="Q8" s="7">
        <f>$B8 * IFERROR(VLOOKUP("buildings|NOx|Asthma symptoms wheeze", US_national_yearly!$D:$AM, 25, FALSE) / VLOOKUP("buildings|NOx|Asthma symptoms wheeze", US_national_yearly!$D:$AM, 10, FALSE), 1)</f>
        <v>3.5321410821481328E-3</v>
      </c>
      <c r="R8" s="7">
        <f>$B8 * IFERROR(VLOOKUP("buildings|NOx|Asthma symptoms wheeze", US_national_yearly!$D:$AM, 26, FALSE) / VLOOKUP("buildings|NOx|Asthma symptoms wheeze", US_national_yearly!$D:$AM, 10, FALSE), 1)</f>
        <v>3.5460299332275625E-3</v>
      </c>
      <c r="S8" s="7">
        <f>$B8 * IFERROR(VLOOKUP("buildings|NOx|Asthma symptoms wheeze", US_national_yearly!$D:$AM, 27, FALSE) / VLOOKUP("buildings|NOx|Asthma symptoms wheeze", US_national_yearly!$D:$AM, 10, FALSE), 1)</f>
        <v>3.564169067084347E-3</v>
      </c>
      <c r="T8" s="7">
        <f>$B8 * IFERROR(VLOOKUP("buildings|NOx|Asthma symptoms wheeze", US_national_yearly!$D:$AM, 28, FALSE) / VLOOKUP("buildings|NOx|Asthma symptoms wheeze", US_national_yearly!$D:$AM, 10, FALSE), 1)</f>
        <v>3.5823082009411315E-3</v>
      </c>
      <c r="U8" s="7">
        <f>$B8 * IFERROR(VLOOKUP("buildings|NOx|Asthma symptoms wheeze", US_national_yearly!$D:$AM, 29, FALSE) / VLOOKUP("buildings|NOx|Asthma symptoms wheeze", US_national_yearly!$D:$AM, 10, FALSE), 1)</f>
        <v>3.6004473347979161E-3</v>
      </c>
      <c r="V8" s="7">
        <f>$B8 * IFERROR(VLOOKUP("buildings|NOx|Asthma symptoms wheeze", US_national_yearly!$D:$AM, 30, FALSE) / VLOOKUP("buildings|NOx|Asthma symptoms wheeze", US_national_yearly!$D:$AM, 10, FALSE), 1)</f>
        <v>3.6185864686547006E-3</v>
      </c>
      <c r="W8" s="7">
        <f>$B8 * IFERROR(VLOOKUP("buildings|NOx|Asthma symptoms wheeze", US_national_yearly!$D:$AM, 31, FALSE) / VLOOKUP("buildings|NOx|Asthma symptoms wheeze", US_national_yearly!$D:$AM, 10, FALSE), 1)</f>
        <v>3.6367256025114851E-3</v>
      </c>
      <c r="X8" s="7">
        <f>$B8 * IFERROR(VLOOKUP("buildings|NOx|Asthma symptoms wheeze", US_national_yearly!$D:$AM, 32, FALSE) / VLOOKUP("buildings|NOx|Asthma symptoms wheeze", US_national_yearly!$D:$AM, 10, FALSE), 1)</f>
        <v>3.6535793538584505E-3</v>
      </c>
      <c r="Y8" s="7">
        <f>$B8 * IFERROR(VLOOKUP("buildings|NOx|Asthma symptoms wheeze", US_national_yearly!$D:$AM, 33, FALSE) / VLOOKUP("buildings|NOx|Asthma symptoms wheeze", US_national_yearly!$D:$AM, 10, FALSE), 1)</f>
        <v>3.6704331052054163E-3</v>
      </c>
      <c r="Z8" s="7">
        <f>$B8 * IFERROR(VLOOKUP("buildings|NOx|Asthma symptoms wheeze", US_national_yearly!$D:$AM, 34, FALSE) / VLOOKUP("buildings|NOx|Asthma symptoms wheeze", US_national_yearly!$D:$AM, 10, FALSE), 1)</f>
        <v>3.6872868565523825E-3</v>
      </c>
      <c r="AA8" s="7">
        <f>$B8 * IFERROR(VLOOKUP("buildings|NOx|Asthma symptoms wheeze", US_national_yearly!$D:$AM, 35, FALSE) / VLOOKUP("buildings|NOx|Asthma symptoms wheeze", US_national_yearly!$D:$AM, 10, FALSE), 1)</f>
        <v>3.7041406078993479E-3</v>
      </c>
      <c r="AB8" s="7">
        <f>$B8 * IFERROR(VLOOKUP("buildings|NOx|Asthma symptoms wheeze", US_national_yearly!$D:$AM, 36, FALSE) / VLOOKUP("buildings|NOx|Asthma symptoms wheeze", US_national_yearly!$D:$AM, 10, FALSE), 1)</f>
        <v>3.7209943592463142E-3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2.7826939978409912E-5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2.8522177999882841E-5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2.921741602135577E-5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2.9912654042828703E-5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3.0607892064301632E-5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3.1272560768771833E-5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3.193722947324202E-5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3.2501849877918345E-5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3.3066470282594671E-5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3.3631090687270997E-5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3.4195711091947322E-5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3.4760331496623648E-5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3.5137777130491305E-5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3.5515222764358969E-5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3.5892668398226626E-5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3.6270114032094297E-5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3.6647559665961947E-5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3.6849934584405585E-5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3.7052309502849223E-5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3.725468442129286E-5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3.7457059339736498E-5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3.7659434258180129E-5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3.7797969438830113E-5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3.793650461948009E-5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3.8075039800130081E-5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3.8213574980780058E-5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3.8352110161430042E-5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1.6620645160658683E-4</v>
      </c>
      <c r="C13" s="7">
        <f>$B13 * IFERROR(VLOOKUP("buildings|NOx|Non-fatal heart attacks", US_national_yearly!$D:$AM, 11, FALSE) / VLOOKUP("buildings|NOx|Non-fatal heart attacks", US_national_yearly!$D:$AM, 10, FALSE), 1)</f>
        <v>1.7096127931486095E-4</v>
      </c>
      <c r="D13" s="7">
        <f>$B13 * IFERROR(VLOOKUP("buildings|NOx|Non-fatal heart attacks", US_national_yearly!$D:$AM, 12, FALSE) / VLOOKUP("buildings|NOx|Non-fatal heart attacks", US_national_yearly!$D:$AM, 10, FALSE), 1)</f>
        <v>1.7571610702313514E-4</v>
      </c>
      <c r="E13" s="7">
        <f>$B13 * IFERROR(VLOOKUP("buildings|NOx|Non-fatal heart attacks", US_national_yearly!$D:$AM, 13, FALSE) / VLOOKUP("buildings|NOx|Non-fatal heart attacks", US_national_yearly!$D:$AM, 10, FALSE), 1)</f>
        <v>1.8047093473140926E-4</v>
      </c>
      <c r="F13" s="7">
        <f>$B13 * IFERROR(VLOOKUP("buildings|NOx|Non-fatal heart attacks", US_national_yearly!$D:$AM, 14, FALSE) / VLOOKUP("buildings|NOx|Non-fatal heart attacks", US_national_yearly!$D:$AM, 10, FALSE), 1)</f>
        <v>1.8522576243968337E-4</v>
      </c>
      <c r="G13" s="7">
        <f>$B13 * IFERROR(VLOOKUP("buildings|NOx|Non-fatal heart attacks", US_national_yearly!$D:$AM, 15, FALSE) / VLOOKUP("buildings|NOx|Non-fatal heart attacks", US_national_yearly!$D:$AM, 10, FALSE), 1)</f>
        <v>1.8967008390603191E-4</v>
      </c>
      <c r="H13" s="7">
        <f>$B13 * IFERROR(VLOOKUP("buildings|NOx|Non-fatal heart attacks", US_national_yearly!$D:$AM, 16, FALSE) / VLOOKUP("buildings|NOx|Non-fatal heart attacks", US_national_yearly!$D:$AM, 10, FALSE), 1)</f>
        <v>1.9411440537238044E-4</v>
      </c>
      <c r="I13" s="7">
        <f>$B13 * IFERROR(VLOOKUP("buildings|NOx|Non-fatal heart attacks", US_national_yearly!$D:$AM, 17, FALSE) / VLOOKUP("buildings|NOx|Non-fatal heart attacks", US_national_yearly!$D:$AM, 10, FALSE), 1)</f>
        <v>1.976206555312833E-4</v>
      </c>
      <c r="J13" s="7">
        <f>$B13 * IFERROR(VLOOKUP("buildings|NOx|Non-fatal heart attacks", US_national_yearly!$D:$AM, 18, FALSE) / VLOOKUP("buildings|NOx|Non-fatal heart attacks", US_national_yearly!$D:$AM, 10, FALSE), 1)</f>
        <v>2.0112690569018616E-4</v>
      </c>
      <c r="K13" s="7">
        <f>$B13 * IFERROR(VLOOKUP("buildings|NOx|Non-fatal heart attacks", US_national_yearly!$D:$AM, 19, FALSE) / VLOOKUP("buildings|NOx|Non-fatal heart attacks", US_national_yearly!$D:$AM, 10, FALSE), 1)</f>
        <v>2.046331558490891E-4</v>
      </c>
      <c r="L13" s="7">
        <f>$B13 * IFERROR(VLOOKUP("buildings|NOx|Non-fatal heart attacks", US_national_yearly!$D:$AM, 20, FALSE) / VLOOKUP("buildings|NOx|Non-fatal heart attacks", US_national_yearly!$D:$AM, 10, FALSE), 1)</f>
        <v>2.0813940600799186E-4</v>
      </c>
      <c r="M13" s="7">
        <f>$B13 * IFERROR(VLOOKUP("buildings|NOx|Non-fatal heart attacks", US_national_yearly!$D:$AM, 21, FALSE) / VLOOKUP("buildings|NOx|Non-fatal heart attacks", US_national_yearly!$D:$AM, 10, FALSE), 1)</f>
        <v>2.116456561668948E-4</v>
      </c>
      <c r="N13" s="7">
        <f>$B13 * IFERROR(VLOOKUP("buildings|NOx|Non-fatal heart attacks", US_national_yearly!$D:$AM, 22, FALSE) / VLOOKUP("buildings|NOx|Non-fatal heart attacks", US_national_yearly!$D:$AM, 10, FALSE), 1)</f>
        <v>2.1375582380109214E-4</v>
      </c>
      <c r="O13" s="7">
        <f>$B13 * IFERROR(VLOOKUP("buildings|NOx|Non-fatal heart attacks", US_national_yearly!$D:$AM, 23, FALSE) / VLOOKUP("buildings|NOx|Non-fatal heart attacks", US_national_yearly!$D:$AM, 10, FALSE), 1)</f>
        <v>2.1586599143528945E-4</v>
      </c>
      <c r="P13" s="7">
        <f>$B13 * IFERROR(VLOOKUP("buildings|NOx|Non-fatal heart attacks", US_national_yearly!$D:$AM, 24, FALSE) / VLOOKUP("buildings|NOx|Non-fatal heart attacks", US_national_yearly!$D:$AM, 10, FALSE), 1)</f>
        <v>2.1797615906948682E-4</v>
      </c>
      <c r="Q13" s="7">
        <f>$B13 * IFERROR(VLOOKUP("buildings|NOx|Non-fatal heart attacks", US_national_yearly!$D:$AM, 25, FALSE) / VLOOKUP("buildings|NOx|Non-fatal heart attacks", US_national_yearly!$D:$AM, 10, FALSE), 1)</f>
        <v>2.2008632670368416E-4</v>
      </c>
      <c r="R13" s="7">
        <f>$B13 * IFERROR(VLOOKUP("buildings|NOx|Non-fatal heart attacks", US_national_yearly!$D:$AM, 26, FALSE) / VLOOKUP("buildings|NOx|Non-fatal heart attacks", US_national_yearly!$D:$AM, 10, FALSE), 1)</f>
        <v>2.2219649433788147E-4</v>
      </c>
      <c r="S13" s="7">
        <f>$B13 * IFERROR(VLOOKUP("buildings|NOx|Non-fatal heart attacks", US_national_yearly!$D:$AM, 27, FALSE) / VLOOKUP("buildings|NOx|Non-fatal heart attacks", US_national_yearly!$D:$AM, 10, FALSE), 1)</f>
        <v>2.2315543729306274E-4</v>
      </c>
      <c r="T13" s="7">
        <f>$B13 * IFERROR(VLOOKUP("buildings|NOx|Non-fatal heart attacks", US_national_yearly!$D:$AM, 28, FALSE) / VLOOKUP("buildings|NOx|Non-fatal heart attacks", US_national_yearly!$D:$AM, 10, FALSE), 1)</f>
        <v>2.2411438024824405E-4</v>
      </c>
      <c r="U13" s="7">
        <f>$B13 * IFERROR(VLOOKUP("buildings|NOx|Non-fatal heart attacks", US_national_yearly!$D:$AM, 29, FALSE) / VLOOKUP("buildings|NOx|Non-fatal heart attacks", US_national_yearly!$D:$AM, 10, FALSE), 1)</f>
        <v>2.2507332320342529E-4</v>
      </c>
      <c r="V13" s="7">
        <f>$B13 * IFERROR(VLOOKUP("buildings|NOx|Non-fatal heart attacks", US_national_yearly!$D:$AM, 30, FALSE) / VLOOKUP("buildings|NOx|Non-fatal heart attacks", US_national_yearly!$D:$AM, 10, FALSE), 1)</f>
        <v>2.2603226615860655E-4</v>
      </c>
      <c r="W13" s="7">
        <f>$B13 * IFERROR(VLOOKUP("buildings|NOx|Non-fatal heart attacks", US_national_yearly!$D:$AM, 31, FALSE) / VLOOKUP("buildings|NOx|Non-fatal heart attacks", US_national_yearly!$D:$AM, 10, FALSE), 1)</f>
        <v>2.2699120911378782E-4</v>
      </c>
      <c r="X13" s="7">
        <f>$B13 * IFERROR(VLOOKUP("buildings|NOx|Non-fatal heart attacks", US_national_yearly!$D:$AM, 32, FALSE) / VLOOKUP("buildings|NOx|Non-fatal heart attacks", US_national_yearly!$D:$AM, 10, FALSE), 1)</f>
        <v>2.2763266386264207E-4</v>
      </c>
      <c r="Y13" s="7">
        <f>$B13 * IFERROR(VLOOKUP("buildings|NOx|Non-fatal heart attacks", US_national_yearly!$D:$AM, 33, FALSE) / VLOOKUP("buildings|NOx|Non-fatal heart attacks", US_national_yearly!$D:$AM, 10, FALSE), 1)</f>
        <v>2.2827411861149629E-4</v>
      </c>
      <c r="Z13" s="7">
        <f>$B13 * IFERROR(VLOOKUP("buildings|NOx|Non-fatal heart attacks", US_national_yearly!$D:$AM, 34, FALSE) / VLOOKUP("buildings|NOx|Non-fatal heart attacks", US_national_yearly!$D:$AM, 10, FALSE), 1)</f>
        <v>2.2891557336035057E-4</v>
      </c>
      <c r="AA13" s="7">
        <f>$B13 * IFERROR(VLOOKUP("buildings|NOx|Non-fatal heart attacks", US_national_yearly!$D:$AM, 35, FALSE) / VLOOKUP("buildings|NOx|Non-fatal heart attacks", US_national_yearly!$D:$AM, 10, FALSE), 1)</f>
        <v>2.2955702810920482E-4</v>
      </c>
      <c r="AB13" s="7">
        <f>$B13 * IFERROR(VLOOKUP("buildings|NOx|Non-fatal heart attacks", US_national_yearly!$D:$AM, 36, FALSE) / VLOOKUP("buildings|NOx|Non-fatal heart attacks", US_national_yearly!$D:$AM, 10, FALSE), 1)</f>
        <v>2.3019848285805907E-4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0.16902150082020104</v>
      </c>
      <c r="C14" s="7">
        <f>$B14 * IFERROR(VLOOKUP("buildings|NOx|Minor restricted activity days", US_national_yearly!$D:$AM, 11, FALSE) / VLOOKUP("buildings|NOx|Minor restricted activity days", US_national_yearly!$D:$AM, 10, FALSE), 1)</f>
        <v>0.16928378221708773</v>
      </c>
      <c r="D14" s="7">
        <f>$B14 * IFERROR(VLOOKUP("buildings|NOx|Minor restricted activity days", US_national_yearly!$D:$AM, 12, FALSE) / VLOOKUP("buildings|NOx|Minor restricted activity days", US_national_yearly!$D:$AM, 10, FALSE), 1)</f>
        <v>0.1695460636139744</v>
      </c>
      <c r="E14" s="7">
        <f>$B14 * IFERROR(VLOOKUP("buildings|NOx|Minor restricted activity days", US_national_yearly!$D:$AM, 13, FALSE) / VLOOKUP("buildings|NOx|Minor restricted activity days", US_national_yearly!$D:$AM, 10, FALSE), 1)</f>
        <v>0.16980834501086109</v>
      </c>
      <c r="F14" s="7">
        <f>$B14 * IFERROR(VLOOKUP("buildings|NOx|Minor restricted activity days", US_national_yearly!$D:$AM, 14, FALSE) / VLOOKUP("buildings|NOx|Minor restricted activity days", US_national_yearly!$D:$AM, 10, FALSE), 1)</f>
        <v>0.17007062640774778</v>
      </c>
      <c r="G14" s="7">
        <f>$B14 * IFERROR(VLOOKUP("buildings|NOx|Minor restricted activity days", US_national_yearly!$D:$AM, 15, FALSE) / VLOOKUP("buildings|NOx|Minor restricted activity days", US_national_yearly!$D:$AM, 10, FALSE), 1)</f>
        <v>0.17054181539239624</v>
      </c>
      <c r="H14" s="7">
        <f>$B14 * IFERROR(VLOOKUP("buildings|NOx|Minor restricted activity days", US_national_yearly!$D:$AM, 16, FALSE) / VLOOKUP("buildings|NOx|Minor restricted activity days", US_national_yearly!$D:$AM, 10, FALSE), 1)</f>
        <v>0.17101300437704473</v>
      </c>
      <c r="I14" s="7">
        <f>$B14 * IFERROR(VLOOKUP("buildings|NOx|Minor restricted activity days", US_national_yearly!$D:$AM, 17, FALSE) / VLOOKUP("buildings|NOx|Minor restricted activity days", US_national_yearly!$D:$AM, 10, FALSE), 1)</f>
        <v>0.17193168846621337</v>
      </c>
      <c r="J14" s="7">
        <f>$B14 * IFERROR(VLOOKUP("buildings|NOx|Minor restricted activity days", US_national_yearly!$D:$AM, 18, FALSE) / VLOOKUP("buildings|NOx|Minor restricted activity days", US_national_yearly!$D:$AM, 10, FALSE), 1)</f>
        <v>0.17285037255538199</v>
      </c>
      <c r="K14" s="7">
        <f>$B14 * IFERROR(VLOOKUP("buildings|NOx|Minor restricted activity days", US_national_yearly!$D:$AM, 19, FALSE) / VLOOKUP("buildings|NOx|Minor restricted activity days", US_national_yearly!$D:$AM, 10, FALSE), 1)</f>
        <v>0.17376905664455061</v>
      </c>
      <c r="L14" s="7">
        <f>$B14 * IFERROR(VLOOKUP("buildings|NOx|Minor restricted activity days", US_national_yearly!$D:$AM, 20, FALSE) / VLOOKUP("buildings|NOx|Minor restricted activity days", US_national_yearly!$D:$AM, 10, FALSE), 1)</f>
        <v>0.17468774073371926</v>
      </c>
      <c r="M14" s="7">
        <f>$B14 * IFERROR(VLOOKUP("buildings|NOx|Minor restricted activity days", US_national_yearly!$D:$AM, 21, FALSE) / VLOOKUP("buildings|NOx|Minor restricted activity days", US_national_yearly!$D:$AM, 10, FALSE), 1)</f>
        <v>0.17560642482288788</v>
      </c>
      <c r="N14" s="7">
        <f>$B14 * IFERROR(VLOOKUP("buildings|NOx|Minor restricted activity days", US_national_yearly!$D:$AM, 22, FALSE) / VLOOKUP("buildings|NOx|Minor restricted activity days", US_national_yearly!$D:$AM, 10, FALSE), 1)</f>
        <v>0.17692070189219988</v>
      </c>
      <c r="O14" s="7">
        <f>$B14 * IFERROR(VLOOKUP("buildings|NOx|Minor restricted activity days", US_national_yearly!$D:$AM, 23, FALSE) / VLOOKUP("buildings|NOx|Minor restricted activity days", US_national_yearly!$D:$AM, 10, FALSE), 1)</f>
        <v>0.17823497896151183</v>
      </c>
      <c r="P14" s="7">
        <f>$B14 * IFERROR(VLOOKUP("buildings|NOx|Minor restricted activity days", US_national_yearly!$D:$AM, 24, FALSE) / VLOOKUP("buildings|NOx|Minor restricted activity days", US_national_yearly!$D:$AM, 10, FALSE), 1)</f>
        <v>0.17954925603082383</v>
      </c>
      <c r="Q14" s="7">
        <f>$B14 * IFERROR(VLOOKUP("buildings|NOx|Minor restricted activity days", US_national_yearly!$D:$AM, 25, FALSE) / VLOOKUP("buildings|NOx|Minor restricted activity days", US_national_yearly!$D:$AM, 10, FALSE), 1)</f>
        <v>0.18086353310013578</v>
      </c>
      <c r="R14" s="7">
        <f>$B14 * IFERROR(VLOOKUP("buildings|NOx|Minor restricted activity days", US_national_yearly!$D:$AM, 26, FALSE) / VLOOKUP("buildings|NOx|Minor restricted activity days", US_national_yearly!$D:$AM, 10, FALSE), 1)</f>
        <v>0.18217781016944773</v>
      </c>
      <c r="S14" s="7">
        <f>$B14 * IFERROR(VLOOKUP("buildings|NOx|Minor restricted activity days", US_national_yearly!$D:$AM, 27, FALSE) / VLOOKUP("buildings|NOx|Minor restricted activity days", US_national_yearly!$D:$AM, 10, FALSE), 1)</f>
        <v>0.18349170889407582</v>
      </c>
      <c r="T14" s="7">
        <f>$B14 * IFERROR(VLOOKUP("buildings|NOx|Minor restricted activity days", US_national_yearly!$D:$AM, 28, FALSE) / VLOOKUP("buildings|NOx|Minor restricted activity days", US_national_yearly!$D:$AM, 10, FALSE), 1)</f>
        <v>0.1848056076187039</v>
      </c>
      <c r="U14" s="7">
        <f>$B14 * IFERROR(VLOOKUP("buildings|NOx|Minor restricted activity days", US_national_yearly!$D:$AM, 29, FALSE) / VLOOKUP("buildings|NOx|Minor restricted activity days", US_national_yearly!$D:$AM, 10, FALSE), 1)</f>
        <v>0.18611950634333202</v>
      </c>
      <c r="V14" s="7">
        <f>$B14 * IFERROR(VLOOKUP("buildings|NOx|Minor restricted activity days", US_national_yearly!$D:$AM, 30, FALSE) / VLOOKUP("buildings|NOx|Minor restricted activity days", US_national_yearly!$D:$AM, 10, FALSE), 1)</f>
        <v>0.18743340506796011</v>
      </c>
      <c r="W14" s="7">
        <f>$B14 * IFERROR(VLOOKUP("buildings|NOx|Minor restricted activity days", US_national_yearly!$D:$AM, 31, FALSE) / VLOOKUP("buildings|NOx|Minor restricted activity days", US_national_yearly!$D:$AM, 10, FALSE), 1)</f>
        <v>0.18874730379258819</v>
      </c>
      <c r="X14" s="7">
        <f>$B14 * IFERROR(VLOOKUP("buildings|NOx|Minor restricted activity days", US_national_yearly!$D:$AM, 32, FALSE) / VLOOKUP("buildings|NOx|Minor restricted activity days", US_national_yearly!$D:$AM, 10, FALSE), 1)</f>
        <v>0.1898585219148721</v>
      </c>
      <c r="Y14" s="7">
        <f>$B14 * IFERROR(VLOOKUP("buildings|NOx|Minor restricted activity days", US_national_yearly!$D:$AM, 33, FALSE) / VLOOKUP("buildings|NOx|Minor restricted activity days", US_national_yearly!$D:$AM, 10, FALSE), 1)</f>
        <v>0.19096974003715605</v>
      </c>
      <c r="Z14" s="7">
        <f>$B14 * IFERROR(VLOOKUP("buildings|NOx|Minor restricted activity days", US_national_yearly!$D:$AM, 34, FALSE) / VLOOKUP("buildings|NOx|Minor restricted activity days", US_national_yearly!$D:$AM, 10, FALSE), 1)</f>
        <v>0.19208095815943993</v>
      </c>
      <c r="AA14" s="7">
        <f>$B14 * IFERROR(VLOOKUP("buildings|NOx|Minor restricted activity days", US_national_yearly!$D:$AM, 35, FALSE) / VLOOKUP("buildings|NOx|Minor restricted activity days", US_national_yearly!$D:$AM, 10, FALSE), 1)</f>
        <v>0.19319217628172386</v>
      </c>
      <c r="AB14" s="7">
        <f>$B14 * IFERROR(VLOOKUP("buildings|NOx|Minor restricted activity days", US_national_yearly!$D:$AM, 36, FALSE) / VLOOKUP("buildings|NOx|Minor restricted activity days", US_national_yearly!$D:$AM, 10, FALSE), 1)</f>
        <v>0.19430339440400776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2.8795132337156221E-2</v>
      </c>
      <c r="C15" s="7">
        <f>$B15 * IFERROR(VLOOKUP("buildings|NOx|Work loss days", US_national_yearly!$D:$AM, 11, FALSE) / VLOOKUP("buildings|NOx|Work loss days", US_national_yearly!$D:$AM, 10, FALSE), 1)</f>
        <v>2.8859683394914938E-2</v>
      </c>
      <c r="D15" s="7">
        <f>$B15 * IFERROR(VLOOKUP("buildings|NOx|Work loss days", US_national_yearly!$D:$AM, 12, FALSE) / VLOOKUP("buildings|NOx|Work loss days", US_national_yearly!$D:$AM, 10, FALSE), 1)</f>
        <v>2.8924234452673649E-2</v>
      </c>
      <c r="E15" s="7">
        <f>$B15 * IFERROR(VLOOKUP("buildings|NOx|Work loss days", US_national_yearly!$D:$AM, 13, FALSE) / VLOOKUP("buildings|NOx|Work loss days", US_national_yearly!$D:$AM, 10, FALSE), 1)</f>
        <v>2.8988785510432359E-2</v>
      </c>
      <c r="F15" s="7">
        <f>$B15 * IFERROR(VLOOKUP("buildings|NOx|Work loss days", US_national_yearly!$D:$AM, 14, FALSE) / VLOOKUP("buildings|NOx|Work loss days", US_national_yearly!$D:$AM, 10, FALSE), 1)</f>
        <v>2.9053336568191073E-2</v>
      </c>
      <c r="G15" s="7">
        <f>$B15 * IFERROR(VLOOKUP("buildings|NOx|Work loss days", US_national_yearly!$D:$AM, 15, FALSE) / VLOOKUP("buildings|NOx|Work loss days", US_national_yearly!$D:$AM, 10, FALSE), 1)</f>
        <v>2.9147362420964155E-2</v>
      </c>
      <c r="H15" s="7">
        <f>$B15 * IFERROR(VLOOKUP("buildings|NOx|Work loss days", US_national_yearly!$D:$AM, 16, FALSE) / VLOOKUP("buildings|NOx|Work loss days", US_national_yearly!$D:$AM, 10, FALSE), 1)</f>
        <v>2.9241388273737238E-2</v>
      </c>
      <c r="I15" s="7">
        <f>$B15 * IFERROR(VLOOKUP("buildings|NOx|Work loss days", US_national_yearly!$D:$AM, 17, FALSE) / VLOOKUP("buildings|NOx|Work loss days", US_national_yearly!$D:$AM, 10, FALSE), 1)</f>
        <v>2.9393456418755123E-2</v>
      </c>
      <c r="J15" s="7">
        <f>$B15 * IFERROR(VLOOKUP("buildings|NOx|Work loss days", US_national_yearly!$D:$AM, 18, FALSE) / VLOOKUP("buildings|NOx|Work loss days", US_national_yearly!$D:$AM, 10, FALSE), 1)</f>
        <v>2.9545524563772997E-2</v>
      </c>
      <c r="K15" s="7">
        <f>$B15 * IFERROR(VLOOKUP("buildings|NOx|Work loss days", US_national_yearly!$D:$AM, 19, FALSE) / VLOOKUP("buildings|NOx|Work loss days", US_national_yearly!$D:$AM, 10, FALSE), 1)</f>
        <v>2.9697592708790879E-2</v>
      </c>
      <c r="L15" s="7">
        <f>$B15 * IFERROR(VLOOKUP("buildings|NOx|Work loss days", US_national_yearly!$D:$AM, 20, FALSE) / VLOOKUP("buildings|NOx|Work loss days", US_national_yearly!$D:$AM, 10, FALSE), 1)</f>
        <v>2.984966085380876E-2</v>
      </c>
      <c r="M15" s="7">
        <f>$B15 * IFERROR(VLOOKUP("buildings|NOx|Work loss days", US_national_yearly!$D:$AM, 21, FALSE) / VLOOKUP("buildings|NOx|Work loss days", US_national_yearly!$D:$AM, 10, FALSE), 1)</f>
        <v>3.0001728998826638E-2</v>
      </c>
      <c r="N15" s="7">
        <f>$B15 * IFERROR(VLOOKUP("buildings|NOx|Work loss days", US_national_yearly!$D:$AM, 22, FALSE) / VLOOKUP("buildings|NOx|Work loss days", US_national_yearly!$D:$AM, 10, FALSE), 1)</f>
        <v>3.0199569906328848E-2</v>
      </c>
      <c r="O15" s="7">
        <f>$B15 * IFERROR(VLOOKUP("buildings|NOx|Work loss days", US_national_yearly!$D:$AM, 23, FALSE) / VLOOKUP("buildings|NOx|Work loss days", US_national_yearly!$D:$AM, 10, FALSE), 1)</f>
        <v>3.0397410813831058E-2</v>
      </c>
      <c r="P15" s="7">
        <f>$B15 * IFERROR(VLOOKUP("buildings|NOx|Work loss days", US_national_yearly!$D:$AM, 24, FALSE) / VLOOKUP("buildings|NOx|Work loss days", US_national_yearly!$D:$AM, 10, FALSE), 1)</f>
        <v>3.0595251721333268E-2</v>
      </c>
      <c r="Q15" s="7">
        <f>$B15 * IFERROR(VLOOKUP("buildings|NOx|Work loss days", US_national_yearly!$D:$AM, 25, FALSE) / VLOOKUP("buildings|NOx|Work loss days", US_national_yearly!$D:$AM, 10, FALSE), 1)</f>
        <v>3.0793092628835481E-2</v>
      </c>
      <c r="R15" s="7">
        <f>$B15 * IFERROR(VLOOKUP("buildings|NOx|Work loss days", US_national_yearly!$D:$AM, 26, FALSE) / VLOOKUP("buildings|NOx|Work loss days", US_national_yearly!$D:$AM, 10, FALSE), 1)</f>
        <v>3.0990933536337691E-2</v>
      </c>
      <c r="S15" s="7">
        <f>$B15 * IFERROR(VLOOKUP("buildings|NOx|Work loss days", US_national_yearly!$D:$AM, 27, FALSE) / VLOOKUP("buildings|NOx|Work loss days", US_national_yearly!$D:$AM, 10, FALSE), 1)</f>
        <v>3.1211392556392076E-2</v>
      </c>
      <c r="T15" s="7">
        <f>$B15 * IFERROR(VLOOKUP("buildings|NOx|Work loss days", US_national_yearly!$D:$AM, 28, FALSE) / VLOOKUP("buildings|NOx|Work loss days", US_national_yearly!$D:$AM, 10, FALSE), 1)</f>
        <v>3.1431851576446464E-2</v>
      </c>
      <c r="U15" s="7">
        <f>$B15 * IFERROR(VLOOKUP("buildings|NOx|Work loss days", US_national_yearly!$D:$AM, 29, FALSE) / VLOOKUP("buildings|NOx|Work loss days", US_national_yearly!$D:$AM, 10, FALSE), 1)</f>
        <v>3.1652310596500845E-2</v>
      </c>
      <c r="V15" s="7">
        <f>$B15 * IFERROR(VLOOKUP("buildings|NOx|Work loss days", US_national_yearly!$D:$AM, 30, FALSE) / VLOOKUP("buildings|NOx|Work loss days", US_national_yearly!$D:$AM, 10, FALSE), 1)</f>
        <v>3.1872769616555226E-2</v>
      </c>
      <c r="W15" s="7">
        <f>$B15 * IFERROR(VLOOKUP("buildings|NOx|Work loss days", US_national_yearly!$D:$AM, 31, FALSE) / VLOOKUP("buildings|NOx|Work loss days", US_national_yearly!$D:$AM, 10, FALSE), 1)</f>
        <v>3.2093228636609607E-2</v>
      </c>
      <c r="X15" s="7">
        <f>$B15 * IFERROR(VLOOKUP("buildings|NOx|Work loss days", US_national_yearly!$D:$AM, 32, FALSE) / VLOOKUP("buildings|NOx|Work loss days", US_national_yearly!$D:$AM, 10, FALSE), 1)</f>
        <v>3.2284633128113319E-2</v>
      </c>
      <c r="Y15" s="7">
        <f>$B15 * IFERROR(VLOOKUP("buildings|NOx|Work loss days", US_national_yearly!$D:$AM, 33, FALSE) / VLOOKUP("buildings|NOx|Work loss days", US_national_yearly!$D:$AM, 10, FALSE), 1)</f>
        <v>3.2476037619617031E-2</v>
      </c>
      <c r="Z15" s="7">
        <f>$B15 * IFERROR(VLOOKUP("buildings|NOx|Work loss days", US_national_yearly!$D:$AM, 34, FALSE) / VLOOKUP("buildings|NOx|Work loss days", US_national_yearly!$D:$AM, 10, FALSE), 1)</f>
        <v>3.2667442111120736E-2</v>
      </c>
      <c r="AA15" s="7">
        <f>$B15 * IFERROR(VLOOKUP("buildings|NOx|Work loss days", US_national_yearly!$D:$AM, 35, FALSE) / VLOOKUP("buildings|NOx|Work loss days", US_national_yearly!$D:$AM, 10, FALSE), 1)</f>
        <v>3.2858846602624447E-2</v>
      </c>
      <c r="AB15" s="7">
        <f>$B15 * IFERROR(VLOOKUP("buildings|NOx|Work loss days", US_national_yearly!$D:$AM, 36, FALSE) / VLOOKUP("buildings|NOx|Work loss days", US_national_yearly!$D:$AM, 10, FALSE), 1)</f>
        <v>3.3050251094128159E-2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3.3078548960008348E-5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3.4051061238766191E-5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3.5023573517524047E-5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3.5996085796281889E-5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3.6968598075039731E-5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3.7892467052195851E-5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3.8816336029351963E-5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3.9593680559879202E-5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4.0371025090406441E-5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4.1148369620933673E-5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4.1925714151460905E-5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4.2703058681988137E-5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4.3189314239339251E-5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4.3675569796690358E-5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4.4161825354041466E-5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4.464808091139258E-5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4.513433646874368E-5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4.5356520468305536E-5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4.5578704467867385E-5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4.5800888467429241E-5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4.602307246699109E-5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4.6245256466552946E-5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4.636909958455431E-5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4.6492942702555681E-5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4.6616785820557052E-5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4.6740628938558422E-5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4.6864472056559787E-5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4.5163404589703625E-4</v>
      </c>
      <c r="C2" s="7">
        <f>$B2 * IFERROR(VLOOKUP("buildings|SO2|Premature mortality", US_national_yearly!$D:$AM, 11, FALSE) / VLOOKUP("buildings|SO2|Premature mortality", US_national_yearly!$D:$AM, 10, FALSE), 1)</f>
        <v>4.5735553198896845E-4</v>
      </c>
      <c r="D2" s="7">
        <f>$B2 * IFERROR(VLOOKUP("buildings|SO2|Premature mortality", US_national_yearly!$D:$AM, 12, FALSE) / VLOOKUP("buildings|SO2|Premature mortality", US_national_yearly!$D:$AM, 10, FALSE), 1)</f>
        <v>4.6307701808090054E-4</v>
      </c>
      <c r="E2" s="7">
        <f>$B2 * IFERROR(VLOOKUP("buildings|SO2|Premature mortality", US_national_yearly!$D:$AM, 13, FALSE) / VLOOKUP("buildings|SO2|Premature mortality", US_national_yearly!$D:$AM, 10, FALSE), 1)</f>
        <v>4.6879850417283269E-4</v>
      </c>
      <c r="F2" s="7">
        <f>$B2 * IFERROR(VLOOKUP("buildings|SO2|Premature mortality", US_national_yearly!$D:$AM, 14, FALSE) / VLOOKUP("buildings|SO2|Premature mortality", US_national_yearly!$D:$AM, 10, FALSE), 1)</f>
        <v>4.745199902647649E-4</v>
      </c>
      <c r="G2" s="7">
        <f>$B2 * IFERROR(VLOOKUP("buildings|SO2|Premature mortality", US_national_yearly!$D:$AM, 15, FALSE) / VLOOKUP("buildings|SO2|Premature mortality", US_national_yearly!$D:$AM, 10, FALSE), 1)</f>
        <v>4.8554413303347212E-4</v>
      </c>
      <c r="H2" s="7">
        <f>$B2 * IFERROR(VLOOKUP("buildings|SO2|Premature mortality", US_national_yearly!$D:$AM, 16, FALSE) / VLOOKUP("buildings|SO2|Premature mortality", US_national_yearly!$D:$AM, 10, FALSE), 1)</f>
        <v>4.9656827580217945E-4</v>
      </c>
      <c r="I2" s="7">
        <f>$B2 * IFERROR(VLOOKUP("buildings|SO2|Premature mortality", US_national_yearly!$D:$AM, 17, FALSE) / VLOOKUP("buildings|SO2|Premature mortality", US_national_yearly!$D:$AM, 10, FALSE), 1)</f>
        <v>5.0385737568001414E-4</v>
      </c>
      <c r="J2" s="7">
        <f>$B2 * IFERROR(VLOOKUP("buildings|SO2|Premature mortality", US_national_yearly!$D:$AM, 18, FALSE) / VLOOKUP("buildings|SO2|Premature mortality", US_national_yearly!$D:$AM, 10, FALSE), 1)</f>
        <v>5.1114647555784861E-4</v>
      </c>
      <c r="K2" s="7">
        <f>$B2 * IFERROR(VLOOKUP("buildings|SO2|Premature mortality", US_national_yearly!$D:$AM, 19, FALSE) / VLOOKUP("buildings|SO2|Premature mortality", US_national_yearly!$D:$AM, 10, FALSE), 1)</f>
        <v>5.1843557543568319E-4</v>
      </c>
      <c r="L2" s="7">
        <f>$B2 * IFERROR(VLOOKUP("buildings|SO2|Premature mortality", US_national_yearly!$D:$AM, 20, FALSE) / VLOOKUP("buildings|SO2|Premature mortality", US_national_yearly!$D:$AM, 10, FALSE), 1)</f>
        <v>5.2572467531351776E-4</v>
      </c>
      <c r="M2" s="7">
        <f>$B2 * IFERROR(VLOOKUP("buildings|SO2|Premature mortality", US_national_yearly!$D:$AM, 21, FALSE) / VLOOKUP("buildings|SO2|Premature mortality", US_national_yearly!$D:$AM, 10, FALSE), 1)</f>
        <v>5.3301377519135234E-4</v>
      </c>
      <c r="N2" s="7">
        <f>$B2 * IFERROR(VLOOKUP("buildings|SO2|Premature mortality", US_national_yearly!$D:$AM, 22, FALSE) / VLOOKUP("buildings|SO2|Premature mortality", US_national_yearly!$D:$AM, 10, FALSE), 1)</f>
        <v>5.3870776398101227E-4</v>
      </c>
      <c r="O2" s="7">
        <f>$B2 * IFERROR(VLOOKUP("buildings|SO2|Premature mortality", US_national_yearly!$D:$AM, 23, FALSE) / VLOOKUP("buildings|SO2|Premature mortality", US_national_yearly!$D:$AM, 10, FALSE), 1)</f>
        <v>5.4440175277067188E-4</v>
      </c>
      <c r="P2" s="7">
        <f>$B2 * IFERROR(VLOOKUP("buildings|SO2|Premature mortality", US_national_yearly!$D:$AM, 24, FALSE) / VLOOKUP("buildings|SO2|Premature mortality", US_national_yearly!$D:$AM, 10, FALSE), 1)</f>
        <v>5.500957415603316E-4</v>
      </c>
      <c r="Q2" s="7">
        <f>$B2 * IFERROR(VLOOKUP("buildings|SO2|Premature mortality", US_national_yearly!$D:$AM, 25, FALSE) / VLOOKUP("buildings|SO2|Premature mortality", US_national_yearly!$D:$AM, 10, FALSE), 1)</f>
        <v>5.5578973034999131E-4</v>
      </c>
      <c r="R2" s="7">
        <f>$B2 * IFERROR(VLOOKUP("buildings|SO2|Premature mortality", US_national_yearly!$D:$AM, 26, FALSE) / VLOOKUP("buildings|SO2|Premature mortality", US_national_yearly!$D:$AM, 10, FALSE), 1)</f>
        <v>5.6148371913965114E-4</v>
      </c>
      <c r="S2" s="7">
        <f>$B2 * IFERROR(VLOOKUP("buildings|SO2|Premature mortality", US_national_yearly!$D:$AM, 27, FALSE) / VLOOKUP("buildings|SO2|Premature mortality", US_national_yearly!$D:$AM, 10, FALSE), 1)</f>
        <v>5.6453120693528494E-4</v>
      </c>
      <c r="T2" s="7">
        <f>$B2 * IFERROR(VLOOKUP("buildings|SO2|Premature mortality", US_national_yearly!$D:$AM, 28, FALSE) / VLOOKUP("buildings|SO2|Premature mortality", US_national_yearly!$D:$AM, 10, FALSE), 1)</f>
        <v>5.6757869473091874E-4</v>
      </c>
      <c r="U2" s="7">
        <f>$B2 * IFERROR(VLOOKUP("buildings|SO2|Premature mortality", US_national_yearly!$D:$AM, 29, FALSE) / VLOOKUP("buildings|SO2|Premature mortality", US_national_yearly!$D:$AM, 10, FALSE), 1)</f>
        <v>5.7062618252655254E-4</v>
      </c>
      <c r="V2" s="7">
        <f>$B2 * IFERROR(VLOOKUP("buildings|SO2|Premature mortality", US_national_yearly!$D:$AM, 30, FALSE) / VLOOKUP("buildings|SO2|Premature mortality", US_national_yearly!$D:$AM, 10, FALSE), 1)</f>
        <v>5.7367367032218645E-4</v>
      </c>
      <c r="W2" s="7">
        <f>$B2 * IFERROR(VLOOKUP("buildings|SO2|Premature mortality", US_national_yearly!$D:$AM, 31, FALSE) / VLOOKUP("buildings|SO2|Premature mortality", US_national_yearly!$D:$AM, 10, FALSE), 1)</f>
        <v>5.7672115811782025E-4</v>
      </c>
      <c r="X2" s="7">
        <f>$B2 * IFERROR(VLOOKUP("buildings|SO2|Premature mortality", US_national_yearly!$D:$AM, 32, FALSE) / VLOOKUP("buildings|SO2|Premature mortality", US_national_yearly!$D:$AM, 10, FALSE), 1)</f>
        <v>5.7733694860534251E-4</v>
      </c>
      <c r="Y2" s="7">
        <f>$B2 * IFERROR(VLOOKUP("buildings|SO2|Premature mortality", US_national_yearly!$D:$AM, 33, FALSE) / VLOOKUP("buildings|SO2|Premature mortality", US_national_yearly!$D:$AM, 10, FALSE), 1)</f>
        <v>5.7795273909286478E-4</v>
      </c>
      <c r="Z2" s="7">
        <f>$B2 * IFERROR(VLOOKUP("buildings|SO2|Premature mortality", US_national_yearly!$D:$AM, 34, FALSE) / VLOOKUP("buildings|SO2|Premature mortality", US_national_yearly!$D:$AM, 10, FALSE), 1)</f>
        <v>5.7856852958038704E-4</v>
      </c>
      <c r="AA2" s="7">
        <f>$B2 * IFERROR(VLOOKUP("buildings|SO2|Premature mortality", US_national_yearly!$D:$AM, 35, FALSE) / VLOOKUP("buildings|SO2|Premature mortality", US_national_yearly!$D:$AM, 10, FALSE), 1)</f>
        <v>5.791843200679093E-4</v>
      </c>
      <c r="AB2" s="7">
        <f>$B2 * IFERROR(VLOOKUP("buildings|SO2|Premature mortality", US_national_yearly!$D:$AM, 36, FALSE) / VLOOKUP("buildings|SO2|Premature mortality", US_national_yearly!$D:$AM, 10, FALSE), 1)</f>
        <v>5.7980011055543167E-4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1.3218986199349026E-6</v>
      </c>
      <c r="C3" s="7">
        <f>$B3 * IFERROR(VLOOKUP("buildings|SO2|Infant mortality", US_national_yearly!$D:$AM, 11, FALSE) / VLOOKUP("buildings|SO2|Infant mortality", US_national_yearly!$D:$AM, 10, FALSE), 1)</f>
        <v>1.3105680885815286E-6</v>
      </c>
      <c r="D3" s="7">
        <f>$B3 * IFERROR(VLOOKUP("buildings|SO2|Infant mortality", US_national_yearly!$D:$AM, 12, FALSE) / VLOOKUP("buildings|SO2|Infant mortality", US_national_yearly!$D:$AM, 10, FALSE), 1)</f>
        <v>1.2992375572281544E-6</v>
      </c>
      <c r="E3" s="7">
        <f>$B3 * IFERROR(VLOOKUP("buildings|SO2|Infant mortality", US_national_yearly!$D:$AM, 13, FALSE) / VLOOKUP("buildings|SO2|Infant mortality", US_national_yearly!$D:$AM, 10, FALSE), 1)</f>
        <v>1.2879070258747806E-6</v>
      </c>
      <c r="F3" s="7">
        <f>$B3 * IFERROR(VLOOKUP("buildings|SO2|Infant mortality", US_national_yearly!$D:$AM, 14, FALSE) / VLOOKUP("buildings|SO2|Infant mortality", US_national_yearly!$D:$AM, 10, FALSE), 1)</f>
        <v>1.2765764945214066E-6</v>
      </c>
      <c r="G3" s="7">
        <f>$B3 * IFERROR(VLOOKUP("buildings|SO2|Infant mortality", US_national_yearly!$D:$AM, 15, FALSE) / VLOOKUP("buildings|SO2|Infant mortality", US_national_yearly!$D:$AM, 10, FALSE), 1)</f>
        <v>8.5014937154786056E-7</v>
      </c>
      <c r="H3" s="7">
        <f>$B3 * IFERROR(VLOOKUP("buildings|SO2|Infant mortality", US_national_yearly!$D:$AM, 16, FALSE) / VLOOKUP("buildings|SO2|Infant mortality", US_national_yearly!$D:$AM, 10, FALSE), 1)</f>
        <v>4.2372224857431464E-7</v>
      </c>
      <c r="I3" s="7">
        <f>$B3 * IFERROR(VLOOKUP("buildings|SO2|Infant mortality", US_national_yearly!$D:$AM, 17, FALSE) / VLOOKUP("buildings|SO2|Infant mortality", US_national_yearly!$D:$AM, 10, FALSE), 1)</f>
        <v>4.2106376839512641E-7</v>
      </c>
      <c r="J3" s="7">
        <f>$B3 * IFERROR(VLOOKUP("buildings|SO2|Infant mortality", US_national_yearly!$D:$AM, 18, FALSE) / VLOOKUP("buildings|SO2|Infant mortality", US_national_yearly!$D:$AM, 10, FALSE), 1)</f>
        <v>4.1840528821593814E-7</v>
      </c>
      <c r="K3" s="7">
        <f>$B3 * IFERROR(VLOOKUP("buildings|SO2|Infant mortality", US_national_yearly!$D:$AM, 19, FALSE) / VLOOKUP("buildings|SO2|Infant mortality", US_national_yearly!$D:$AM, 10, FALSE), 1)</f>
        <v>4.1574680803674997E-7</v>
      </c>
      <c r="L3" s="7">
        <f>$B3 * IFERROR(VLOOKUP("buildings|SO2|Infant mortality", US_national_yearly!$D:$AM, 20, FALSE) / VLOOKUP("buildings|SO2|Infant mortality", US_national_yearly!$D:$AM, 10, FALSE), 1)</f>
        <v>4.1308832785756169E-7</v>
      </c>
      <c r="M3" s="7">
        <f>$B3 * IFERROR(VLOOKUP("buildings|SO2|Infant mortality", US_national_yearly!$D:$AM, 21, FALSE) / VLOOKUP("buildings|SO2|Infant mortality", US_national_yearly!$D:$AM, 10, FALSE), 1)</f>
        <v>4.1042984767837352E-7</v>
      </c>
      <c r="N3" s="7">
        <f>$B3 * IFERROR(VLOOKUP("buildings|SO2|Infant mortality", US_national_yearly!$D:$AM, 22, FALSE) / VLOOKUP("buildings|SO2|Infant mortality", US_national_yearly!$D:$AM, 10, FALSE), 1)</f>
        <v>4.0876326302175212E-7</v>
      </c>
      <c r="O3" s="7">
        <f>$B3 * IFERROR(VLOOKUP("buildings|SO2|Infant mortality", US_national_yearly!$D:$AM, 23, FALSE) / VLOOKUP("buildings|SO2|Infant mortality", US_national_yearly!$D:$AM, 10, FALSE), 1)</f>
        <v>4.0709667836513076E-7</v>
      </c>
      <c r="P3" s="7">
        <f>$B3 * IFERROR(VLOOKUP("buildings|SO2|Infant mortality", US_national_yearly!$D:$AM, 24, FALSE) / VLOOKUP("buildings|SO2|Infant mortality", US_national_yearly!$D:$AM, 10, FALSE), 1)</f>
        <v>4.0543009370850941E-7</v>
      </c>
      <c r="Q3" s="7">
        <f>$B3 * IFERROR(VLOOKUP("buildings|SO2|Infant mortality", US_national_yearly!$D:$AM, 25, FALSE) / VLOOKUP("buildings|SO2|Infant mortality", US_national_yearly!$D:$AM, 10, FALSE), 1)</f>
        <v>4.03763509051888E-7</v>
      </c>
      <c r="R3" s="7">
        <f>$B3 * IFERROR(VLOOKUP("buildings|SO2|Infant mortality", US_national_yearly!$D:$AM, 26, FALSE) / VLOOKUP("buildings|SO2|Infant mortality", US_national_yearly!$D:$AM, 10, FALSE), 1)</f>
        <v>4.0209692439526665E-7</v>
      </c>
      <c r="S3" s="7">
        <f>$B3 * IFERROR(VLOOKUP("buildings|SO2|Infant mortality", US_national_yearly!$D:$AM, 27, FALSE) / VLOOKUP("buildings|SO2|Infant mortality", US_national_yearly!$D:$AM, 10, FALSE), 1)</f>
        <v>4.0000422242554681E-7</v>
      </c>
      <c r="T3" s="7">
        <f>$B3 * IFERROR(VLOOKUP("buildings|SO2|Infant mortality", US_national_yearly!$D:$AM, 28, FALSE) / VLOOKUP("buildings|SO2|Infant mortality", US_national_yearly!$D:$AM, 10, FALSE), 1)</f>
        <v>3.9791152045582697E-7</v>
      </c>
      <c r="U3" s="7">
        <f>$B3 * IFERROR(VLOOKUP("buildings|SO2|Infant mortality", US_national_yearly!$D:$AM, 29, FALSE) / VLOOKUP("buildings|SO2|Infant mortality", US_national_yearly!$D:$AM, 10, FALSE), 1)</f>
        <v>3.9581881848610708E-7</v>
      </c>
      <c r="V3" s="7">
        <f>$B3 * IFERROR(VLOOKUP("buildings|SO2|Infant mortality", US_national_yearly!$D:$AM, 30, FALSE) / VLOOKUP("buildings|SO2|Infant mortality", US_national_yearly!$D:$AM, 10, FALSE), 1)</f>
        <v>3.9372611651638724E-7</v>
      </c>
      <c r="W3" s="7">
        <f>$B3 * IFERROR(VLOOKUP("buildings|SO2|Infant mortality", US_national_yearly!$D:$AM, 31, FALSE) / VLOOKUP("buildings|SO2|Infant mortality", US_national_yearly!$D:$AM, 10, FALSE), 1)</f>
        <v>3.916334145466674E-7</v>
      </c>
      <c r="X3" s="7">
        <f>$B3 * IFERROR(VLOOKUP("buildings|SO2|Infant mortality", US_national_yearly!$D:$AM, 32, FALSE) / VLOOKUP("buildings|SO2|Infant mortality", US_national_yearly!$D:$AM, 10, FALSE), 1)</f>
        <v>3.8934785240380286E-7</v>
      </c>
      <c r="Y3" s="7">
        <f>$B3 * IFERROR(VLOOKUP("buildings|SO2|Infant mortality", US_national_yearly!$D:$AM, 33, FALSE) / VLOOKUP("buildings|SO2|Infant mortality", US_national_yearly!$D:$AM, 10, FALSE), 1)</f>
        <v>3.8706229026093837E-7</v>
      </c>
      <c r="Z3" s="7">
        <f>$B3 * IFERROR(VLOOKUP("buildings|SO2|Infant mortality", US_national_yearly!$D:$AM, 34, FALSE) / VLOOKUP("buildings|SO2|Infant mortality", US_national_yearly!$D:$AM, 10, FALSE), 1)</f>
        <v>3.8477672811807388E-7</v>
      </c>
      <c r="AA3" s="7">
        <f>$B3 * IFERROR(VLOOKUP("buildings|SO2|Infant mortality", US_national_yearly!$D:$AM, 35, FALSE) / VLOOKUP("buildings|SO2|Infant mortality", US_national_yearly!$D:$AM, 10, FALSE), 1)</f>
        <v>3.8249116597520928E-7</v>
      </c>
      <c r="AB3" s="7">
        <f>$B3 * IFERROR(VLOOKUP("buildings|SO2|Infant mortality", US_national_yearly!$D:$AM, 36, FALSE) / VLOOKUP("buildings|SO2|Infant mortality", US_national_yearly!$D:$AM, 10, FALSE), 1)</f>
        <v>3.8020560383234479E-7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1.4836408730030557E-3</v>
      </c>
      <c r="C6" s="7">
        <f>$B6 * IFERROR(VLOOKUP("buildings|SO2|Asthma symptoms cough", US_national_yearly!$D:$AM, 11, FALSE) / VLOOKUP("buildings|SO2|Asthma symptoms cough", US_national_yearly!$D:$AM, 10, FALSE), 1)</f>
        <v>1.4836408730030557E-3</v>
      </c>
      <c r="D6" s="7">
        <f>$B6 * IFERROR(VLOOKUP("buildings|SO2|Asthma symptoms cough", US_national_yearly!$D:$AM, 12, FALSE) / VLOOKUP("buildings|SO2|Asthma symptoms cough", US_national_yearly!$D:$AM, 10, FALSE), 1)</f>
        <v>1.4836408730030557E-3</v>
      </c>
      <c r="E6" s="7">
        <f>$B6 * IFERROR(VLOOKUP("buildings|SO2|Asthma symptoms cough", US_national_yearly!$D:$AM, 13, FALSE) / VLOOKUP("buildings|SO2|Asthma symptoms cough", US_national_yearly!$D:$AM, 10, FALSE), 1)</f>
        <v>1.4836408730030557E-3</v>
      </c>
      <c r="F6" s="7">
        <f>$B6 * IFERROR(VLOOKUP("buildings|SO2|Asthma symptoms cough", US_national_yearly!$D:$AM, 14, FALSE) / VLOOKUP("buildings|SO2|Asthma symptoms cough", US_national_yearly!$D:$AM, 10, FALSE), 1)</f>
        <v>1.4836408730030557E-3</v>
      </c>
      <c r="G6" s="7">
        <f>$B6 * IFERROR(VLOOKUP("buildings|SO2|Asthma symptoms cough", US_national_yearly!$D:$AM, 15, FALSE) / VLOOKUP("buildings|SO2|Asthma symptoms cough", US_national_yearly!$D:$AM, 10, FALSE), 1)</f>
        <v>1.4836408730030557E-3</v>
      </c>
      <c r="H6" s="7">
        <f>$B6 * IFERROR(VLOOKUP("buildings|SO2|Asthma symptoms cough", US_national_yearly!$D:$AM, 16, FALSE) / VLOOKUP("buildings|SO2|Asthma symptoms cough", US_national_yearly!$D:$AM, 10, FALSE), 1)</f>
        <v>1.4836408730030557E-3</v>
      </c>
      <c r="I6" s="7">
        <f>$B6 * IFERROR(VLOOKUP("buildings|SO2|Asthma symptoms cough", US_national_yearly!$D:$AM, 17, FALSE) / VLOOKUP("buildings|SO2|Asthma symptoms cough", US_national_yearly!$D:$AM, 10, FALSE), 1)</f>
        <v>1.4836408730030557E-3</v>
      </c>
      <c r="J6" s="7">
        <f>$B6 * IFERROR(VLOOKUP("buildings|SO2|Asthma symptoms cough", US_national_yearly!$D:$AM, 18, FALSE) / VLOOKUP("buildings|SO2|Asthma symptoms cough", US_national_yearly!$D:$AM, 10, FALSE), 1)</f>
        <v>1.4836408730030557E-3</v>
      </c>
      <c r="K6" s="7">
        <f>$B6 * IFERROR(VLOOKUP("buildings|SO2|Asthma symptoms cough", US_national_yearly!$D:$AM, 19, FALSE) / VLOOKUP("buildings|SO2|Asthma symptoms cough", US_national_yearly!$D:$AM, 10, FALSE), 1)</f>
        <v>1.4836408730030557E-3</v>
      </c>
      <c r="L6" s="7">
        <f>$B6 * IFERROR(VLOOKUP("buildings|SO2|Asthma symptoms cough", US_national_yearly!$D:$AM, 20, FALSE) / VLOOKUP("buildings|SO2|Asthma symptoms cough", US_national_yearly!$D:$AM, 10, FALSE), 1)</f>
        <v>1.4836408730030557E-3</v>
      </c>
      <c r="M6" s="7">
        <f>$B6 * IFERROR(VLOOKUP("buildings|SO2|Asthma symptoms cough", US_national_yearly!$D:$AM, 21, FALSE) / VLOOKUP("buildings|SO2|Asthma symptoms cough", US_national_yearly!$D:$AM, 10, FALSE), 1)</f>
        <v>1.4836408730030557E-3</v>
      </c>
      <c r="N6" s="7">
        <f>$B6 * IFERROR(VLOOKUP("buildings|SO2|Asthma symptoms cough", US_national_yearly!$D:$AM, 22, FALSE) / VLOOKUP("buildings|SO2|Asthma symptoms cough", US_national_yearly!$D:$AM, 10, FALSE), 1)</f>
        <v>1.4836408730030557E-3</v>
      </c>
      <c r="O6" s="7">
        <f>$B6 * IFERROR(VLOOKUP("buildings|SO2|Asthma symptoms cough", US_national_yearly!$D:$AM, 23, FALSE) / VLOOKUP("buildings|SO2|Asthma symptoms cough", US_national_yearly!$D:$AM, 10, FALSE), 1)</f>
        <v>1.4836408730030557E-3</v>
      </c>
      <c r="P6" s="7">
        <f>$B6 * IFERROR(VLOOKUP("buildings|SO2|Asthma symptoms cough", US_national_yearly!$D:$AM, 24, FALSE) / VLOOKUP("buildings|SO2|Asthma symptoms cough", US_national_yearly!$D:$AM, 10, FALSE), 1)</f>
        <v>1.4836408730030557E-3</v>
      </c>
      <c r="Q6" s="7">
        <f>$B6 * IFERROR(VLOOKUP("buildings|SO2|Asthma symptoms cough", US_national_yearly!$D:$AM, 25, FALSE) / VLOOKUP("buildings|SO2|Asthma symptoms cough", US_national_yearly!$D:$AM, 10, FALSE), 1)</f>
        <v>1.4836408730030557E-3</v>
      </c>
      <c r="R6" s="7">
        <f>$B6 * IFERROR(VLOOKUP("buildings|SO2|Asthma symptoms cough", US_national_yearly!$D:$AM, 26, FALSE) / VLOOKUP("buildings|SO2|Asthma symptoms cough", US_national_yearly!$D:$AM, 10, FALSE), 1)</f>
        <v>1.4836408730030557E-3</v>
      </c>
      <c r="S6" s="7">
        <f>$B6 * IFERROR(VLOOKUP("buildings|SO2|Asthma symptoms cough", US_national_yearly!$D:$AM, 27, FALSE) / VLOOKUP("buildings|SO2|Asthma symptoms cough", US_national_yearly!$D:$AM, 10, FALSE), 1)</f>
        <v>1.4836408730030557E-3</v>
      </c>
      <c r="T6" s="7">
        <f>$B6 * IFERROR(VLOOKUP("buildings|SO2|Asthma symptoms cough", US_national_yearly!$D:$AM, 28, FALSE) / VLOOKUP("buildings|SO2|Asthma symptoms cough", US_national_yearly!$D:$AM, 10, FALSE), 1)</f>
        <v>1.4836408730030557E-3</v>
      </c>
      <c r="U6" s="7">
        <f>$B6 * IFERROR(VLOOKUP("buildings|SO2|Asthma symptoms cough", US_national_yearly!$D:$AM, 29, FALSE) / VLOOKUP("buildings|SO2|Asthma symptoms cough", US_national_yearly!$D:$AM, 10, FALSE), 1)</f>
        <v>1.4836408730030557E-3</v>
      </c>
      <c r="V6" s="7">
        <f>$B6 * IFERROR(VLOOKUP("buildings|SO2|Asthma symptoms cough", US_national_yearly!$D:$AM, 30, FALSE) / VLOOKUP("buildings|SO2|Asthma symptoms cough", US_national_yearly!$D:$AM, 10, FALSE), 1)</f>
        <v>1.4836408730030557E-3</v>
      </c>
      <c r="W6" s="7">
        <f>$B6 * IFERROR(VLOOKUP("buildings|SO2|Asthma symptoms cough", US_national_yearly!$D:$AM, 31, FALSE) / VLOOKUP("buildings|SO2|Asthma symptoms cough", US_national_yearly!$D:$AM, 10, FALSE), 1)</f>
        <v>1.4836408730030557E-3</v>
      </c>
      <c r="X6" s="7">
        <f>$B6 * IFERROR(VLOOKUP("buildings|SO2|Asthma symptoms cough", US_national_yearly!$D:$AM, 32, FALSE) / VLOOKUP("buildings|SO2|Asthma symptoms cough", US_national_yearly!$D:$AM, 10, FALSE), 1)</f>
        <v>1.4836408730030557E-3</v>
      </c>
      <c r="Y6" s="7">
        <f>$B6 * IFERROR(VLOOKUP("buildings|SO2|Asthma symptoms cough", US_national_yearly!$D:$AM, 33, FALSE) / VLOOKUP("buildings|SO2|Asthma symptoms cough", US_national_yearly!$D:$AM, 10, FALSE), 1)</f>
        <v>1.4836408730030557E-3</v>
      </c>
      <c r="Z6" s="7">
        <f>$B6 * IFERROR(VLOOKUP("buildings|SO2|Asthma symptoms cough", US_national_yearly!$D:$AM, 34, FALSE) / VLOOKUP("buildings|SO2|Asthma symptoms cough", US_national_yearly!$D:$AM, 10, FALSE), 1)</f>
        <v>1.4836408730030557E-3</v>
      </c>
      <c r="AA6" s="7">
        <f>$B6 * IFERROR(VLOOKUP("buildings|SO2|Asthma symptoms cough", US_national_yearly!$D:$AM, 35, FALSE) / VLOOKUP("buildings|SO2|Asthma symptoms cough", US_national_yearly!$D:$AM, 10, FALSE), 1)</f>
        <v>1.4836408730030557E-3</v>
      </c>
      <c r="AB6" s="7">
        <f>$B6 * IFERROR(VLOOKUP("buildings|SO2|Asthma symptoms cough", US_national_yearly!$D:$AM, 36, FALSE) / VLOOKUP("buildings|SO2|Asthma symptoms cough", US_national_yearly!$D:$AM, 10, FALSE), 1)</f>
        <v>1.4836408730030557E-3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1.9979405887726367E-3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1.9979405887726367E-3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1.9979405887726367E-3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1.9979405887726367E-3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1.9979405887726367E-3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1.9979405887726367E-3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1.9979405887726367E-3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1.9979405887726367E-3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1.9979405887726367E-3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1.9979405887726367E-3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1.9979405887726367E-3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1.9979405887726367E-3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1.9979405887726367E-3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1.9979405887726367E-3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1.9979405887726367E-3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1.9979405887726367E-3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1.9979405887726367E-3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1.9979405887726367E-3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1.9979405887726367E-3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1.9979405887726367E-3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1.9979405887726367E-3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1.9979405887726367E-3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1.9979405887726367E-3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1.9979405887726367E-3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1.9979405887726367E-3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1.9979405887726367E-3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1.9979405887726367E-3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3.0525049717291144E-3</v>
      </c>
      <c r="C8" s="7">
        <f>$B8 * IFERROR(VLOOKUP("buildings|SO2|Asthma symptoms wheeze", US_national_yearly!$D:$AM, 11, FALSE) / VLOOKUP("buildings|SO2|Asthma symptoms wheeze", US_national_yearly!$D:$AM, 10, FALSE), 1)</f>
        <v>3.0525049717291144E-3</v>
      </c>
      <c r="D8" s="7">
        <f>$B8 * IFERROR(VLOOKUP("buildings|SO2|Asthma symptoms wheeze", US_national_yearly!$D:$AM, 12, FALSE) / VLOOKUP("buildings|SO2|Asthma symptoms wheeze", US_national_yearly!$D:$AM, 10, FALSE), 1)</f>
        <v>3.0525049717291144E-3</v>
      </c>
      <c r="E8" s="7">
        <f>$B8 * IFERROR(VLOOKUP("buildings|SO2|Asthma symptoms wheeze", US_national_yearly!$D:$AM, 13, FALSE) / VLOOKUP("buildings|SO2|Asthma symptoms wheeze", US_national_yearly!$D:$AM, 10, FALSE), 1)</f>
        <v>3.0525049717291144E-3</v>
      </c>
      <c r="F8" s="7">
        <f>$B8 * IFERROR(VLOOKUP("buildings|SO2|Asthma symptoms wheeze", US_national_yearly!$D:$AM, 14, FALSE) / VLOOKUP("buildings|SO2|Asthma symptoms wheeze", US_national_yearly!$D:$AM, 10, FALSE), 1)</f>
        <v>3.0525049717291144E-3</v>
      </c>
      <c r="G8" s="7">
        <f>$B8 * IFERROR(VLOOKUP("buildings|SO2|Asthma symptoms wheeze", US_national_yearly!$D:$AM, 15, FALSE) / VLOOKUP("buildings|SO2|Asthma symptoms wheeze", US_national_yearly!$D:$AM, 10, FALSE), 1)</f>
        <v>3.0525049717291144E-3</v>
      </c>
      <c r="H8" s="7">
        <f>$B8 * IFERROR(VLOOKUP("buildings|SO2|Asthma symptoms wheeze", US_national_yearly!$D:$AM, 16, FALSE) / VLOOKUP("buildings|SO2|Asthma symptoms wheeze", US_national_yearly!$D:$AM, 10, FALSE), 1)</f>
        <v>3.0525049717291144E-3</v>
      </c>
      <c r="I8" s="7">
        <f>$B8 * IFERROR(VLOOKUP("buildings|SO2|Asthma symptoms wheeze", US_national_yearly!$D:$AM, 17, FALSE) / VLOOKUP("buildings|SO2|Asthma symptoms wheeze", US_national_yearly!$D:$AM, 10, FALSE), 1)</f>
        <v>3.0525049717291144E-3</v>
      </c>
      <c r="J8" s="7">
        <f>$B8 * IFERROR(VLOOKUP("buildings|SO2|Asthma symptoms wheeze", US_national_yearly!$D:$AM, 18, FALSE) / VLOOKUP("buildings|SO2|Asthma symptoms wheeze", US_national_yearly!$D:$AM, 10, FALSE), 1)</f>
        <v>3.0525049717291144E-3</v>
      </c>
      <c r="K8" s="7">
        <f>$B8 * IFERROR(VLOOKUP("buildings|SO2|Asthma symptoms wheeze", US_national_yearly!$D:$AM, 19, FALSE) / VLOOKUP("buildings|SO2|Asthma symptoms wheeze", US_national_yearly!$D:$AM, 10, FALSE), 1)</f>
        <v>3.0525049717291144E-3</v>
      </c>
      <c r="L8" s="7">
        <f>$B8 * IFERROR(VLOOKUP("buildings|SO2|Asthma symptoms wheeze", US_national_yearly!$D:$AM, 20, FALSE) / VLOOKUP("buildings|SO2|Asthma symptoms wheeze", US_national_yearly!$D:$AM, 10, FALSE), 1)</f>
        <v>3.0525049717291144E-3</v>
      </c>
      <c r="M8" s="7">
        <f>$B8 * IFERROR(VLOOKUP("buildings|SO2|Asthma symptoms wheeze", US_national_yearly!$D:$AM, 21, FALSE) / VLOOKUP("buildings|SO2|Asthma symptoms wheeze", US_national_yearly!$D:$AM, 10, FALSE), 1)</f>
        <v>3.0525049717291144E-3</v>
      </c>
      <c r="N8" s="7">
        <f>$B8 * IFERROR(VLOOKUP("buildings|SO2|Asthma symptoms wheeze", US_national_yearly!$D:$AM, 22, FALSE) / VLOOKUP("buildings|SO2|Asthma symptoms wheeze", US_national_yearly!$D:$AM, 10, FALSE), 1)</f>
        <v>3.0525049717291144E-3</v>
      </c>
      <c r="O8" s="7">
        <f>$B8 * IFERROR(VLOOKUP("buildings|SO2|Asthma symptoms wheeze", US_national_yearly!$D:$AM, 23, FALSE) / VLOOKUP("buildings|SO2|Asthma symptoms wheeze", US_national_yearly!$D:$AM, 10, FALSE), 1)</f>
        <v>3.0525049717291144E-3</v>
      </c>
      <c r="P8" s="7">
        <f>$B8 * IFERROR(VLOOKUP("buildings|SO2|Asthma symptoms wheeze", US_national_yearly!$D:$AM, 24, FALSE) / VLOOKUP("buildings|SO2|Asthma symptoms wheeze", US_national_yearly!$D:$AM, 10, FALSE), 1)</f>
        <v>3.0525049717291144E-3</v>
      </c>
      <c r="Q8" s="7">
        <f>$B8 * IFERROR(VLOOKUP("buildings|SO2|Asthma symptoms wheeze", US_national_yearly!$D:$AM, 25, FALSE) / VLOOKUP("buildings|SO2|Asthma symptoms wheeze", US_national_yearly!$D:$AM, 10, FALSE), 1)</f>
        <v>3.0525049717291144E-3</v>
      </c>
      <c r="R8" s="7">
        <f>$B8 * IFERROR(VLOOKUP("buildings|SO2|Asthma symptoms wheeze", US_national_yearly!$D:$AM, 26, FALSE) / VLOOKUP("buildings|SO2|Asthma symptoms wheeze", US_national_yearly!$D:$AM, 10, FALSE), 1)</f>
        <v>3.0525049717291144E-3</v>
      </c>
      <c r="S8" s="7">
        <f>$B8 * IFERROR(VLOOKUP("buildings|SO2|Asthma symptoms wheeze", US_national_yearly!$D:$AM, 27, FALSE) / VLOOKUP("buildings|SO2|Asthma symptoms wheeze", US_national_yearly!$D:$AM, 10, FALSE), 1)</f>
        <v>3.0525049717291144E-3</v>
      </c>
      <c r="T8" s="7">
        <f>$B8 * IFERROR(VLOOKUP("buildings|SO2|Asthma symptoms wheeze", US_national_yearly!$D:$AM, 28, FALSE) / VLOOKUP("buildings|SO2|Asthma symptoms wheeze", US_national_yearly!$D:$AM, 10, FALSE), 1)</f>
        <v>3.0525049717291144E-3</v>
      </c>
      <c r="U8" s="7">
        <f>$B8 * IFERROR(VLOOKUP("buildings|SO2|Asthma symptoms wheeze", US_national_yearly!$D:$AM, 29, FALSE) / VLOOKUP("buildings|SO2|Asthma symptoms wheeze", US_national_yearly!$D:$AM, 10, FALSE), 1)</f>
        <v>3.0525049717291144E-3</v>
      </c>
      <c r="V8" s="7">
        <f>$B8 * IFERROR(VLOOKUP("buildings|SO2|Asthma symptoms wheeze", US_national_yearly!$D:$AM, 30, FALSE) / VLOOKUP("buildings|SO2|Asthma symptoms wheeze", US_national_yearly!$D:$AM, 10, FALSE), 1)</f>
        <v>3.0525049717291144E-3</v>
      </c>
      <c r="W8" s="7">
        <f>$B8 * IFERROR(VLOOKUP("buildings|SO2|Asthma symptoms wheeze", US_national_yearly!$D:$AM, 31, FALSE) / VLOOKUP("buildings|SO2|Asthma symptoms wheeze", US_national_yearly!$D:$AM, 10, FALSE), 1)</f>
        <v>3.0525049717291144E-3</v>
      </c>
      <c r="X8" s="7">
        <f>$B8 * IFERROR(VLOOKUP("buildings|SO2|Asthma symptoms wheeze", US_national_yearly!$D:$AM, 32, FALSE) / VLOOKUP("buildings|SO2|Asthma symptoms wheeze", US_national_yearly!$D:$AM, 10, FALSE), 1)</f>
        <v>3.0525049717291144E-3</v>
      </c>
      <c r="Y8" s="7">
        <f>$B8 * IFERROR(VLOOKUP("buildings|SO2|Asthma symptoms wheeze", US_national_yearly!$D:$AM, 33, FALSE) / VLOOKUP("buildings|SO2|Asthma symptoms wheeze", US_national_yearly!$D:$AM, 10, FALSE), 1)</f>
        <v>3.0525049717291144E-3</v>
      </c>
      <c r="Z8" s="7">
        <f>$B8 * IFERROR(VLOOKUP("buildings|SO2|Asthma symptoms wheeze", US_national_yearly!$D:$AM, 34, FALSE) / VLOOKUP("buildings|SO2|Asthma symptoms wheeze", US_national_yearly!$D:$AM, 10, FALSE), 1)</f>
        <v>3.0525049717291144E-3</v>
      </c>
      <c r="AA8" s="7">
        <f>$B8 * IFERROR(VLOOKUP("buildings|SO2|Asthma symptoms wheeze", US_national_yearly!$D:$AM, 35, FALSE) / VLOOKUP("buildings|SO2|Asthma symptoms wheeze", US_national_yearly!$D:$AM, 10, FALSE), 1)</f>
        <v>3.0525049717291144E-3</v>
      </c>
      <c r="AB8" s="7">
        <f>$B8 * IFERROR(VLOOKUP("buildings|SO2|Asthma symptoms wheeze", US_national_yearly!$D:$AM, 36, FALSE) / VLOOKUP("buildings|SO2|Asthma symptoms wheeze", US_national_yearly!$D:$AM, 10, FALSE), 1)</f>
        <v>3.0525049717291144E-3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2.8344188351137226E-5</v>
      </c>
      <c r="C12" s="7">
        <f>$B12 * IFERROR(VLOOKUP("buildings|SO2|Respiratory hospital admissions", US_national_yearly!$D:$AM, 11, FALSE) / VLOOKUP("buildings|SO2|Respiratory hospital admissions", US_national_yearly!$D:$AM, 10, FALSE), 1)</f>
        <v>2.8511599983938836E-5</v>
      </c>
      <c r="D12" s="7">
        <f>$B12 * IFERROR(VLOOKUP("buildings|SO2|Respiratory hospital admissions", US_national_yearly!$D:$AM, 12, FALSE) / VLOOKUP("buildings|SO2|Respiratory hospital admissions", US_national_yearly!$D:$AM, 10, FALSE), 1)</f>
        <v>2.8679011616740445E-5</v>
      </c>
      <c r="E12" s="7">
        <f>$B12 * IFERROR(VLOOKUP("buildings|SO2|Respiratory hospital admissions", US_national_yearly!$D:$AM, 13, FALSE) / VLOOKUP("buildings|SO2|Respiratory hospital admissions", US_national_yearly!$D:$AM, 10, FALSE), 1)</f>
        <v>2.8846423249542054E-5</v>
      </c>
      <c r="F12" s="7">
        <f>$B12 * IFERROR(VLOOKUP("buildings|SO2|Respiratory hospital admissions", US_national_yearly!$D:$AM, 14, FALSE) / VLOOKUP("buildings|SO2|Respiratory hospital admissions", US_national_yearly!$D:$AM, 10, FALSE), 1)</f>
        <v>2.9013834882343657E-5</v>
      </c>
      <c r="G12" s="7">
        <f>$B12 * IFERROR(VLOOKUP("buildings|SO2|Respiratory hospital admissions", US_national_yearly!$D:$AM, 15, FALSE) / VLOOKUP("buildings|SO2|Respiratory hospital admissions", US_national_yearly!$D:$AM, 10, FALSE), 1)</f>
        <v>2.9196292470575481E-5</v>
      </c>
      <c r="H12" s="7">
        <f>$B12 * IFERROR(VLOOKUP("buildings|SO2|Respiratory hospital admissions", US_national_yearly!$D:$AM, 16, FALSE) / VLOOKUP("buildings|SO2|Respiratory hospital admissions", US_national_yearly!$D:$AM, 10, FALSE), 1)</f>
        <v>2.9378750058807303E-5</v>
      </c>
      <c r="I12" s="7">
        <f>$B12 * IFERROR(VLOOKUP("buildings|SO2|Respiratory hospital admissions", US_national_yearly!$D:$AM, 17, FALSE) / VLOOKUP("buildings|SO2|Respiratory hospital admissions", US_national_yearly!$D:$AM, 10, FALSE), 1)</f>
        <v>2.9558308454386362E-5</v>
      </c>
      <c r="J12" s="7">
        <f>$B12 * IFERROR(VLOOKUP("buildings|SO2|Respiratory hospital admissions", US_national_yearly!$D:$AM, 18, FALSE) / VLOOKUP("buildings|SO2|Respiratory hospital admissions", US_national_yearly!$D:$AM, 10, FALSE), 1)</f>
        <v>2.9737866849965425E-5</v>
      </c>
      <c r="K12" s="7">
        <f>$B12 * IFERROR(VLOOKUP("buildings|SO2|Respiratory hospital admissions", US_national_yearly!$D:$AM, 19, FALSE) / VLOOKUP("buildings|SO2|Respiratory hospital admissions", US_national_yearly!$D:$AM, 10, FALSE), 1)</f>
        <v>2.9917425245544485E-5</v>
      </c>
      <c r="L12" s="7">
        <f>$B12 * IFERROR(VLOOKUP("buildings|SO2|Respiratory hospital admissions", US_national_yearly!$D:$AM, 20, FALSE) / VLOOKUP("buildings|SO2|Respiratory hospital admissions", US_national_yearly!$D:$AM, 10, FALSE), 1)</f>
        <v>3.0096983641123541E-5</v>
      </c>
      <c r="M12" s="7">
        <f>$B12 * IFERROR(VLOOKUP("buildings|SO2|Respiratory hospital admissions", US_national_yearly!$D:$AM, 21, FALSE) / VLOOKUP("buildings|SO2|Respiratory hospital admissions", US_national_yearly!$D:$AM, 10, FALSE), 1)</f>
        <v>3.0276542036702607E-5</v>
      </c>
      <c r="N12" s="7">
        <f>$B12 * IFERROR(VLOOKUP("buildings|SO2|Respiratory hospital admissions", US_national_yearly!$D:$AM, 22, FALSE) / VLOOKUP("buildings|SO2|Respiratory hospital admissions", US_national_yearly!$D:$AM, 10, FALSE), 1)</f>
        <v>3.040764938970686E-5</v>
      </c>
      <c r="O12" s="7">
        <f>$B12 * IFERROR(VLOOKUP("buildings|SO2|Respiratory hospital admissions", US_national_yearly!$D:$AM, 23, FALSE) / VLOOKUP("buildings|SO2|Respiratory hospital admissions", US_national_yearly!$D:$AM, 10, FALSE), 1)</f>
        <v>3.0538756742711115E-5</v>
      </c>
      <c r="P12" s="7">
        <f>$B12 * IFERROR(VLOOKUP("buildings|SO2|Respiratory hospital admissions", US_national_yearly!$D:$AM, 24, FALSE) / VLOOKUP("buildings|SO2|Respiratory hospital admissions", US_national_yearly!$D:$AM, 10, FALSE), 1)</f>
        <v>3.0669864095715371E-5</v>
      </c>
      <c r="Q12" s="7">
        <f>$B12 * IFERROR(VLOOKUP("buildings|SO2|Respiratory hospital admissions", US_national_yearly!$D:$AM, 25, FALSE) / VLOOKUP("buildings|SO2|Respiratory hospital admissions", US_national_yearly!$D:$AM, 10, FALSE), 1)</f>
        <v>3.0800971448719627E-5</v>
      </c>
      <c r="R12" s="7">
        <f>$B12 * IFERROR(VLOOKUP("buildings|SO2|Respiratory hospital admissions", US_national_yearly!$D:$AM, 26, FALSE) / VLOOKUP("buildings|SO2|Respiratory hospital admissions", US_national_yearly!$D:$AM, 10, FALSE), 1)</f>
        <v>3.0932078801723882E-5</v>
      </c>
      <c r="S12" s="7">
        <f>$B12 * IFERROR(VLOOKUP("buildings|SO2|Respiratory hospital admissions", US_national_yearly!$D:$AM, 27, FALSE) / VLOOKUP("buildings|SO2|Respiratory hospital admissions", US_national_yearly!$D:$AM, 10, FALSE), 1)</f>
        <v>3.1057091201789174E-5</v>
      </c>
      <c r="T12" s="7">
        <f>$B12 * IFERROR(VLOOKUP("buildings|SO2|Respiratory hospital admissions", US_national_yearly!$D:$AM, 28, FALSE) / VLOOKUP("buildings|SO2|Respiratory hospital admissions", US_national_yearly!$D:$AM, 10, FALSE), 1)</f>
        <v>3.1182103601854472E-5</v>
      </c>
      <c r="U12" s="7">
        <f>$B12 * IFERROR(VLOOKUP("buildings|SO2|Respiratory hospital admissions", US_national_yearly!$D:$AM, 29, FALSE) / VLOOKUP("buildings|SO2|Respiratory hospital admissions", US_national_yearly!$D:$AM, 10, FALSE), 1)</f>
        <v>3.1307116001919771E-5</v>
      </c>
      <c r="V12" s="7">
        <f>$B12 * IFERROR(VLOOKUP("buildings|SO2|Respiratory hospital admissions", US_national_yearly!$D:$AM, 30, FALSE) / VLOOKUP("buildings|SO2|Respiratory hospital admissions", US_national_yearly!$D:$AM, 10, FALSE), 1)</f>
        <v>3.1432128401985062E-5</v>
      </c>
      <c r="W12" s="7">
        <f>$B12 * IFERROR(VLOOKUP("buildings|SO2|Respiratory hospital admissions", US_national_yearly!$D:$AM, 31, FALSE) / VLOOKUP("buildings|SO2|Respiratory hospital admissions", US_national_yearly!$D:$AM, 10, FALSE), 1)</f>
        <v>3.1557140802050361E-5</v>
      </c>
      <c r="X12" s="7">
        <f>$B12 * IFERROR(VLOOKUP("buildings|SO2|Respiratory hospital admissions", US_national_yearly!$D:$AM, 32, FALSE) / VLOOKUP("buildings|SO2|Respiratory hospital admissions", US_national_yearly!$D:$AM, 10, FALSE), 1)</f>
        <v>3.1675935199565437E-5</v>
      </c>
      <c r="Y12" s="7">
        <f>$B12 * IFERROR(VLOOKUP("buildings|SO2|Respiratory hospital admissions", US_national_yearly!$D:$AM, 33, FALSE) / VLOOKUP("buildings|SO2|Respiratory hospital admissions", US_national_yearly!$D:$AM, 10, FALSE), 1)</f>
        <v>3.1794729597080519E-5</v>
      </c>
      <c r="Z12" s="7">
        <f>$B12 * IFERROR(VLOOKUP("buildings|SO2|Respiratory hospital admissions", US_national_yearly!$D:$AM, 34, FALSE) / VLOOKUP("buildings|SO2|Respiratory hospital admissions", US_national_yearly!$D:$AM, 10, FALSE), 1)</f>
        <v>3.1913523994595602E-5</v>
      </c>
      <c r="AA12" s="7">
        <f>$B12 * IFERROR(VLOOKUP("buildings|SO2|Respiratory hospital admissions", US_national_yearly!$D:$AM, 35, FALSE) / VLOOKUP("buildings|SO2|Respiratory hospital admissions", US_national_yearly!$D:$AM, 10, FALSE), 1)</f>
        <v>3.2032318392110678E-5</v>
      </c>
      <c r="AB12" s="7">
        <f>$B12 * IFERROR(VLOOKUP("buildings|SO2|Respiratory hospital admissions", US_national_yearly!$D:$AM, 36, FALSE) / VLOOKUP("buildings|SO2|Respiratory hospital admissions", US_national_yearly!$D:$AM, 10, FALSE), 1)</f>
        <v>3.2151112789625761E-5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1.648186378361087E-4</v>
      </c>
      <c r="C13" s="7">
        <f>$B13 * IFERROR(VLOOKUP("buildings|SO2|Non-fatal heart attacks", US_national_yearly!$D:$AM, 11, FALSE) / VLOOKUP("buildings|SO2|Non-fatal heart attacks", US_national_yearly!$D:$AM, 10, FALSE), 1)</f>
        <v>1.6965867870375232E-4</v>
      </c>
      <c r="D13" s="7">
        <f>$B13 * IFERROR(VLOOKUP("buildings|SO2|Non-fatal heart attacks", US_national_yearly!$D:$AM, 12, FALSE) / VLOOKUP("buildings|SO2|Non-fatal heart attacks", US_national_yearly!$D:$AM, 10, FALSE), 1)</f>
        <v>1.7449871957139589E-4</v>
      </c>
      <c r="E13" s="7">
        <f>$B13 * IFERROR(VLOOKUP("buildings|SO2|Non-fatal heart attacks", US_national_yearly!$D:$AM, 13, FALSE) / VLOOKUP("buildings|SO2|Non-fatal heart attacks", US_national_yearly!$D:$AM, 10, FALSE), 1)</f>
        <v>1.7933876043903945E-4</v>
      </c>
      <c r="F13" s="7">
        <f>$B13 * IFERROR(VLOOKUP("buildings|SO2|Non-fatal heart attacks", US_national_yearly!$D:$AM, 14, FALSE) / VLOOKUP("buildings|SO2|Non-fatal heart attacks", US_national_yearly!$D:$AM, 10, FALSE), 1)</f>
        <v>1.8417880130668307E-4</v>
      </c>
      <c r="G13" s="7">
        <f>$B13 * IFERROR(VLOOKUP("buildings|SO2|Non-fatal heart attacks", US_national_yearly!$D:$AM, 15, FALSE) / VLOOKUP("buildings|SO2|Non-fatal heart attacks", US_national_yearly!$D:$AM, 10, FALSE), 1)</f>
        <v>1.8874374044807599E-4</v>
      </c>
      <c r="H13" s="7">
        <f>$B13 * IFERROR(VLOOKUP("buildings|SO2|Non-fatal heart attacks", US_national_yearly!$D:$AM, 16, FALSE) / VLOOKUP("buildings|SO2|Non-fatal heart attacks", US_national_yearly!$D:$AM, 10, FALSE), 1)</f>
        <v>1.9330867958946895E-4</v>
      </c>
      <c r="I13" s="7">
        <f>$B13 * IFERROR(VLOOKUP("buildings|SO2|Non-fatal heart attacks", US_national_yearly!$D:$AM, 17, FALSE) / VLOOKUP("buildings|SO2|Non-fatal heart attacks", US_national_yearly!$D:$AM, 10, FALSE), 1)</f>
        <v>1.9698315301691576E-4</v>
      </c>
      <c r="J13" s="7">
        <f>$B13 * IFERROR(VLOOKUP("buildings|SO2|Non-fatal heart attacks", US_national_yearly!$D:$AM, 18, FALSE) / VLOOKUP("buildings|SO2|Non-fatal heart attacks", US_national_yearly!$D:$AM, 10, FALSE), 1)</f>
        <v>2.0065762644436261E-4</v>
      </c>
      <c r="K13" s="7">
        <f>$B13 * IFERROR(VLOOKUP("buildings|SO2|Non-fatal heart attacks", US_national_yearly!$D:$AM, 19, FALSE) / VLOOKUP("buildings|SO2|Non-fatal heart attacks", US_national_yearly!$D:$AM, 10, FALSE), 1)</f>
        <v>2.0433209987180947E-4</v>
      </c>
      <c r="L13" s="7">
        <f>$B13 * IFERROR(VLOOKUP("buildings|SO2|Non-fatal heart attacks", US_national_yearly!$D:$AM, 20, FALSE) / VLOOKUP("buildings|SO2|Non-fatal heart attacks", US_national_yearly!$D:$AM, 10, FALSE), 1)</f>
        <v>2.0800657329925635E-4</v>
      </c>
      <c r="M13" s="7">
        <f>$B13 * IFERROR(VLOOKUP("buildings|SO2|Non-fatal heart attacks", US_national_yearly!$D:$AM, 21, FALSE) / VLOOKUP("buildings|SO2|Non-fatal heart attacks", US_national_yearly!$D:$AM, 10, FALSE), 1)</f>
        <v>2.116810467267032E-4</v>
      </c>
      <c r="N13" s="7">
        <f>$B13 * IFERROR(VLOOKUP("buildings|SO2|Non-fatal heart attacks", US_national_yearly!$D:$AM, 22, FALSE) / VLOOKUP("buildings|SO2|Non-fatal heart attacks", US_national_yearly!$D:$AM, 10, FALSE), 1)</f>
        <v>2.1406595079208438E-4</v>
      </c>
      <c r="O13" s="7">
        <f>$B13 * IFERROR(VLOOKUP("buildings|SO2|Non-fatal heart attacks", US_national_yearly!$D:$AM, 23, FALSE) / VLOOKUP("buildings|SO2|Non-fatal heart attacks", US_national_yearly!$D:$AM, 10, FALSE), 1)</f>
        <v>2.1645085485746558E-4</v>
      </c>
      <c r="P13" s="7">
        <f>$B13 * IFERROR(VLOOKUP("buildings|SO2|Non-fatal heart attacks", US_national_yearly!$D:$AM, 24, FALSE) / VLOOKUP("buildings|SO2|Non-fatal heart attacks", US_national_yearly!$D:$AM, 10, FALSE), 1)</f>
        <v>2.1883575892284678E-4</v>
      </c>
      <c r="Q13" s="7">
        <f>$B13 * IFERROR(VLOOKUP("buildings|SO2|Non-fatal heart attacks", US_national_yearly!$D:$AM, 25, FALSE) / VLOOKUP("buildings|SO2|Non-fatal heart attacks", US_national_yearly!$D:$AM, 10, FALSE), 1)</f>
        <v>2.2122066298822796E-4</v>
      </c>
      <c r="R13" s="7">
        <f>$B13 * IFERROR(VLOOKUP("buildings|SO2|Non-fatal heart attacks", US_national_yearly!$D:$AM, 26, FALSE) / VLOOKUP("buildings|SO2|Non-fatal heart attacks", US_national_yearly!$D:$AM, 10, FALSE), 1)</f>
        <v>2.2360556705360916E-4</v>
      </c>
      <c r="S13" s="7">
        <f>$B13 * IFERROR(VLOOKUP("buildings|SO2|Non-fatal heart attacks", US_national_yearly!$D:$AM, 27, FALSE) / VLOOKUP("buildings|SO2|Non-fatal heart attacks", US_national_yearly!$D:$AM, 10, FALSE), 1)</f>
        <v>2.2485096005156463E-4</v>
      </c>
      <c r="T13" s="7">
        <f>$B13 * IFERROR(VLOOKUP("buildings|SO2|Non-fatal heart attacks", US_national_yearly!$D:$AM, 28, FALSE) / VLOOKUP("buildings|SO2|Non-fatal heart attacks", US_national_yearly!$D:$AM, 10, FALSE), 1)</f>
        <v>2.260963530495201E-4</v>
      </c>
      <c r="U13" s="7">
        <f>$B13 * IFERROR(VLOOKUP("buildings|SO2|Non-fatal heart attacks", US_national_yearly!$D:$AM, 29, FALSE) / VLOOKUP("buildings|SO2|Non-fatal heart attacks", US_national_yearly!$D:$AM, 10, FALSE), 1)</f>
        <v>2.273417460474755E-4</v>
      </c>
      <c r="V13" s="7">
        <f>$B13 * IFERROR(VLOOKUP("buildings|SO2|Non-fatal heart attacks", US_national_yearly!$D:$AM, 30, FALSE) / VLOOKUP("buildings|SO2|Non-fatal heart attacks", US_national_yearly!$D:$AM, 10, FALSE), 1)</f>
        <v>2.2858713904543097E-4</v>
      </c>
      <c r="W13" s="7">
        <f>$B13 * IFERROR(VLOOKUP("buildings|SO2|Non-fatal heart attacks", US_national_yearly!$D:$AM, 31, FALSE) / VLOOKUP("buildings|SO2|Non-fatal heart attacks", US_national_yearly!$D:$AM, 10, FALSE), 1)</f>
        <v>2.2983253204338639E-4</v>
      </c>
      <c r="X13" s="7">
        <f>$B13 * IFERROR(VLOOKUP("buildings|SO2|Non-fatal heart attacks", US_national_yearly!$D:$AM, 32, FALSE) / VLOOKUP("buildings|SO2|Non-fatal heart attacks", US_national_yearly!$D:$AM, 10, FALSE), 1)</f>
        <v>2.3077314429026778E-4</v>
      </c>
      <c r="Y13" s="7">
        <f>$B13 * IFERROR(VLOOKUP("buildings|SO2|Non-fatal heart attacks", US_national_yearly!$D:$AM, 33, FALSE) / VLOOKUP("buildings|SO2|Non-fatal heart attacks", US_national_yearly!$D:$AM, 10, FALSE), 1)</f>
        <v>2.3171375653714918E-4</v>
      </c>
      <c r="Z13" s="7">
        <f>$B13 * IFERROR(VLOOKUP("buildings|SO2|Non-fatal heart attacks", US_national_yearly!$D:$AM, 34, FALSE) / VLOOKUP("buildings|SO2|Non-fatal heart attacks", US_national_yearly!$D:$AM, 10, FALSE), 1)</f>
        <v>2.3265436878403049E-4</v>
      </c>
      <c r="AA13" s="7">
        <f>$B13 * IFERROR(VLOOKUP("buildings|SO2|Non-fatal heart attacks", US_national_yearly!$D:$AM, 35, FALSE) / VLOOKUP("buildings|SO2|Non-fatal heart attacks", US_national_yearly!$D:$AM, 10, FALSE), 1)</f>
        <v>2.3359498103091189E-4</v>
      </c>
      <c r="AB13" s="7">
        <f>$B13 * IFERROR(VLOOKUP("buildings|SO2|Non-fatal heart attacks", US_national_yearly!$D:$AM, 36, FALSE) / VLOOKUP("buildings|SO2|Non-fatal heart attacks", US_national_yearly!$D:$AM, 10, FALSE), 1)</f>
        <v>2.3453559327779326E-4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0.16251659747685762</v>
      </c>
      <c r="C14" s="7">
        <f>$B14 * IFERROR(VLOOKUP("buildings|SO2|Minor restricted activity days", US_national_yearly!$D:$AM, 11, FALSE) / VLOOKUP("buildings|SO2|Minor restricted activity days", US_national_yearly!$D:$AM, 10, FALSE), 1)</f>
        <v>0.16292799968227498</v>
      </c>
      <c r="D14" s="7">
        <f>$B14 * IFERROR(VLOOKUP("buildings|SO2|Minor restricted activity days", US_national_yearly!$D:$AM, 12, FALSE) / VLOOKUP("buildings|SO2|Minor restricted activity days", US_national_yearly!$D:$AM, 10, FALSE), 1)</f>
        <v>0.16333940188769239</v>
      </c>
      <c r="E14" s="7">
        <f>$B14 * IFERROR(VLOOKUP("buildings|SO2|Minor restricted activity days", US_national_yearly!$D:$AM, 13, FALSE) / VLOOKUP("buildings|SO2|Minor restricted activity days", US_national_yearly!$D:$AM, 10, FALSE), 1)</f>
        <v>0.16375080409310977</v>
      </c>
      <c r="F14" s="7">
        <f>$B14 * IFERROR(VLOOKUP("buildings|SO2|Minor restricted activity days", US_national_yearly!$D:$AM, 14, FALSE) / VLOOKUP("buildings|SO2|Minor restricted activity days", US_national_yearly!$D:$AM, 10, FALSE), 1)</f>
        <v>0.16416220629852712</v>
      </c>
      <c r="G14" s="7">
        <f>$B14 * IFERROR(VLOOKUP("buildings|SO2|Minor restricted activity days", US_national_yearly!$D:$AM, 15, FALSE) / VLOOKUP("buildings|SO2|Minor restricted activity days", US_national_yearly!$D:$AM, 10, FALSE), 1)</f>
        <v>0.16476713054786052</v>
      </c>
      <c r="H14" s="7">
        <f>$B14 * IFERROR(VLOOKUP("buildings|SO2|Minor restricted activity days", US_national_yearly!$D:$AM, 16, FALSE) / VLOOKUP("buildings|SO2|Minor restricted activity days", US_national_yearly!$D:$AM, 10, FALSE), 1)</f>
        <v>0.16537205479719388</v>
      </c>
      <c r="I14" s="7">
        <f>$B14 * IFERROR(VLOOKUP("buildings|SO2|Minor restricted activity days", US_national_yearly!$D:$AM, 17, FALSE) / VLOOKUP("buildings|SO2|Minor restricted activity days", US_national_yearly!$D:$AM, 10, FALSE), 1)</f>
        <v>0.16640230167070663</v>
      </c>
      <c r="J14" s="7">
        <f>$B14 * IFERROR(VLOOKUP("buildings|SO2|Minor restricted activity days", US_national_yearly!$D:$AM, 18, FALSE) / VLOOKUP("buildings|SO2|Minor restricted activity days", US_national_yearly!$D:$AM, 10, FALSE), 1)</f>
        <v>0.16743254854421943</v>
      </c>
      <c r="K14" s="7">
        <f>$B14 * IFERROR(VLOOKUP("buildings|SO2|Minor restricted activity days", US_national_yearly!$D:$AM, 19, FALSE) / VLOOKUP("buildings|SO2|Minor restricted activity days", US_national_yearly!$D:$AM, 10, FALSE), 1)</f>
        <v>0.16846279541773218</v>
      </c>
      <c r="L14" s="7">
        <f>$B14 * IFERROR(VLOOKUP("buildings|SO2|Minor restricted activity days", US_national_yearly!$D:$AM, 20, FALSE) / VLOOKUP("buildings|SO2|Minor restricted activity days", US_national_yearly!$D:$AM, 10, FALSE), 1)</f>
        <v>0.16949304229124496</v>
      </c>
      <c r="M14" s="7">
        <f>$B14 * IFERROR(VLOOKUP("buildings|SO2|Minor restricted activity days", US_national_yearly!$D:$AM, 21, FALSE) / VLOOKUP("buildings|SO2|Minor restricted activity days", US_national_yearly!$D:$AM, 10, FALSE), 1)</f>
        <v>0.1705232891647577</v>
      </c>
      <c r="N14" s="7">
        <f>$B14 * IFERROR(VLOOKUP("buildings|SO2|Minor restricted activity days", US_national_yearly!$D:$AM, 22, FALSE) / VLOOKUP("buildings|SO2|Minor restricted activity days", US_national_yearly!$D:$AM, 10, FALSE), 1)</f>
        <v>0.17193209762564982</v>
      </c>
      <c r="O14" s="7">
        <f>$B14 * IFERROR(VLOOKUP("buildings|SO2|Minor restricted activity days", US_national_yearly!$D:$AM, 23, FALSE) / VLOOKUP("buildings|SO2|Minor restricted activity days", US_national_yearly!$D:$AM, 10, FALSE), 1)</f>
        <v>0.17334090608654196</v>
      </c>
      <c r="P14" s="7">
        <f>$B14 * IFERROR(VLOOKUP("buildings|SO2|Minor restricted activity days", US_national_yearly!$D:$AM, 24, FALSE) / VLOOKUP("buildings|SO2|Minor restricted activity days", US_national_yearly!$D:$AM, 10, FALSE), 1)</f>
        <v>0.17474971454743402</v>
      </c>
      <c r="Q14" s="7">
        <f>$B14 * IFERROR(VLOOKUP("buildings|SO2|Minor restricted activity days", US_national_yearly!$D:$AM, 25, FALSE) / VLOOKUP("buildings|SO2|Minor restricted activity days", US_national_yearly!$D:$AM, 10, FALSE), 1)</f>
        <v>0.17615852300832616</v>
      </c>
      <c r="R14" s="7">
        <f>$B14 * IFERROR(VLOOKUP("buildings|SO2|Minor restricted activity days", US_national_yearly!$D:$AM, 26, FALSE) / VLOOKUP("buildings|SO2|Minor restricted activity days", US_national_yearly!$D:$AM, 10, FALSE), 1)</f>
        <v>0.17756733146921827</v>
      </c>
      <c r="S14" s="7">
        <f>$B14 * IFERROR(VLOOKUP("buildings|SO2|Minor restricted activity days", US_national_yearly!$D:$AM, 27, FALSE) / VLOOKUP("buildings|SO2|Minor restricted activity days", US_national_yearly!$D:$AM, 10, FALSE), 1)</f>
        <v>0.17900352023280852</v>
      </c>
      <c r="T14" s="7">
        <f>$B14 * IFERROR(VLOOKUP("buildings|SO2|Minor restricted activity days", US_national_yearly!$D:$AM, 28, FALSE) / VLOOKUP("buildings|SO2|Minor restricted activity days", US_national_yearly!$D:$AM, 10, FALSE), 1)</f>
        <v>0.18043970899639877</v>
      </c>
      <c r="U14" s="7">
        <f>$B14 * IFERROR(VLOOKUP("buildings|SO2|Minor restricted activity days", US_national_yearly!$D:$AM, 29, FALSE) / VLOOKUP("buildings|SO2|Minor restricted activity days", US_national_yearly!$D:$AM, 10, FALSE), 1)</f>
        <v>0.18187589775998905</v>
      </c>
      <c r="V14" s="7">
        <f>$B14 * IFERROR(VLOOKUP("buildings|SO2|Minor restricted activity days", US_national_yearly!$D:$AM, 30, FALSE) / VLOOKUP("buildings|SO2|Minor restricted activity days", US_national_yearly!$D:$AM, 10, FALSE), 1)</f>
        <v>0.1833120865235793</v>
      </c>
      <c r="W14" s="7">
        <f>$B14 * IFERROR(VLOOKUP("buildings|SO2|Minor restricted activity days", US_national_yearly!$D:$AM, 31, FALSE) / VLOOKUP("buildings|SO2|Minor restricted activity days", US_national_yearly!$D:$AM, 10, FALSE), 1)</f>
        <v>0.18474827528716961</v>
      </c>
      <c r="X14" s="7">
        <f>$B14 * IFERROR(VLOOKUP("buildings|SO2|Minor restricted activity days", US_national_yearly!$D:$AM, 32, FALSE) / VLOOKUP("buildings|SO2|Minor restricted activity days", US_national_yearly!$D:$AM, 10, FALSE), 1)</f>
        <v>0.18601132019110425</v>
      </c>
      <c r="Y14" s="7">
        <f>$B14 * IFERROR(VLOOKUP("buildings|SO2|Minor restricted activity days", US_national_yearly!$D:$AM, 33, FALSE) / VLOOKUP("buildings|SO2|Minor restricted activity days", US_national_yearly!$D:$AM, 10, FALSE), 1)</f>
        <v>0.18727436509503897</v>
      </c>
      <c r="Z14" s="7">
        <f>$B14 * IFERROR(VLOOKUP("buildings|SO2|Minor restricted activity days", US_national_yearly!$D:$AM, 34, FALSE) / VLOOKUP("buildings|SO2|Minor restricted activity days", US_national_yearly!$D:$AM, 10, FALSE), 1)</f>
        <v>0.18853740999897364</v>
      </c>
      <c r="AA14" s="7">
        <f>$B14 * IFERROR(VLOOKUP("buildings|SO2|Minor restricted activity days", US_national_yearly!$D:$AM, 35, FALSE) / VLOOKUP("buildings|SO2|Minor restricted activity days", US_national_yearly!$D:$AM, 10, FALSE), 1)</f>
        <v>0.18980045490290834</v>
      </c>
      <c r="AB14" s="7">
        <f>$B14 * IFERROR(VLOOKUP("buildings|SO2|Minor restricted activity days", US_national_yearly!$D:$AM, 36, FALSE) / VLOOKUP("buildings|SO2|Minor restricted activity days", US_national_yearly!$D:$AM, 10, FALSE), 1)</f>
        <v>0.19106349980684301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2.7646596842191298E-2</v>
      </c>
      <c r="C15" s="7">
        <f>$B15 * IFERROR(VLOOKUP("buildings|SO2|Work loss days", US_national_yearly!$D:$AM, 11, FALSE) / VLOOKUP("buildings|SO2|Work loss days", US_national_yearly!$D:$AM, 10, FALSE), 1)</f>
        <v>2.7736420185097775E-2</v>
      </c>
      <c r="D15" s="7">
        <f>$B15 * IFERROR(VLOOKUP("buildings|SO2|Work loss days", US_national_yearly!$D:$AM, 12, FALSE) / VLOOKUP("buildings|SO2|Work loss days", US_national_yearly!$D:$AM, 10, FALSE), 1)</f>
        <v>2.7826243528004252E-2</v>
      </c>
      <c r="E15" s="7">
        <f>$B15 * IFERROR(VLOOKUP("buildings|SO2|Work loss days", US_national_yearly!$D:$AM, 13, FALSE) / VLOOKUP("buildings|SO2|Work loss days", US_national_yearly!$D:$AM, 10, FALSE), 1)</f>
        <v>2.7916066870910725E-2</v>
      </c>
      <c r="F15" s="7">
        <f>$B15 * IFERROR(VLOOKUP("buildings|SO2|Work loss days", US_national_yearly!$D:$AM, 14, FALSE) / VLOOKUP("buildings|SO2|Work loss days", US_national_yearly!$D:$AM, 10, FALSE), 1)</f>
        <v>2.8005890213817199E-2</v>
      </c>
      <c r="G15" s="7">
        <f>$B15 * IFERROR(VLOOKUP("buildings|SO2|Work loss days", US_national_yearly!$D:$AM, 15, FALSE) / VLOOKUP("buildings|SO2|Work loss days", US_national_yearly!$D:$AM, 10, FALSE), 1)</f>
        <v>2.8123204470352985E-2</v>
      </c>
      <c r="H15" s="7">
        <f>$B15 * IFERROR(VLOOKUP("buildings|SO2|Work loss days", US_national_yearly!$D:$AM, 16, FALSE) / VLOOKUP("buildings|SO2|Work loss days", US_national_yearly!$D:$AM, 10, FALSE), 1)</f>
        <v>2.8240518726888778E-2</v>
      </c>
      <c r="I15" s="7">
        <f>$B15 * IFERROR(VLOOKUP("buildings|SO2|Work loss days", US_national_yearly!$D:$AM, 17, FALSE) / VLOOKUP("buildings|SO2|Work loss days", US_national_yearly!$D:$AM, 10, FALSE), 1)</f>
        <v>2.8412038736277168E-2</v>
      </c>
      <c r="J15" s="7">
        <f>$B15 * IFERROR(VLOOKUP("buildings|SO2|Work loss days", US_national_yearly!$D:$AM, 18, FALSE) / VLOOKUP("buildings|SO2|Work loss days", US_national_yearly!$D:$AM, 10, FALSE), 1)</f>
        <v>2.8583558745665556E-2</v>
      </c>
      <c r="K15" s="7">
        <f>$B15 * IFERROR(VLOOKUP("buildings|SO2|Work loss days", US_national_yearly!$D:$AM, 19, FALSE) / VLOOKUP("buildings|SO2|Work loss days", US_national_yearly!$D:$AM, 10, FALSE), 1)</f>
        <v>2.8755078755053946E-2</v>
      </c>
      <c r="L15" s="7">
        <f>$B15 * IFERROR(VLOOKUP("buildings|SO2|Work loss days", US_national_yearly!$D:$AM, 20, FALSE) / VLOOKUP("buildings|SO2|Work loss days", US_national_yearly!$D:$AM, 10, FALSE), 1)</f>
        <v>2.8926598764442334E-2</v>
      </c>
      <c r="M15" s="7">
        <f>$B15 * IFERROR(VLOOKUP("buildings|SO2|Work loss days", US_national_yearly!$D:$AM, 21, FALSE) / VLOOKUP("buildings|SO2|Work loss days", US_national_yearly!$D:$AM, 10, FALSE), 1)</f>
        <v>2.9098118773830721E-2</v>
      </c>
      <c r="N15" s="7">
        <f>$B15 * IFERROR(VLOOKUP("buildings|SO2|Work loss days", US_national_yearly!$D:$AM, 22, FALSE) / VLOOKUP("buildings|SO2|Work loss days", US_national_yearly!$D:$AM, 10, FALSE), 1)</f>
        <v>2.931320205588557E-2</v>
      </c>
      <c r="O15" s="7">
        <f>$B15 * IFERROR(VLOOKUP("buildings|SO2|Work loss days", US_national_yearly!$D:$AM, 23, FALSE) / VLOOKUP("buildings|SO2|Work loss days", US_national_yearly!$D:$AM, 10, FALSE), 1)</f>
        <v>2.952828533794042E-2</v>
      </c>
      <c r="P15" s="7">
        <f>$B15 * IFERROR(VLOOKUP("buildings|SO2|Work loss days", US_national_yearly!$D:$AM, 24, FALSE) / VLOOKUP("buildings|SO2|Work loss days", US_national_yearly!$D:$AM, 10, FALSE), 1)</f>
        <v>2.9743368619995266E-2</v>
      </c>
      <c r="Q15" s="7">
        <f>$B15 * IFERROR(VLOOKUP("buildings|SO2|Work loss days", US_national_yearly!$D:$AM, 25, FALSE) / VLOOKUP("buildings|SO2|Work loss days", US_national_yearly!$D:$AM, 10, FALSE), 1)</f>
        <v>2.9958451902050119E-2</v>
      </c>
      <c r="R15" s="7">
        <f>$B15 * IFERROR(VLOOKUP("buildings|SO2|Work loss days", US_national_yearly!$D:$AM, 26, FALSE) / VLOOKUP("buildings|SO2|Work loss days", US_national_yearly!$D:$AM, 10, FALSE), 1)</f>
        <v>3.0173535184104958E-2</v>
      </c>
      <c r="S15" s="7">
        <f>$B15 * IFERROR(VLOOKUP("buildings|SO2|Work loss days", US_national_yearly!$D:$AM, 27, FALSE) / VLOOKUP("buildings|SO2|Work loss days", US_national_yearly!$D:$AM, 10, FALSE), 1)</f>
        <v>3.0413802050278181E-2</v>
      </c>
      <c r="T15" s="7">
        <f>$B15 * IFERROR(VLOOKUP("buildings|SO2|Work loss days", US_national_yearly!$D:$AM, 28, FALSE) / VLOOKUP("buildings|SO2|Work loss days", US_national_yearly!$D:$AM, 10, FALSE), 1)</f>
        <v>3.06540689164514E-2</v>
      </c>
      <c r="U15" s="7">
        <f>$B15 * IFERROR(VLOOKUP("buildings|SO2|Work loss days", US_national_yearly!$D:$AM, 29, FALSE) / VLOOKUP("buildings|SO2|Work loss days", US_national_yearly!$D:$AM, 10, FALSE), 1)</f>
        <v>3.0894335782624623E-2</v>
      </c>
      <c r="V15" s="7">
        <f>$B15 * IFERROR(VLOOKUP("buildings|SO2|Work loss days", US_national_yearly!$D:$AM, 30, FALSE) / VLOOKUP("buildings|SO2|Work loss days", US_national_yearly!$D:$AM, 10, FALSE), 1)</f>
        <v>3.1134602648797836E-2</v>
      </c>
      <c r="W15" s="7">
        <f>$B15 * IFERROR(VLOOKUP("buildings|SO2|Work loss days", US_national_yearly!$D:$AM, 31, FALSE) / VLOOKUP("buildings|SO2|Work loss days", US_national_yearly!$D:$AM, 10, FALSE), 1)</f>
        <v>3.1374869514971059E-2</v>
      </c>
      <c r="X15" s="7">
        <f>$B15 * IFERROR(VLOOKUP("buildings|SO2|Work loss days", US_national_yearly!$D:$AM, 32, FALSE) / VLOOKUP("buildings|SO2|Work loss days", US_national_yearly!$D:$AM, 10, FALSE), 1)</f>
        <v>3.1590600839590123E-2</v>
      </c>
      <c r="Y15" s="7">
        <f>$B15 * IFERROR(VLOOKUP("buildings|SO2|Work loss days", US_national_yearly!$D:$AM, 33, FALSE) / VLOOKUP("buildings|SO2|Work loss days", US_national_yearly!$D:$AM, 10, FALSE), 1)</f>
        <v>3.1806332164209188E-2</v>
      </c>
      <c r="Z15" s="7">
        <f>$B15 * IFERROR(VLOOKUP("buildings|SO2|Work loss days", US_national_yearly!$D:$AM, 34, FALSE) / VLOOKUP("buildings|SO2|Work loss days", US_national_yearly!$D:$AM, 10, FALSE), 1)</f>
        <v>3.2022063488828252E-2</v>
      </c>
      <c r="AA15" s="7">
        <f>$B15 * IFERROR(VLOOKUP("buildings|SO2|Work loss days", US_national_yearly!$D:$AM, 35, FALSE) / VLOOKUP("buildings|SO2|Work loss days", US_national_yearly!$D:$AM, 10, FALSE), 1)</f>
        <v>3.2237794813447317E-2</v>
      </c>
      <c r="AB15" s="7">
        <f>$B15 * IFERROR(VLOOKUP("buildings|SO2|Work loss days", US_national_yearly!$D:$AM, 36, FALSE) / VLOOKUP("buildings|SO2|Work loss days", US_national_yearly!$D:$AM, 10, FALSE), 1)</f>
        <v>3.2453526138066381E-2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3.305092001762883E-5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3.4050689145847329E-5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3.5050458274065822E-5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3.6050227402284329E-5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3.7049996530502828E-5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3.8007715470458179E-5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3.8965434410413522E-5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3.978619761265538E-5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4.0606960814897225E-5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4.1427724017139084E-5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4.2248487219380935E-5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4.306925042162278E-5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4.3620376462920752E-5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4.4171502504218718E-5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4.472262854551669E-5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4.5273754586814649E-5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4.5824880628112621E-5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4.6114706170847742E-5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4.6404531713582863E-5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4.6694357256317978E-5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4.6984182799053099E-5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4.7274008341788213E-5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4.7468626845275075E-5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4.7663245348761931E-5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4.785786385224878E-5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4.8052482355735642E-5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4.8247100859222498E-5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8.5386195082451065E-3</v>
      </c>
      <c r="C2" s="7">
        <f>$B2 * IFERROR(VLOOKUP("industry|PM25|Premature mortality", US_national_yearly!$D:$AM, 11, FALSE) / VLOOKUP("industry|PM25|Premature mortality", US_national_yearly!$D:$AM, 10, FALSE), 1)</f>
        <v>8.6449532244301172E-3</v>
      </c>
      <c r="D2" s="7">
        <f>$B2 * IFERROR(VLOOKUP("industry|PM25|Premature mortality", US_national_yearly!$D:$AM, 12, FALSE) / VLOOKUP("industry|PM25|Premature mortality", US_national_yearly!$D:$AM, 10, FALSE), 1)</f>
        <v>8.7512869406151245E-3</v>
      </c>
      <c r="E2" s="7">
        <f>$B2 * IFERROR(VLOOKUP("industry|PM25|Premature mortality", US_national_yearly!$D:$AM, 13, FALSE) / VLOOKUP("industry|PM25|Premature mortality", US_national_yearly!$D:$AM, 10, FALSE), 1)</f>
        <v>8.8576206568001352E-3</v>
      </c>
      <c r="F2" s="7">
        <f>$B2 * IFERROR(VLOOKUP("industry|PM25|Premature mortality", US_national_yearly!$D:$AM, 14, FALSE) / VLOOKUP("industry|PM25|Premature mortality", US_national_yearly!$D:$AM, 10, FALSE), 1)</f>
        <v>8.9639543729851424E-3</v>
      </c>
      <c r="G2" s="7">
        <f>$B2 * IFERROR(VLOOKUP("industry|PM25|Premature mortality", US_national_yearly!$D:$AM, 15, FALSE) / VLOOKUP("industry|PM25|Premature mortality", US_national_yearly!$D:$AM, 10, FALSE), 1)</f>
        <v>9.1708249662002667E-3</v>
      </c>
      <c r="H2" s="7">
        <f>$B2 * IFERROR(VLOOKUP("industry|PM25|Premature mortality", US_national_yearly!$D:$AM, 16, FALSE) / VLOOKUP("industry|PM25|Premature mortality", US_national_yearly!$D:$AM, 10, FALSE), 1)</f>
        <v>9.3776955594153909E-3</v>
      </c>
      <c r="I2" s="7">
        <f>$B2 * IFERROR(VLOOKUP("industry|PM25|Premature mortality", US_national_yearly!$D:$AM, 17, FALSE) / VLOOKUP("industry|PM25|Premature mortality", US_national_yearly!$D:$AM, 10, FALSE), 1)</f>
        <v>9.5142915244104797E-3</v>
      </c>
      <c r="J2" s="7">
        <f>$B2 * IFERROR(VLOOKUP("industry|PM25|Premature mortality", US_national_yearly!$D:$AM, 18, FALSE) / VLOOKUP("industry|PM25|Premature mortality", US_national_yearly!$D:$AM, 10, FALSE), 1)</f>
        <v>9.6508874894055685E-3</v>
      </c>
      <c r="K2" s="7">
        <f>$B2 * IFERROR(VLOOKUP("industry|PM25|Premature mortality", US_national_yearly!$D:$AM, 19, FALSE) / VLOOKUP("industry|PM25|Premature mortality", US_national_yearly!$D:$AM, 10, FALSE), 1)</f>
        <v>9.7874834544006556E-3</v>
      </c>
      <c r="L2" s="7">
        <f>$B2 * IFERROR(VLOOKUP("industry|PM25|Premature mortality", US_national_yearly!$D:$AM, 20, FALSE) / VLOOKUP("industry|PM25|Premature mortality", US_national_yearly!$D:$AM, 10, FALSE), 1)</f>
        <v>9.9240794193957427E-3</v>
      </c>
      <c r="M2" s="7">
        <f>$B2 * IFERROR(VLOOKUP("industry|PM25|Premature mortality", US_national_yearly!$D:$AM, 21, FALSE) / VLOOKUP("industry|PM25|Premature mortality", US_national_yearly!$D:$AM, 10, FALSE), 1)</f>
        <v>1.0060675384390833E-2</v>
      </c>
      <c r="N2" s="7">
        <f>$B2 * IFERROR(VLOOKUP("industry|PM25|Premature mortality", US_national_yearly!$D:$AM, 22, FALSE) / VLOOKUP("industry|PM25|Premature mortality", US_national_yearly!$D:$AM, 10, FALSE), 1)</f>
        <v>1.0167095319648854E-2</v>
      </c>
      <c r="O2" s="7">
        <f>$B2 * IFERROR(VLOOKUP("industry|PM25|Premature mortality", US_national_yearly!$D:$AM, 23, FALSE) / VLOOKUP("industry|PM25|Premature mortality", US_national_yearly!$D:$AM, 10, FALSE), 1)</f>
        <v>1.027351525490687E-2</v>
      </c>
      <c r="P2" s="7">
        <f>$B2 * IFERROR(VLOOKUP("industry|PM25|Premature mortality", US_national_yearly!$D:$AM, 24, FALSE) / VLOOKUP("industry|PM25|Premature mortality", US_national_yearly!$D:$AM, 10, FALSE), 1)</f>
        <v>1.0379935190164889E-2</v>
      </c>
      <c r="Q2" s="7">
        <f>$B2 * IFERROR(VLOOKUP("industry|PM25|Premature mortality", US_national_yearly!$D:$AM, 25, FALSE) / VLOOKUP("industry|PM25|Premature mortality", US_national_yearly!$D:$AM, 10, FALSE), 1)</f>
        <v>1.0486355125422909E-2</v>
      </c>
      <c r="R2" s="7">
        <f>$B2 * IFERROR(VLOOKUP("industry|PM25|Premature mortality", US_national_yearly!$D:$AM, 26, FALSE) / VLOOKUP("industry|PM25|Premature mortality", US_national_yearly!$D:$AM, 10, FALSE), 1)</f>
        <v>1.0592775060680926E-2</v>
      </c>
      <c r="S2" s="7">
        <f>$B2 * IFERROR(VLOOKUP("industry|PM25|Premature mortality", US_national_yearly!$D:$AM, 27, FALSE) / VLOOKUP("industry|PM25|Premature mortality", US_national_yearly!$D:$AM, 10, FALSE), 1)</f>
        <v>1.0650237878634295E-2</v>
      </c>
      <c r="T2" s="7">
        <f>$B2 * IFERROR(VLOOKUP("industry|PM25|Premature mortality", US_national_yearly!$D:$AM, 28, FALSE) / VLOOKUP("industry|PM25|Premature mortality", US_national_yearly!$D:$AM, 10, FALSE), 1)</f>
        <v>1.0707700696587663E-2</v>
      </c>
      <c r="U2" s="7">
        <f>$B2 * IFERROR(VLOOKUP("industry|PM25|Premature mortality", US_national_yearly!$D:$AM, 29, FALSE) / VLOOKUP("industry|PM25|Premature mortality", US_national_yearly!$D:$AM, 10, FALSE), 1)</f>
        <v>1.0765163514541036E-2</v>
      </c>
      <c r="V2" s="7">
        <f>$B2 * IFERROR(VLOOKUP("industry|PM25|Premature mortality", US_national_yearly!$D:$AM, 30, FALSE) / VLOOKUP("industry|PM25|Premature mortality", US_national_yearly!$D:$AM, 10, FALSE), 1)</f>
        <v>1.0822626332494405E-2</v>
      </c>
      <c r="W2" s="7">
        <f>$B2 * IFERROR(VLOOKUP("industry|PM25|Premature mortality", US_national_yearly!$D:$AM, 31, FALSE) / VLOOKUP("industry|PM25|Premature mortality", US_national_yearly!$D:$AM, 10, FALSE), 1)</f>
        <v>1.0880089150447775E-2</v>
      </c>
      <c r="X2" s="7">
        <f>$B2 * IFERROR(VLOOKUP("industry|PM25|Premature mortality", US_national_yearly!$D:$AM, 32, FALSE) / VLOOKUP("industry|PM25|Premature mortality", US_national_yearly!$D:$AM, 10, FALSE), 1)</f>
        <v>1.0891953208246439E-2</v>
      </c>
      <c r="Y2" s="7">
        <f>$B2 * IFERROR(VLOOKUP("industry|PM25|Premature mortality", US_national_yearly!$D:$AM, 33, FALSE) / VLOOKUP("industry|PM25|Premature mortality", US_national_yearly!$D:$AM, 10, FALSE), 1)</f>
        <v>1.0903817266045109E-2</v>
      </c>
      <c r="Z2" s="7">
        <f>$B2 * IFERROR(VLOOKUP("industry|PM25|Premature mortality", US_national_yearly!$D:$AM, 34, FALSE) / VLOOKUP("industry|PM25|Premature mortality", US_national_yearly!$D:$AM, 10, FALSE), 1)</f>
        <v>1.0915681323843775E-2</v>
      </c>
      <c r="AA2" s="7">
        <f>$B2 * IFERROR(VLOOKUP("industry|PM25|Premature mortality", US_national_yearly!$D:$AM, 35, FALSE) / VLOOKUP("industry|PM25|Premature mortality", US_national_yearly!$D:$AM, 10, FALSE), 1)</f>
        <v>1.0927545381642444E-2</v>
      </c>
      <c r="AB2" s="7">
        <f>$B2 * IFERROR(VLOOKUP("industry|PM25|Premature mortality", US_national_yearly!$D:$AM, 36, FALSE) / VLOOKUP("industry|PM25|Premature mortality", US_national_yearly!$D:$AM, 10, FALSE), 1)</f>
        <v>1.0939409439441109E-2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2.5588413439191251E-5</v>
      </c>
      <c r="C3" s="7">
        <f>$B3 * IFERROR(VLOOKUP("industry|PM25|Infant mortality", US_national_yearly!$D:$AM, 11, FALSE) / VLOOKUP("industry|PM25|Infant mortality", US_national_yearly!$D:$AM, 10, FALSE), 1)</f>
        <v>2.5365618991087684E-5</v>
      </c>
      <c r="D3" s="7">
        <f>$B3 * IFERROR(VLOOKUP("industry|PM25|Infant mortality", US_national_yearly!$D:$AM, 12, FALSE) / VLOOKUP("industry|PM25|Infant mortality", US_national_yearly!$D:$AM, 10, FALSE), 1)</f>
        <v>2.5142824542984113E-5</v>
      </c>
      <c r="E3" s="7">
        <f>$B3 * IFERROR(VLOOKUP("industry|PM25|Infant mortality", US_national_yearly!$D:$AM, 13, FALSE) / VLOOKUP("industry|PM25|Infant mortality", US_national_yearly!$D:$AM, 10, FALSE), 1)</f>
        <v>2.4920030094880542E-5</v>
      </c>
      <c r="F3" s="7">
        <f>$B3 * IFERROR(VLOOKUP("industry|PM25|Infant mortality", US_national_yearly!$D:$AM, 14, FALSE) / VLOOKUP("industry|PM25|Infant mortality", US_national_yearly!$D:$AM, 10, FALSE), 1)</f>
        <v>2.4697235646776974E-5</v>
      </c>
      <c r="G3" s="7">
        <f>$B3 * IFERROR(VLOOKUP("industry|PM25|Infant mortality", US_national_yearly!$D:$AM, 15, FALSE) / VLOOKUP("industry|PM25|Infant mortality", US_national_yearly!$D:$AM, 10, FALSE), 1)</f>
        <v>1.64097078406071E-5</v>
      </c>
      <c r="H3" s="7">
        <f>$B3 * IFERROR(VLOOKUP("industry|PM25|Infant mortality", US_national_yearly!$D:$AM, 16, FALSE) / VLOOKUP("industry|PM25|Infant mortality", US_national_yearly!$D:$AM, 10, FALSE), 1)</f>
        <v>8.1221800344372241E-6</v>
      </c>
      <c r="I3" s="7">
        <f>$B3 * IFERROR(VLOOKUP("industry|PM25|Infant mortality", US_national_yearly!$D:$AM, 17, FALSE) / VLOOKUP("industry|PM25|Infant mortality", US_national_yearly!$D:$AM, 10, FALSE), 1)</f>
        <v>8.0681189152932276E-6</v>
      </c>
      <c r="J3" s="7">
        <f>$B3 * IFERROR(VLOOKUP("industry|PM25|Infant mortality", US_national_yearly!$D:$AM, 18, FALSE) / VLOOKUP("industry|PM25|Infant mortality", US_national_yearly!$D:$AM, 10, FALSE), 1)</f>
        <v>8.014057796149231E-6</v>
      </c>
      <c r="K3" s="7">
        <f>$B3 * IFERROR(VLOOKUP("industry|PM25|Infant mortality", US_national_yearly!$D:$AM, 19, FALSE) / VLOOKUP("industry|PM25|Infant mortality", US_national_yearly!$D:$AM, 10, FALSE), 1)</f>
        <v>7.9599966770052344E-6</v>
      </c>
      <c r="L3" s="7">
        <f>$B3 * IFERROR(VLOOKUP("industry|PM25|Infant mortality", US_national_yearly!$D:$AM, 20, FALSE) / VLOOKUP("industry|PM25|Infant mortality", US_national_yearly!$D:$AM, 10, FALSE), 1)</f>
        <v>7.9059355578612361E-6</v>
      </c>
      <c r="M3" s="7">
        <f>$B3 * IFERROR(VLOOKUP("industry|PM25|Infant mortality", US_national_yearly!$D:$AM, 21, FALSE) / VLOOKUP("industry|PM25|Infant mortality", US_national_yearly!$D:$AM, 10, FALSE), 1)</f>
        <v>7.8518744387172412E-6</v>
      </c>
      <c r="N3" s="7">
        <f>$B3 * IFERROR(VLOOKUP("industry|PM25|Infant mortality", US_national_yearly!$D:$AM, 22, FALSE) / VLOOKUP("industry|PM25|Infant mortality", US_national_yearly!$D:$AM, 10, FALSE), 1)</f>
        <v>7.8173781802783697E-6</v>
      </c>
      <c r="O3" s="7">
        <f>$B3 * IFERROR(VLOOKUP("industry|PM25|Infant mortality", US_national_yearly!$D:$AM, 23, FALSE) / VLOOKUP("industry|PM25|Infant mortality", US_national_yearly!$D:$AM, 10, FALSE), 1)</f>
        <v>7.7828819218395016E-6</v>
      </c>
      <c r="P3" s="7">
        <f>$B3 * IFERROR(VLOOKUP("industry|PM25|Infant mortality", US_national_yearly!$D:$AM, 24, FALSE) / VLOOKUP("industry|PM25|Infant mortality", US_national_yearly!$D:$AM, 10, FALSE), 1)</f>
        <v>7.7483856634006334E-6</v>
      </c>
      <c r="Q3" s="7">
        <f>$B3 * IFERROR(VLOOKUP("industry|PM25|Infant mortality", US_national_yearly!$D:$AM, 25, FALSE) / VLOOKUP("industry|PM25|Infant mortality", US_national_yearly!$D:$AM, 10, FALSE), 1)</f>
        <v>7.7138894049617636E-6</v>
      </c>
      <c r="R3" s="7">
        <f>$B3 * IFERROR(VLOOKUP("industry|PM25|Infant mortality", US_national_yearly!$D:$AM, 26, FALSE) / VLOOKUP("industry|PM25|Infant mortality", US_national_yearly!$D:$AM, 10, FALSE), 1)</f>
        <v>7.6793931465228955E-6</v>
      </c>
      <c r="S3" s="7">
        <f>$B3 * IFERROR(VLOOKUP("industry|PM25|Infant mortality", US_national_yearly!$D:$AM, 27, FALSE) / VLOOKUP("industry|PM25|Infant mortality", US_national_yearly!$D:$AM, 10, FALSE), 1)</f>
        <v>7.6369658633230095E-6</v>
      </c>
      <c r="T3" s="7">
        <f>$B3 * IFERROR(VLOOKUP("industry|PM25|Infant mortality", US_national_yearly!$D:$AM, 28, FALSE) / VLOOKUP("industry|PM25|Infant mortality", US_national_yearly!$D:$AM, 10, FALSE), 1)</f>
        <v>7.5945385801231269E-6</v>
      </c>
      <c r="U3" s="7">
        <f>$B3 * IFERROR(VLOOKUP("industry|PM25|Infant mortality", US_national_yearly!$D:$AM, 29, FALSE) / VLOOKUP("industry|PM25|Infant mortality", US_national_yearly!$D:$AM, 10, FALSE), 1)</f>
        <v>7.5521112969232426E-6</v>
      </c>
      <c r="V3" s="7">
        <f>$B3 * IFERROR(VLOOKUP("industry|PM25|Infant mortality", US_national_yearly!$D:$AM, 30, FALSE) / VLOOKUP("industry|PM25|Infant mortality", US_national_yearly!$D:$AM, 10, FALSE), 1)</f>
        <v>7.5096840137233591E-6</v>
      </c>
      <c r="W3" s="7">
        <f>$B3 * IFERROR(VLOOKUP("industry|PM25|Infant mortality", US_national_yearly!$D:$AM, 31, FALSE) / VLOOKUP("industry|PM25|Infant mortality", US_national_yearly!$D:$AM, 10, FALSE), 1)</f>
        <v>7.4672567305234765E-6</v>
      </c>
      <c r="X3" s="7">
        <f>$B3 * IFERROR(VLOOKUP("industry|PM25|Infant mortality", US_national_yearly!$D:$AM, 32, FALSE) / VLOOKUP("industry|PM25|Infant mortality", US_national_yearly!$D:$AM, 10, FALSE), 1)</f>
        <v>7.4219178621385405E-6</v>
      </c>
      <c r="Y3" s="7">
        <f>$B3 * IFERROR(VLOOKUP("industry|PM25|Infant mortality", US_national_yearly!$D:$AM, 33, FALSE) / VLOOKUP("industry|PM25|Infant mortality", US_national_yearly!$D:$AM, 10, FALSE), 1)</f>
        <v>7.3765789937536045E-6</v>
      </c>
      <c r="Z3" s="7">
        <f>$B3 * IFERROR(VLOOKUP("industry|PM25|Infant mortality", US_national_yearly!$D:$AM, 34, FALSE) / VLOOKUP("industry|PM25|Infant mortality", US_national_yearly!$D:$AM, 10, FALSE), 1)</f>
        <v>7.3312401253686685E-6</v>
      </c>
      <c r="AA3" s="7">
        <f>$B3 * IFERROR(VLOOKUP("industry|PM25|Infant mortality", US_national_yearly!$D:$AM, 35, FALSE) / VLOOKUP("industry|PM25|Infant mortality", US_national_yearly!$D:$AM, 10, FALSE), 1)</f>
        <v>7.2859012569837325E-6</v>
      </c>
      <c r="AB3" s="7">
        <f>$B3 * IFERROR(VLOOKUP("industry|PM25|Infant mortality", US_national_yearly!$D:$AM, 36, FALSE) / VLOOKUP("industry|PM25|Infant mortality", US_national_yearly!$D:$AM, 10, FALSE), 1)</f>
        <v>7.2405623885987965E-6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2.8590772202280623E-2</v>
      </c>
      <c r="C6" s="7">
        <f>$B6 * IFERROR(VLOOKUP("industry|PM25|Asthma symptoms cough", US_national_yearly!$D:$AM, 11, FALSE) / VLOOKUP("industry|PM25|Asthma symptoms cough", US_national_yearly!$D:$AM, 10, FALSE), 1)</f>
        <v>2.8590772202280623E-2</v>
      </c>
      <c r="D6" s="7">
        <f>$B6 * IFERROR(VLOOKUP("industry|PM25|Asthma symptoms cough", US_national_yearly!$D:$AM, 12, FALSE) / VLOOKUP("industry|PM25|Asthma symptoms cough", US_national_yearly!$D:$AM, 10, FALSE), 1)</f>
        <v>2.8590772202280623E-2</v>
      </c>
      <c r="E6" s="7">
        <f>$B6 * IFERROR(VLOOKUP("industry|PM25|Asthma symptoms cough", US_national_yearly!$D:$AM, 13, FALSE) / VLOOKUP("industry|PM25|Asthma symptoms cough", US_national_yearly!$D:$AM, 10, FALSE), 1)</f>
        <v>2.8590772202280623E-2</v>
      </c>
      <c r="F6" s="7">
        <f>$B6 * IFERROR(VLOOKUP("industry|PM25|Asthma symptoms cough", US_national_yearly!$D:$AM, 14, FALSE) / VLOOKUP("industry|PM25|Asthma symptoms cough", US_national_yearly!$D:$AM, 10, FALSE), 1)</f>
        <v>2.8590772202280623E-2</v>
      </c>
      <c r="G6" s="7">
        <f>$B6 * IFERROR(VLOOKUP("industry|PM25|Asthma symptoms cough", US_national_yearly!$D:$AM, 15, FALSE) / VLOOKUP("industry|PM25|Asthma symptoms cough", US_national_yearly!$D:$AM, 10, FALSE), 1)</f>
        <v>2.8590772202280623E-2</v>
      </c>
      <c r="H6" s="7">
        <f>$B6 * IFERROR(VLOOKUP("industry|PM25|Asthma symptoms cough", US_national_yearly!$D:$AM, 16, FALSE) / VLOOKUP("industry|PM25|Asthma symptoms cough", US_national_yearly!$D:$AM, 10, FALSE), 1)</f>
        <v>2.8590772202280623E-2</v>
      </c>
      <c r="I6" s="7">
        <f>$B6 * IFERROR(VLOOKUP("industry|PM25|Asthma symptoms cough", US_national_yearly!$D:$AM, 17, FALSE) / VLOOKUP("industry|PM25|Asthma symptoms cough", US_national_yearly!$D:$AM, 10, FALSE), 1)</f>
        <v>2.8590772202280623E-2</v>
      </c>
      <c r="J6" s="7">
        <f>$B6 * IFERROR(VLOOKUP("industry|PM25|Asthma symptoms cough", US_national_yearly!$D:$AM, 18, FALSE) / VLOOKUP("industry|PM25|Asthma symptoms cough", US_national_yearly!$D:$AM, 10, FALSE), 1)</f>
        <v>2.8590772202280623E-2</v>
      </c>
      <c r="K6" s="7">
        <f>$B6 * IFERROR(VLOOKUP("industry|PM25|Asthma symptoms cough", US_national_yearly!$D:$AM, 19, FALSE) / VLOOKUP("industry|PM25|Asthma symptoms cough", US_national_yearly!$D:$AM, 10, FALSE), 1)</f>
        <v>2.8590772202280623E-2</v>
      </c>
      <c r="L6" s="7">
        <f>$B6 * IFERROR(VLOOKUP("industry|PM25|Asthma symptoms cough", US_national_yearly!$D:$AM, 20, FALSE) / VLOOKUP("industry|PM25|Asthma symptoms cough", US_national_yearly!$D:$AM, 10, FALSE), 1)</f>
        <v>2.8590772202280623E-2</v>
      </c>
      <c r="M6" s="7">
        <f>$B6 * IFERROR(VLOOKUP("industry|PM25|Asthma symptoms cough", US_national_yearly!$D:$AM, 21, FALSE) / VLOOKUP("industry|PM25|Asthma symptoms cough", US_national_yearly!$D:$AM, 10, FALSE), 1)</f>
        <v>2.8590772202280623E-2</v>
      </c>
      <c r="N6" s="7">
        <f>$B6 * IFERROR(VLOOKUP("industry|PM25|Asthma symptoms cough", US_national_yearly!$D:$AM, 22, FALSE) / VLOOKUP("industry|PM25|Asthma symptoms cough", US_national_yearly!$D:$AM, 10, FALSE), 1)</f>
        <v>2.8590772202280623E-2</v>
      </c>
      <c r="O6" s="7">
        <f>$B6 * IFERROR(VLOOKUP("industry|PM25|Asthma symptoms cough", US_national_yearly!$D:$AM, 23, FALSE) / VLOOKUP("industry|PM25|Asthma symptoms cough", US_national_yearly!$D:$AM, 10, FALSE), 1)</f>
        <v>2.8590772202280623E-2</v>
      </c>
      <c r="P6" s="7">
        <f>$B6 * IFERROR(VLOOKUP("industry|PM25|Asthma symptoms cough", US_national_yearly!$D:$AM, 24, FALSE) / VLOOKUP("industry|PM25|Asthma symptoms cough", US_national_yearly!$D:$AM, 10, FALSE), 1)</f>
        <v>2.8590772202280623E-2</v>
      </c>
      <c r="Q6" s="7">
        <f>$B6 * IFERROR(VLOOKUP("industry|PM25|Asthma symptoms cough", US_national_yearly!$D:$AM, 25, FALSE) / VLOOKUP("industry|PM25|Asthma symptoms cough", US_national_yearly!$D:$AM, 10, FALSE), 1)</f>
        <v>2.8590772202280623E-2</v>
      </c>
      <c r="R6" s="7">
        <f>$B6 * IFERROR(VLOOKUP("industry|PM25|Asthma symptoms cough", US_national_yearly!$D:$AM, 26, FALSE) / VLOOKUP("industry|PM25|Asthma symptoms cough", US_national_yearly!$D:$AM, 10, FALSE), 1)</f>
        <v>2.8590772202280623E-2</v>
      </c>
      <c r="S6" s="7">
        <f>$B6 * IFERROR(VLOOKUP("industry|PM25|Asthma symptoms cough", US_national_yearly!$D:$AM, 27, FALSE) / VLOOKUP("industry|PM25|Asthma symptoms cough", US_national_yearly!$D:$AM, 10, FALSE), 1)</f>
        <v>2.8590772202280623E-2</v>
      </c>
      <c r="T6" s="7">
        <f>$B6 * IFERROR(VLOOKUP("industry|PM25|Asthma symptoms cough", US_national_yearly!$D:$AM, 28, FALSE) / VLOOKUP("industry|PM25|Asthma symptoms cough", US_national_yearly!$D:$AM, 10, FALSE), 1)</f>
        <v>2.8590772202280623E-2</v>
      </c>
      <c r="U6" s="7">
        <f>$B6 * IFERROR(VLOOKUP("industry|PM25|Asthma symptoms cough", US_national_yearly!$D:$AM, 29, FALSE) / VLOOKUP("industry|PM25|Asthma symptoms cough", US_national_yearly!$D:$AM, 10, FALSE), 1)</f>
        <v>2.8590772202280623E-2</v>
      </c>
      <c r="V6" s="7">
        <f>$B6 * IFERROR(VLOOKUP("industry|PM25|Asthma symptoms cough", US_national_yearly!$D:$AM, 30, FALSE) / VLOOKUP("industry|PM25|Asthma symptoms cough", US_national_yearly!$D:$AM, 10, FALSE), 1)</f>
        <v>2.8590772202280623E-2</v>
      </c>
      <c r="W6" s="7">
        <f>$B6 * IFERROR(VLOOKUP("industry|PM25|Asthma symptoms cough", US_national_yearly!$D:$AM, 31, FALSE) / VLOOKUP("industry|PM25|Asthma symptoms cough", US_national_yearly!$D:$AM, 10, FALSE), 1)</f>
        <v>2.8590772202280623E-2</v>
      </c>
      <c r="X6" s="7">
        <f>$B6 * IFERROR(VLOOKUP("industry|PM25|Asthma symptoms cough", US_national_yearly!$D:$AM, 32, FALSE) / VLOOKUP("industry|PM25|Asthma symptoms cough", US_national_yearly!$D:$AM, 10, FALSE), 1)</f>
        <v>2.8590772202280623E-2</v>
      </c>
      <c r="Y6" s="7">
        <f>$B6 * IFERROR(VLOOKUP("industry|PM25|Asthma symptoms cough", US_national_yearly!$D:$AM, 33, FALSE) / VLOOKUP("industry|PM25|Asthma symptoms cough", US_national_yearly!$D:$AM, 10, FALSE), 1)</f>
        <v>2.8590772202280623E-2</v>
      </c>
      <c r="Z6" s="7">
        <f>$B6 * IFERROR(VLOOKUP("industry|PM25|Asthma symptoms cough", US_national_yearly!$D:$AM, 34, FALSE) / VLOOKUP("industry|PM25|Asthma symptoms cough", US_national_yearly!$D:$AM, 10, FALSE), 1)</f>
        <v>2.8590772202280623E-2</v>
      </c>
      <c r="AA6" s="7">
        <f>$B6 * IFERROR(VLOOKUP("industry|PM25|Asthma symptoms cough", US_national_yearly!$D:$AM, 35, FALSE) / VLOOKUP("industry|PM25|Asthma symptoms cough", US_national_yearly!$D:$AM, 10, FALSE), 1)</f>
        <v>2.8590772202280623E-2</v>
      </c>
      <c r="AB6" s="7">
        <f>$B6 * IFERROR(VLOOKUP("industry|PM25|Asthma symptoms cough", US_national_yearly!$D:$AM, 36, FALSE) / VLOOKUP("industry|PM25|Asthma symptoms cough", US_national_yearly!$D:$AM, 10, FALSE), 1)</f>
        <v>2.8590772202280623E-2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3.8500495576304562E-2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3.8500495576304562E-2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3.8500495576304562E-2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3.8500495576304562E-2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3.8500495576304562E-2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3.8500495576304562E-2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3.8500495576304562E-2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3.8500495576304562E-2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3.8500495576304562E-2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3.8500495576304562E-2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3.8500495576304562E-2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3.8500495576304562E-2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3.8500495576304562E-2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3.8500495576304562E-2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3.8500495576304562E-2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3.8500495576304562E-2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3.8500495576304562E-2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3.8500495576304562E-2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3.8500495576304562E-2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3.8500495576304562E-2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3.8500495576304562E-2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3.8500495576304562E-2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3.8500495576304562E-2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3.8500495576304562E-2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3.8500495576304562E-2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3.8500495576304562E-2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3.8500495576304562E-2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5.8826253757082184E-2</v>
      </c>
      <c r="C8" s="7">
        <f>$B8 * IFERROR(VLOOKUP("industry|PM25|Asthma symptoms wheeze", US_national_yearly!$D:$AM, 11, FALSE) / VLOOKUP("industry|PM25|Asthma symptoms wheeze", US_national_yearly!$D:$AM, 10, FALSE), 1)</f>
        <v>5.8826253757082184E-2</v>
      </c>
      <c r="D8" s="7">
        <f>$B8 * IFERROR(VLOOKUP("industry|PM25|Asthma symptoms wheeze", US_national_yearly!$D:$AM, 12, FALSE) / VLOOKUP("industry|PM25|Asthma symptoms wheeze", US_national_yearly!$D:$AM, 10, FALSE), 1)</f>
        <v>5.8826253757082184E-2</v>
      </c>
      <c r="E8" s="7">
        <f>$B8 * IFERROR(VLOOKUP("industry|PM25|Asthma symptoms wheeze", US_national_yearly!$D:$AM, 13, FALSE) / VLOOKUP("industry|PM25|Asthma symptoms wheeze", US_national_yearly!$D:$AM, 10, FALSE), 1)</f>
        <v>5.8826253757082184E-2</v>
      </c>
      <c r="F8" s="7">
        <f>$B8 * IFERROR(VLOOKUP("industry|PM25|Asthma symptoms wheeze", US_national_yearly!$D:$AM, 14, FALSE) / VLOOKUP("industry|PM25|Asthma symptoms wheeze", US_national_yearly!$D:$AM, 10, FALSE), 1)</f>
        <v>5.8826253757082184E-2</v>
      </c>
      <c r="G8" s="7">
        <f>$B8 * IFERROR(VLOOKUP("industry|PM25|Asthma symptoms wheeze", US_national_yearly!$D:$AM, 15, FALSE) / VLOOKUP("industry|PM25|Asthma symptoms wheeze", US_national_yearly!$D:$AM, 10, FALSE), 1)</f>
        <v>5.8826253757082184E-2</v>
      </c>
      <c r="H8" s="7">
        <f>$B8 * IFERROR(VLOOKUP("industry|PM25|Asthma symptoms wheeze", US_national_yearly!$D:$AM, 16, FALSE) / VLOOKUP("industry|PM25|Asthma symptoms wheeze", US_national_yearly!$D:$AM, 10, FALSE), 1)</f>
        <v>5.8826253757082184E-2</v>
      </c>
      <c r="I8" s="7">
        <f>$B8 * IFERROR(VLOOKUP("industry|PM25|Asthma symptoms wheeze", US_national_yearly!$D:$AM, 17, FALSE) / VLOOKUP("industry|PM25|Asthma symptoms wheeze", US_national_yearly!$D:$AM, 10, FALSE), 1)</f>
        <v>5.8826253757082184E-2</v>
      </c>
      <c r="J8" s="7">
        <f>$B8 * IFERROR(VLOOKUP("industry|PM25|Asthma symptoms wheeze", US_national_yearly!$D:$AM, 18, FALSE) / VLOOKUP("industry|PM25|Asthma symptoms wheeze", US_national_yearly!$D:$AM, 10, FALSE), 1)</f>
        <v>5.8826253757082184E-2</v>
      </c>
      <c r="K8" s="7">
        <f>$B8 * IFERROR(VLOOKUP("industry|PM25|Asthma symptoms wheeze", US_national_yearly!$D:$AM, 19, FALSE) / VLOOKUP("industry|PM25|Asthma symptoms wheeze", US_national_yearly!$D:$AM, 10, FALSE), 1)</f>
        <v>5.8826253757082184E-2</v>
      </c>
      <c r="L8" s="7">
        <f>$B8 * IFERROR(VLOOKUP("industry|PM25|Asthma symptoms wheeze", US_national_yearly!$D:$AM, 20, FALSE) / VLOOKUP("industry|PM25|Asthma symptoms wheeze", US_national_yearly!$D:$AM, 10, FALSE), 1)</f>
        <v>5.8826253757082184E-2</v>
      </c>
      <c r="M8" s="7">
        <f>$B8 * IFERROR(VLOOKUP("industry|PM25|Asthma symptoms wheeze", US_national_yearly!$D:$AM, 21, FALSE) / VLOOKUP("industry|PM25|Asthma symptoms wheeze", US_national_yearly!$D:$AM, 10, FALSE), 1)</f>
        <v>5.8826253757082184E-2</v>
      </c>
      <c r="N8" s="7">
        <f>$B8 * IFERROR(VLOOKUP("industry|PM25|Asthma symptoms wheeze", US_national_yearly!$D:$AM, 22, FALSE) / VLOOKUP("industry|PM25|Asthma symptoms wheeze", US_national_yearly!$D:$AM, 10, FALSE), 1)</f>
        <v>5.8826253757082184E-2</v>
      </c>
      <c r="O8" s="7">
        <f>$B8 * IFERROR(VLOOKUP("industry|PM25|Asthma symptoms wheeze", US_national_yearly!$D:$AM, 23, FALSE) / VLOOKUP("industry|PM25|Asthma symptoms wheeze", US_national_yearly!$D:$AM, 10, FALSE), 1)</f>
        <v>5.8826253757082184E-2</v>
      </c>
      <c r="P8" s="7">
        <f>$B8 * IFERROR(VLOOKUP("industry|PM25|Asthma symptoms wheeze", US_national_yearly!$D:$AM, 24, FALSE) / VLOOKUP("industry|PM25|Asthma symptoms wheeze", US_national_yearly!$D:$AM, 10, FALSE), 1)</f>
        <v>5.8826253757082184E-2</v>
      </c>
      <c r="Q8" s="7">
        <f>$B8 * IFERROR(VLOOKUP("industry|PM25|Asthma symptoms wheeze", US_national_yearly!$D:$AM, 25, FALSE) / VLOOKUP("industry|PM25|Asthma symptoms wheeze", US_national_yearly!$D:$AM, 10, FALSE), 1)</f>
        <v>5.8826253757082184E-2</v>
      </c>
      <c r="R8" s="7">
        <f>$B8 * IFERROR(VLOOKUP("industry|PM25|Asthma symptoms wheeze", US_national_yearly!$D:$AM, 26, FALSE) / VLOOKUP("industry|PM25|Asthma symptoms wheeze", US_national_yearly!$D:$AM, 10, FALSE), 1)</f>
        <v>5.8826253757082184E-2</v>
      </c>
      <c r="S8" s="7">
        <f>$B8 * IFERROR(VLOOKUP("industry|PM25|Asthma symptoms wheeze", US_national_yearly!$D:$AM, 27, FALSE) / VLOOKUP("industry|PM25|Asthma symptoms wheeze", US_national_yearly!$D:$AM, 10, FALSE), 1)</f>
        <v>5.8826253757082184E-2</v>
      </c>
      <c r="T8" s="7">
        <f>$B8 * IFERROR(VLOOKUP("industry|PM25|Asthma symptoms wheeze", US_national_yearly!$D:$AM, 28, FALSE) / VLOOKUP("industry|PM25|Asthma symptoms wheeze", US_national_yearly!$D:$AM, 10, FALSE), 1)</f>
        <v>5.8826253757082184E-2</v>
      </c>
      <c r="U8" s="7">
        <f>$B8 * IFERROR(VLOOKUP("industry|PM25|Asthma symptoms wheeze", US_national_yearly!$D:$AM, 29, FALSE) / VLOOKUP("industry|PM25|Asthma symptoms wheeze", US_national_yearly!$D:$AM, 10, FALSE), 1)</f>
        <v>5.8826253757082184E-2</v>
      </c>
      <c r="V8" s="7">
        <f>$B8 * IFERROR(VLOOKUP("industry|PM25|Asthma symptoms wheeze", US_national_yearly!$D:$AM, 30, FALSE) / VLOOKUP("industry|PM25|Asthma symptoms wheeze", US_national_yearly!$D:$AM, 10, FALSE), 1)</f>
        <v>5.8826253757082184E-2</v>
      </c>
      <c r="W8" s="7">
        <f>$B8 * IFERROR(VLOOKUP("industry|PM25|Asthma symptoms wheeze", US_national_yearly!$D:$AM, 31, FALSE) / VLOOKUP("industry|PM25|Asthma symptoms wheeze", US_national_yearly!$D:$AM, 10, FALSE), 1)</f>
        <v>5.8826253757082184E-2</v>
      </c>
      <c r="X8" s="7">
        <f>$B8 * IFERROR(VLOOKUP("industry|PM25|Asthma symptoms wheeze", US_national_yearly!$D:$AM, 32, FALSE) / VLOOKUP("industry|PM25|Asthma symptoms wheeze", US_national_yearly!$D:$AM, 10, FALSE), 1)</f>
        <v>5.8826253757082184E-2</v>
      </c>
      <c r="Y8" s="7">
        <f>$B8 * IFERROR(VLOOKUP("industry|PM25|Asthma symptoms wheeze", US_national_yearly!$D:$AM, 33, FALSE) / VLOOKUP("industry|PM25|Asthma symptoms wheeze", US_national_yearly!$D:$AM, 10, FALSE), 1)</f>
        <v>5.8826253757082184E-2</v>
      </c>
      <c r="Z8" s="7">
        <f>$B8 * IFERROR(VLOOKUP("industry|PM25|Asthma symptoms wheeze", US_national_yearly!$D:$AM, 34, FALSE) / VLOOKUP("industry|PM25|Asthma symptoms wheeze", US_national_yearly!$D:$AM, 10, FALSE), 1)</f>
        <v>5.8826253757082184E-2</v>
      </c>
      <c r="AA8" s="7">
        <f>$B8 * IFERROR(VLOOKUP("industry|PM25|Asthma symptoms wheeze", US_national_yearly!$D:$AM, 35, FALSE) / VLOOKUP("industry|PM25|Asthma symptoms wheeze", US_national_yearly!$D:$AM, 10, FALSE), 1)</f>
        <v>5.8826253757082184E-2</v>
      </c>
      <c r="AB8" s="7">
        <f>$B8 * IFERROR(VLOOKUP("industry|PM25|Asthma symptoms wheeze", US_national_yearly!$D:$AM, 36, FALSE) / VLOOKUP("industry|PM25|Asthma symptoms wheeze", US_national_yearly!$D:$AM, 10, FALSE), 1)</f>
        <v>5.8826253757082184E-2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5.3186027791608131E-4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5.3487994850141905E-4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5.3789961908675679E-4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5.4091928967209453E-4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5.4393896025743248E-4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5.4720379373577558E-4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5.5046862721411889E-4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5.5356573250543717E-4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5.5666283779675545E-4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5.5975994308807362E-4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5.628570483793919E-4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5.6595415367071019E-4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5.6814464948596807E-4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5.7033514530122585E-4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5.7252564111648374E-4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5.7471613693174141E-4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5.769066327469993E-4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5.7897265757480263E-4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5.8103868240260597E-4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5.8310470723040931E-4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5.8517073205821264E-4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5.8723675688601609E-4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5.8922603842360207E-4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5.9121531996118805E-4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5.9320460149877414E-4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5.9519388303636022E-4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5.971831645739462E-4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3.1147667792834712E-3</v>
      </c>
      <c r="C13" s="7">
        <f>$B13 * IFERROR(VLOOKUP("industry|PM25|Non-fatal heart attacks", US_national_yearly!$D:$AM, 11, FALSE) / VLOOKUP("industry|PM25|Non-fatal heart attacks", US_national_yearly!$D:$AM, 10, FALSE), 1)</f>
        <v>3.205438456938678E-3</v>
      </c>
      <c r="D13" s="7">
        <f>$B13 * IFERROR(VLOOKUP("industry|PM25|Non-fatal heart attacks", US_national_yearly!$D:$AM, 12, FALSE) / VLOOKUP("industry|PM25|Non-fatal heart attacks", US_national_yearly!$D:$AM, 10, FALSE), 1)</f>
        <v>3.2961101345938839E-3</v>
      </c>
      <c r="E13" s="7">
        <f>$B13 * IFERROR(VLOOKUP("industry|PM25|Non-fatal heart attacks", US_national_yearly!$D:$AM, 13, FALSE) / VLOOKUP("industry|PM25|Non-fatal heart attacks", US_national_yearly!$D:$AM, 10, FALSE), 1)</f>
        <v>3.3867818122490906E-3</v>
      </c>
      <c r="F13" s="7">
        <f>$B13 * IFERROR(VLOOKUP("industry|PM25|Non-fatal heart attacks", US_national_yearly!$D:$AM, 14, FALSE) / VLOOKUP("industry|PM25|Non-fatal heart attacks", US_national_yearly!$D:$AM, 10, FALSE), 1)</f>
        <v>3.4774534899042974E-3</v>
      </c>
      <c r="G13" s="7">
        <f>$B13 * IFERROR(VLOOKUP("industry|PM25|Non-fatal heart attacks", US_national_yearly!$D:$AM, 15, FALSE) / VLOOKUP("industry|PM25|Non-fatal heart attacks", US_national_yearly!$D:$AM, 10, FALSE), 1)</f>
        <v>3.5630539290291835E-3</v>
      </c>
      <c r="H13" s="7">
        <f>$B13 * IFERROR(VLOOKUP("industry|PM25|Non-fatal heart attacks", US_national_yearly!$D:$AM, 16, FALSE) / VLOOKUP("industry|PM25|Non-fatal heart attacks", US_national_yearly!$D:$AM, 10, FALSE), 1)</f>
        <v>3.64865436815407E-3</v>
      </c>
      <c r="I13" s="7">
        <f>$B13 * IFERROR(VLOOKUP("industry|PM25|Non-fatal heart attacks", US_national_yearly!$D:$AM, 17, FALSE) / VLOOKUP("industry|PM25|Non-fatal heart attacks", US_national_yearly!$D:$AM, 10, FALSE), 1)</f>
        <v>3.7177775132873608E-3</v>
      </c>
      <c r="J13" s="7">
        <f>$B13 * IFERROR(VLOOKUP("industry|PM25|Non-fatal heart attacks", US_national_yearly!$D:$AM, 18, FALSE) / VLOOKUP("industry|PM25|Non-fatal heart attacks", US_national_yearly!$D:$AM, 10, FALSE), 1)</f>
        <v>3.7869006584206511E-3</v>
      </c>
      <c r="K13" s="7">
        <f>$B13 * IFERROR(VLOOKUP("industry|PM25|Non-fatal heart attacks", US_national_yearly!$D:$AM, 19, FALSE) / VLOOKUP("industry|PM25|Non-fatal heart attacks", US_national_yearly!$D:$AM, 10, FALSE), 1)</f>
        <v>3.8560238035539414E-3</v>
      </c>
      <c r="L13" s="7">
        <f>$B13 * IFERROR(VLOOKUP("industry|PM25|Non-fatal heart attacks", US_national_yearly!$D:$AM, 20, FALSE) / VLOOKUP("industry|PM25|Non-fatal heart attacks", US_national_yearly!$D:$AM, 10, FALSE), 1)</f>
        <v>3.9251469486872321E-3</v>
      </c>
      <c r="M13" s="7">
        <f>$B13 * IFERROR(VLOOKUP("industry|PM25|Non-fatal heart attacks", US_national_yearly!$D:$AM, 21, FALSE) / VLOOKUP("industry|PM25|Non-fatal heart attacks", US_national_yearly!$D:$AM, 10, FALSE), 1)</f>
        <v>3.9942700938205219E-3</v>
      </c>
      <c r="N13" s="7">
        <f>$B13 * IFERROR(VLOOKUP("industry|PM25|Non-fatal heart attacks", US_national_yearly!$D:$AM, 22, FALSE) / VLOOKUP("industry|PM25|Non-fatal heart attacks", US_national_yearly!$D:$AM, 10, FALSE), 1)</f>
        <v>4.0389620566811573E-3</v>
      </c>
      <c r="O13" s="7">
        <f>$B13 * IFERROR(VLOOKUP("industry|PM25|Non-fatal heart attacks", US_national_yearly!$D:$AM, 23, FALSE) / VLOOKUP("industry|PM25|Non-fatal heart attacks", US_national_yearly!$D:$AM, 10, FALSE), 1)</f>
        <v>4.0836540195417926E-3</v>
      </c>
      <c r="P13" s="7">
        <f>$B13 * IFERROR(VLOOKUP("industry|PM25|Non-fatal heart attacks", US_national_yearly!$D:$AM, 24, FALSE) / VLOOKUP("industry|PM25|Non-fatal heart attacks", US_national_yearly!$D:$AM, 10, FALSE), 1)</f>
        <v>4.1283459824024279E-3</v>
      </c>
      <c r="Q13" s="7">
        <f>$B13 * IFERROR(VLOOKUP("industry|PM25|Non-fatal heart attacks", US_national_yearly!$D:$AM, 25, FALSE) / VLOOKUP("industry|PM25|Non-fatal heart attacks", US_national_yearly!$D:$AM, 10, FALSE), 1)</f>
        <v>4.1730379452630632E-3</v>
      </c>
      <c r="R13" s="7">
        <f>$B13 * IFERROR(VLOOKUP("industry|PM25|Non-fatal heart attacks", US_national_yearly!$D:$AM, 26, FALSE) / VLOOKUP("industry|PM25|Non-fatal heart attacks", US_national_yearly!$D:$AM, 10, FALSE), 1)</f>
        <v>4.2177299081236986E-3</v>
      </c>
      <c r="S13" s="7">
        <f>$B13 * IFERROR(VLOOKUP("industry|PM25|Non-fatal heart attacks", US_national_yearly!$D:$AM, 27, FALSE) / VLOOKUP("industry|PM25|Non-fatal heart attacks", US_national_yearly!$D:$AM, 10, FALSE), 1)</f>
        <v>4.2416000548544282E-3</v>
      </c>
      <c r="T13" s="7">
        <f>$B13 * IFERROR(VLOOKUP("industry|PM25|Non-fatal heart attacks", US_national_yearly!$D:$AM, 28, FALSE) / VLOOKUP("industry|PM25|Non-fatal heart attacks", US_national_yearly!$D:$AM, 10, FALSE), 1)</f>
        <v>4.2654702015851595E-3</v>
      </c>
      <c r="U13" s="7">
        <f>$B13 * IFERROR(VLOOKUP("industry|PM25|Non-fatal heart attacks", US_national_yearly!$D:$AM, 29, FALSE) / VLOOKUP("industry|PM25|Non-fatal heart attacks", US_national_yearly!$D:$AM, 10, FALSE), 1)</f>
        <v>4.28934034831589E-3</v>
      </c>
      <c r="V13" s="7">
        <f>$B13 * IFERROR(VLOOKUP("industry|PM25|Non-fatal heart attacks", US_national_yearly!$D:$AM, 30, FALSE) / VLOOKUP("industry|PM25|Non-fatal heart attacks", US_national_yearly!$D:$AM, 10, FALSE), 1)</f>
        <v>4.3132104950466196E-3</v>
      </c>
      <c r="W13" s="7">
        <f>$B13 * IFERROR(VLOOKUP("industry|PM25|Non-fatal heart attacks", US_national_yearly!$D:$AM, 31, FALSE) / VLOOKUP("industry|PM25|Non-fatal heart attacks", US_national_yearly!$D:$AM, 10, FALSE), 1)</f>
        <v>4.337080641777351E-3</v>
      </c>
      <c r="X13" s="7">
        <f>$B13 * IFERROR(VLOOKUP("industry|PM25|Non-fatal heart attacks", US_national_yearly!$D:$AM, 32, FALSE) / VLOOKUP("industry|PM25|Non-fatal heart attacks", US_national_yearly!$D:$AM, 10, FALSE), 1)</f>
        <v>4.3555034669855658E-3</v>
      </c>
      <c r="Y13" s="7">
        <f>$B13 * IFERROR(VLOOKUP("industry|PM25|Non-fatal heart attacks", US_national_yearly!$D:$AM, 33, FALSE) / VLOOKUP("industry|PM25|Non-fatal heart attacks", US_national_yearly!$D:$AM, 10, FALSE), 1)</f>
        <v>4.3739262921937807E-3</v>
      </c>
      <c r="Z13" s="7">
        <f>$B13 * IFERROR(VLOOKUP("industry|PM25|Non-fatal heart attacks", US_national_yearly!$D:$AM, 34, FALSE) / VLOOKUP("industry|PM25|Non-fatal heart attacks", US_national_yearly!$D:$AM, 10, FALSE), 1)</f>
        <v>4.3923491174019955E-3</v>
      </c>
      <c r="AA13" s="7">
        <f>$B13 * IFERROR(VLOOKUP("industry|PM25|Non-fatal heart attacks", US_national_yearly!$D:$AM, 35, FALSE) / VLOOKUP("industry|PM25|Non-fatal heart attacks", US_national_yearly!$D:$AM, 10, FALSE), 1)</f>
        <v>4.4107719426102103E-3</v>
      </c>
      <c r="AB13" s="7">
        <f>$B13 * IFERROR(VLOOKUP("industry|PM25|Non-fatal heart attacks", US_national_yearly!$D:$AM, 36, FALSE) / VLOOKUP("industry|PM25|Non-fatal heart attacks", US_national_yearly!$D:$AM, 10, FALSE), 1)</f>
        <v>4.429194767818426E-3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3.1289939548299142</v>
      </c>
      <c r="C14" s="7">
        <f>$B14 * IFERROR(VLOOKUP("industry|PM25|Minor restricted activity days", US_national_yearly!$D:$AM, 11, FALSE) / VLOOKUP("industry|PM25|Minor restricted activity days", US_national_yearly!$D:$AM, 10, FALSE), 1)</f>
        <v>3.1366573796741348</v>
      </c>
      <c r="D14" s="7">
        <f>$B14 * IFERROR(VLOOKUP("industry|PM25|Minor restricted activity days", US_national_yearly!$D:$AM, 12, FALSE) / VLOOKUP("industry|PM25|Minor restricted activity days", US_national_yearly!$D:$AM, 10, FALSE), 1)</f>
        <v>3.1443208045183564</v>
      </c>
      <c r="E14" s="7">
        <f>$B14 * IFERROR(VLOOKUP("industry|PM25|Minor restricted activity days", US_national_yearly!$D:$AM, 13, FALSE) / VLOOKUP("industry|PM25|Minor restricted activity days", US_national_yearly!$D:$AM, 10, FALSE), 1)</f>
        <v>3.1519842293625775</v>
      </c>
      <c r="F14" s="7">
        <f>$B14 * IFERROR(VLOOKUP("industry|PM25|Minor restricted activity days", US_national_yearly!$D:$AM, 14, FALSE) / VLOOKUP("industry|PM25|Minor restricted activity days", US_national_yearly!$D:$AM, 10, FALSE), 1)</f>
        <v>3.1596476542067982</v>
      </c>
      <c r="G14" s="7">
        <f>$B14 * IFERROR(VLOOKUP("industry|PM25|Minor restricted activity days", US_national_yearly!$D:$AM, 15, FALSE) / VLOOKUP("industry|PM25|Minor restricted activity days", US_national_yearly!$D:$AM, 10, FALSE), 1)</f>
        <v>3.1708963163518757</v>
      </c>
      <c r="H14" s="7">
        <f>$B14 * IFERROR(VLOOKUP("industry|PM25|Minor restricted activity days", US_national_yearly!$D:$AM, 16, FALSE) / VLOOKUP("industry|PM25|Minor restricted activity days", US_national_yearly!$D:$AM, 10, FALSE), 1)</f>
        <v>3.1821449784969529</v>
      </c>
      <c r="I14" s="7">
        <f>$B14 * IFERROR(VLOOKUP("industry|PM25|Minor restricted activity days", US_national_yearly!$D:$AM, 17, FALSE) / VLOOKUP("industry|PM25|Minor restricted activity days", US_national_yearly!$D:$AM, 10, FALSE), 1)</f>
        <v>3.201253563142052</v>
      </c>
      <c r="J14" s="7">
        <f>$B14 * IFERROR(VLOOKUP("industry|PM25|Minor restricted activity days", US_national_yearly!$D:$AM, 18, FALSE) / VLOOKUP("industry|PM25|Minor restricted activity days", US_national_yearly!$D:$AM, 10, FALSE), 1)</f>
        <v>3.220362147787152</v>
      </c>
      <c r="K14" s="7">
        <f>$B14 * IFERROR(VLOOKUP("industry|PM25|Minor restricted activity days", US_national_yearly!$D:$AM, 19, FALSE) / VLOOKUP("industry|PM25|Minor restricted activity days", US_national_yearly!$D:$AM, 10, FALSE), 1)</f>
        <v>3.2394707324322507</v>
      </c>
      <c r="L14" s="7">
        <f>$B14 * IFERROR(VLOOKUP("industry|PM25|Minor restricted activity days", US_national_yearly!$D:$AM, 20, FALSE) / VLOOKUP("industry|PM25|Minor restricted activity days", US_national_yearly!$D:$AM, 10, FALSE), 1)</f>
        <v>3.2585793170773498</v>
      </c>
      <c r="M14" s="7">
        <f>$B14 * IFERROR(VLOOKUP("industry|PM25|Minor restricted activity days", US_national_yearly!$D:$AM, 21, FALSE) / VLOOKUP("industry|PM25|Minor restricted activity days", US_national_yearly!$D:$AM, 10, FALSE), 1)</f>
        <v>3.2776879017224494</v>
      </c>
      <c r="N14" s="7">
        <f>$B14 * IFERROR(VLOOKUP("industry|PM25|Minor restricted activity days", US_national_yearly!$D:$AM, 22, FALSE) / VLOOKUP("industry|PM25|Minor restricted activity days", US_national_yearly!$D:$AM, 10, FALSE), 1)</f>
        <v>3.3037921151470768</v>
      </c>
      <c r="O14" s="7">
        <f>$B14 * IFERROR(VLOOKUP("industry|PM25|Minor restricted activity days", US_national_yearly!$D:$AM, 23, FALSE) / VLOOKUP("industry|PM25|Minor restricted activity days", US_national_yearly!$D:$AM, 10, FALSE), 1)</f>
        <v>3.3298963285717074</v>
      </c>
      <c r="P14" s="7">
        <f>$B14 * IFERROR(VLOOKUP("industry|PM25|Minor restricted activity days", US_national_yearly!$D:$AM, 24, FALSE) / VLOOKUP("industry|PM25|Minor restricted activity days", US_national_yearly!$D:$AM, 10, FALSE), 1)</f>
        <v>3.3560005419963352</v>
      </c>
      <c r="Q14" s="7">
        <f>$B14 * IFERROR(VLOOKUP("industry|PM25|Minor restricted activity days", US_national_yearly!$D:$AM, 25, FALSE) / VLOOKUP("industry|PM25|Minor restricted activity days", US_national_yearly!$D:$AM, 10, FALSE), 1)</f>
        <v>3.3821047554209662</v>
      </c>
      <c r="R14" s="7">
        <f>$B14 * IFERROR(VLOOKUP("industry|PM25|Minor restricted activity days", US_national_yearly!$D:$AM, 26, FALSE) / VLOOKUP("industry|PM25|Minor restricted activity days", US_national_yearly!$D:$AM, 10, FALSE), 1)</f>
        <v>3.4082089688455941</v>
      </c>
      <c r="S14" s="7">
        <f>$B14 * IFERROR(VLOOKUP("industry|PM25|Minor restricted activity days", US_national_yearly!$D:$AM, 27, FALSE) / VLOOKUP("industry|PM25|Minor restricted activity days", US_national_yearly!$D:$AM, 10, FALSE), 1)</f>
        <v>3.4345637929283783</v>
      </c>
      <c r="T14" s="7">
        <f>$B14 * IFERROR(VLOOKUP("industry|PM25|Minor restricted activity days", US_national_yearly!$D:$AM, 28, FALSE) / VLOOKUP("industry|PM25|Minor restricted activity days", US_national_yearly!$D:$AM, 10, FALSE), 1)</f>
        <v>3.4609186170111639</v>
      </c>
      <c r="U14" s="7">
        <f>$B14 * IFERROR(VLOOKUP("industry|PM25|Minor restricted activity days", US_national_yearly!$D:$AM, 29, FALSE) / VLOOKUP("industry|PM25|Minor restricted activity days", US_national_yearly!$D:$AM, 10, FALSE), 1)</f>
        <v>3.4872734410939481</v>
      </c>
      <c r="V14" s="7">
        <f>$B14 * IFERROR(VLOOKUP("industry|PM25|Minor restricted activity days", US_national_yearly!$D:$AM, 30, FALSE) / VLOOKUP("industry|PM25|Minor restricted activity days", US_national_yearly!$D:$AM, 10, FALSE), 1)</f>
        <v>3.5136282651767328</v>
      </c>
      <c r="W14" s="7">
        <f>$B14 * IFERROR(VLOOKUP("industry|PM25|Minor restricted activity days", US_national_yearly!$D:$AM, 31, FALSE) / VLOOKUP("industry|PM25|Minor restricted activity days", US_national_yearly!$D:$AM, 10, FALSE), 1)</f>
        <v>3.5399830892595179</v>
      </c>
      <c r="X14" s="7">
        <f>$B14 * IFERROR(VLOOKUP("industry|PM25|Minor restricted activity days", US_national_yearly!$D:$AM, 32, FALSE) / VLOOKUP("industry|PM25|Minor restricted activity days", US_national_yearly!$D:$AM, 10, FALSE), 1)</f>
        <v>3.5628844661952828</v>
      </c>
      <c r="Y14" s="7">
        <f>$B14 * IFERROR(VLOOKUP("industry|PM25|Minor restricted activity days", US_national_yearly!$D:$AM, 33, FALSE) / VLOOKUP("industry|PM25|Minor restricted activity days", US_national_yearly!$D:$AM, 10, FALSE), 1)</f>
        <v>3.5857858431310481</v>
      </c>
      <c r="Z14" s="7">
        <f>$B14 * IFERROR(VLOOKUP("industry|PM25|Minor restricted activity days", US_national_yearly!$D:$AM, 34, FALSE) / VLOOKUP("industry|PM25|Minor restricted activity days", US_national_yearly!$D:$AM, 10, FALSE), 1)</f>
        <v>3.6086872200668139</v>
      </c>
      <c r="AA14" s="7">
        <f>$B14 * IFERROR(VLOOKUP("industry|PM25|Minor restricted activity days", US_national_yearly!$D:$AM, 35, FALSE) / VLOOKUP("industry|PM25|Minor restricted activity days", US_national_yearly!$D:$AM, 10, FALSE), 1)</f>
        <v>3.6315885970025792</v>
      </c>
      <c r="AB14" s="7">
        <f>$B14 * IFERROR(VLOOKUP("industry|PM25|Minor restricted activity days", US_national_yearly!$D:$AM, 36, FALSE) / VLOOKUP("industry|PM25|Minor restricted activity days", US_national_yearly!$D:$AM, 10, FALSE), 1)</f>
        <v>3.654489973938345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0.53269731394871578</v>
      </c>
      <c r="C15" s="7">
        <f>$B15 * IFERROR(VLOOKUP("industry|PM25|Work loss days", US_national_yearly!$D:$AM, 11, FALSE) / VLOOKUP("industry|PM25|Work loss days", US_national_yearly!$D:$AM, 10, FALSE), 1)</f>
        <v>0.53434888949967041</v>
      </c>
      <c r="D15" s="7">
        <f>$B15 * IFERROR(VLOOKUP("industry|PM25|Work loss days", US_national_yearly!$D:$AM, 12, FALSE) / VLOOKUP("industry|PM25|Work loss days", US_national_yearly!$D:$AM, 10, FALSE), 1)</f>
        <v>0.53600046505062493</v>
      </c>
      <c r="E15" s="7">
        <f>$B15 * IFERROR(VLOOKUP("industry|PM25|Work loss days", US_national_yearly!$D:$AM, 13, FALSE) / VLOOKUP("industry|PM25|Work loss days", US_national_yearly!$D:$AM, 10, FALSE), 1)</f>
        <v>0.53765204060157945</v>
      </c>
      <c r="F15" s="7">
        <f>$B15 * IFERROR(VLOOKUP("industry|PM25|Work loss days", US_national_yearly!$D:$AM, 14, FALSE) / VLOOKUP("industry|PM25|Work loss days", US_national_yearly!$D:$AM, 10, FALSE), 1)</f>
        <v>0.53930361615253408</v>
      </c>
      <c r="G15" s="7">
        <f>$B15 * IFERROR(VLOOKUP("industry|PM25|Work loss days", US_national_yearly!$D:$AM, 15, FALSE) / VLOOKUP("industry|PM25|Work loss days", US_national_yearly!$D:$AM, 10, FALSE), 1)</f>
        <v>0.54145982034827955</v>
      </c>
      <c r="H15" s="7">
        <f>$B15 * IFERROR(VLOOKUP("industry|PM25|Work loss days", US_national_yearly!$D:$AM, 16, FALSE) / VLOOKUP("industry|PM25|Work loss days", US_national_yearly!$D:$AM, 10, FALSE), 1)</f>
        <v>0.54361602454402502</v>
      </c>
      <c r="I15" s="7">
        <f>$B15 * IFERROR(VLOOKUP("industry|PM25|Work loss days", US_national_yearly!$D:$AM, 17, FALSE) / VLOOKUP("industry|PM25|Work loss days", US_national_yearly!$D:$AM, 10, FALSE), 1)</f>
        <v>0.54677339372837452</v>
      </c>
      <c r="J15" s="7">
        <f>$B15 * IFERROR(VLOOKUP("industry|PM25|Work loss days", US_national_yearly!$D:$AM, 18, FALSE) / VLOOKUP("industry|PM25|Work loss days", US_national_yearly!$D:$AM, 10, FALSE), 1)</f>
        <v>0.54993076291272391</v>
      </c>
      <c r="K15" s="7">
        <f>$B15 * IFERROR(VLOOKUP("industry|PM25|Work loss days", US_national_yearly!$D:$AM, 19, FALSE) / VLOOKUP("industry|PM25|Work loss days", US_national_yearly!$D:$AM, 10, FALSE), 1)</f>
        <v>0.5530881320970733</v>
      </c>
      <c r="L15" s="7">
        <f>$B15 * IFERROR(VLOOKUP("industry|PM25|Work loss days", US_national_yearly!$D:$AM, 20, FALSE) / VLOOKUP("industry|PM25|Work loss days", US_national_yearly!$D:$AM, 10, FALSE), 1)</f>
        <v>0.55624550128142269</v>
      </c>
      <c r="M15" s="7">
        <f>$B15 * IFERROR(VLOOKUP("industry|PM25|Work loss days", US_national_yearly!$D:$AM, 21, FALSE) / VLOOKUP("industry|PM25|Work loss days", US_national_yearly!$D:$AM, 10, FALSE), 1)</f>
        <v>0.5594028704657722</v>
      </c>
      <c r="N15" s="7">
        <f>$B15 * IFERROR(VLOOKUP("industry|PM25|Work loss days", US_national_yearly!$D:$AM, 22, FALSE) / VLOOKUP("industry|PM25|Work loss days", US_national_yearly!$D:$AM, 10, FALSE), 1)</f>
        <v>0.56338705594681637</v>
      </c>
      <c r="O15" s="7">
        <f>$B15 * IFERROR(VLOOKUP("industry|PM25|Work loss days", US_national_yearly!$D:$AM, 23, FALSE) / VLOOKUP("industry|PM25|Work loss days", US_national_yearly!$D:$AM, 10, FALSE), 1)</f>
        <v>0.56737124142786055</v>
      </c>
      <c r="P15" s="7">
        <f>$B15 * IFERROR(VLOOKUP("industry|PM25|Work loss days", US_national_yearly!$D:$AM, 24, FALSE) / VLOOKUP("industry|PM25|Work loss days", US_national_yearly!$D:$AM, 10, FALSE), 1)</f>
        <v>0.57135542690890473</v>
      </c>
      <c r="Q15" s="7">
        <f>$B15 * IFERROR(VLOOKUP("industry|PM25|Work loss days", US_national_yearly!$D:$AM, 25, FALSE) / VLOOKUP("industry|PM25|Work loss days", US_national_yearly!$D:$AM, 10, FALSE), 1)</f>
        <v>0.57533961238994891</v>
      </c>
      <c r="R15" s="7">
        <f>$B15 * IFERROR(VLOOKUP("industry|PM25|Work loss days", US_national_yearly!$D:$AM, 26, FALSE) / VLOOKUP("industry|PM25|Work loss days", US_national_yearly!$D:$AM, 10, FALSE), 1)</f>
        <v>0.57932379787099297</v>
      </c>
      <c r="S15" s="7">
        <f>$B15 * IFERROR(VLOOKUP("industry|PM25|Work loss days", US_national_yearly!$D:$AM, 27, FALSE) / VLOOKUP("industry|PM25|Work loss days", US_national_yearly!$D:$AM, 10, FALSE), 1)</f>
        <v>0.58374169473756943</v>
      </c>
      <c r="T15" s="7">
        <f>$B15 * IFERROR(VLOOKUP("industry|PM25|Work loss days", US_national_yearly!$D:$AM, 28, FALSE) / VLOOKUP("industry|PM25|Work loss days", US_national_yearly!$D:$AM, 10, FALSE), 1)</f>
        <v>0.58815959160414566</v>
      </c>
      <c r="U15" s="7">
        <f>$B15 * IFERROR(VLOOKUP("industry|PM25|Work loss days", US_national_yearly!$D:$AM, 29, FALSE) / VLOOKUP("industry|PM25|Work loss days", US_national_yearly!$D:$AM, 10, FALSE), 1)</f>
        <v>0.592577488470722</v>
      </c>
      <c r="V15" s="7">
        <f>$B15 * IFERROR(VLOOKUP("industry|PM25|Work loss days", US_national_yearly!$D:$AM, 30, FALSE) / VLOOKUP("industry|PM25|Work loss days", US_national_yearly!$D:$AM, 10, FALSE), 1)</f>
        <v>0.59699538533729835</v>
      </c>
      <c r="W15" s="7">
        <f>$B15 * IFERROR(VLOOKUP("industry|PM25|Work loss days", US_national_yearly!$D:$AM, 31, FALSE) / VLOOKUP("industry|PM25|Work loss days", US_national_yearly!$D:$AM, 10, FALSE), 1)</f>
        <v>0.60141328220387469</v>
      </c>
      <c r="X15" s="7">
        <f>$B15 * IFERROR(VLOOKUP("industry|PM25|Work loss days", US_national_yearly!$D:$AM, 32, FALSE) / VLOOKUP("industry|PM25|Work loss days", US_national_yearly!$D:$AM, 10, FALSE), 1)</f>
        <v>0.6053391644792574</v>
      </c>
      <c r="Y15" s="7">
        <f>$B15 * IFERROR(VLOOKUP("industry|PM25|Work loss days", US_national_yearly!$D:$AM, 33, FALSE) / VLOOKUP("industry|PM25|Work loss days", US_national_yearly!$D:$AM, 10, FALSE), 1)</f>
        <v>0.6092650467546401</v>
      </c>
      <c r="Z15" s="7">
        <f>$B15 * IFERROR(VLOOKUP("industry|PM25|Work loss days", US_national_yearly!$D:$AM, 34, FALSE) / VLOOKUP("industry|PM25|Work loss days", US_national_yearly!$D:$AM, 10, FALSE), 1)</f>
        <v>0.61319092903002292</v>
      </c>
      <c r="AA15" s="7">
        <f>$B15 * IFERROR(VLOOKUP("industry|PM25|Work loss days", US_national_yearly!$D:$AM, 35, FALSE) / VLOOKUP("industry|PM25|Work loss days", US_national_yearly!$D:$AM, 10, FALSE), 1)</f>
        <v>0.61711681130540552</v>
      </c>
      <c r="AB15" s="7">
        <f>$B15 * IFERROR(VLOOKUP("industry|PM25|Work loss days", US_national_yearly!$D:$AM, 36, FALSE) / VLOOKUP("industry|PM25|Work loss days", US_national_yearly!$D:$AM, 10, FALSE), 1)</f>
        <v>0.62104269358078823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6.2455562256527998E-4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6.432364816516264E-4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6.6191734073797282E-4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6.8059819982431934E-4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6.9927905891066565E-4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7.1718331585263119E-4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7.3508757279459652E-4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7.5045994640778556E-4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7.6583232002097449E-4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7.8120469363416364E-4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7.9657706724735268E-4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8.1194944086054161E-4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8.2221824439027255E-4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8.3248704792000328E-4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8.4275585144973411E-4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8.5302465497946495E-4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8.6329345850919578E-4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8.6879523441638952E-4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8.7429701032358325E-4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8.7979878623077709E-4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8.8530056213797072E-4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8.9080233804516445E-4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8.9458037760805655E-4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8.9835841717094843E-4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9.0213645673384052E-4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9.059144962967324E-4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9.0969253585962439E-4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2.6974489480226058E-5</v>
      </c>
      <c r="C2" s="7">
        <f>$B2 * IFERROR(VLOOKUP("industry|NOx|Premature mortality", US_national_yearly!$D:$AM, 11, FALSE) / VLOOKUP("industry|NOx|Premature mortality", US_national_yearly!$D:$AM, 10, FALSE), 1)</f>
        <v>2.7373354175947255E-5</v>
      </c>
      <c r="D2" s="7">
        <f>$B2 * IFERROR(VLOOKUP("industry|NOx|Premature mortality", US_national_yearly!$D:$AM, 12, FALSE) / VLOOKUP("industry|NOx|Premature mortality", US_national_yearly!$D:$AM, 10, FALSE), 1)</f>
        <v>2.7772218871668457E-5</v>
      </c>
      <c r="E2" s="7">
        <f>$B2 * IFERROR(VLOOKUP("industry|NOx|Premature mortality", US_national_yearly!$D:$AM, 13, FALSE) / VLOOKUP("industry|NOx|Premature mortality", US_national_yearly!$D:$AM, 10, FALSE), 1)</f>
        <v>2.8171083567389654E-5</v>
      </c>
      <c r="F2" s="7">
        <f>$B2 * IFERROR(VLOOKUP("industry|NOx|Premature mortality", US_national_yearly!$D:$AM, 14, FALSE) / VLOOKUP("industry|NOx|Premature mortality", US_national_yearly!$D:$AM, 10, FALSE), 1)</f>
        <v>2.8569948263110856E-5</v>
      </c>
      <c r="G2" s="7">
        <f>$B2 * IFERROR(VLOOKUP("industry|NOx|Premature mortality", US_national_yearly!$D:$AM, 15, FALSE) / VLOOKUP("industry|NOx|Premature mortality", US_national_yearly!$D:$AM, 10, FALSE), 1)</f>
        <v>2.9285262030383765E-5</v>
      </c>
      <c r="H2" s="7">
        <f>$B2 * IFERROR(VLOOKUP("industry|NOx|Premature mortality", US_national_yearly!$D:$AM, 16, FALSE) / VLOOKUP("industry|NOx|Premature mortality", US_national_yearly!$D:$AM, 10, FALSE), 1)</f>
        <v>3.0000575797656673E-5</v>
      </c>
      <c r="I2" s="7">
        <f>$B2 * IFERROR(VLOOKUP("industry|NOx|Premature mortality", US_national_yearly!$D:$AM, 17, FALSE) / VLOOKUP("industry|NOx|Premature mortality", US_national_yearly!$D:$AM, 10, FALSE), 1)</f>
        <v>3.0464623907706035E-5</v>
      </c>
      <c r="J2" s="7">
        <f>$B2 * IFERROR(VLOOKUP("industry|NOx|Premature mortality", US_national_yearly!$D:$AM, 18, FALSE) / VLOOKUP("industry|NOx|Premature mortality", US_national_yearly!$D:$AM, 10, FALSE), 1)</f>
        <v>3.0928672017755394E-5</v>
      </c>
      <c r="K2" s="7">
        <f>$B2 * IFERROR(VLOOKUP("industry|NOx|Premature mortality", US_national_yearly!$D:$AM, 19, FALSE) / VLOOKUP("industry|NOx|Premature mortality", US_national_yearly!$D:$AM, 10, FALSE), 1)</f>
        <v>3.1392720127804759E-5</v>
      </c>
      <c r="L2" s="7">
        <f>$B2 * IFERROR(VLOOKUP("industry|NOx|Premature mortality", US_national_yearly!$D:$AM, 20, FALSE) / VLOOKUP("industry|NOx|Premature mortality", US_national_yearly!$D:$AM, 10, FALSE), 1)</f>
        <v>3.1856768237854125E-5</v>
      </c>
      <c r="M2" s="7">
        <f>$B2 * IFERROR(VLOOKUP("industry|NOx|Premature mortality", US_national_yearly!$D:$AM, 21, FALSE) / VLOOKUP("industry|NOx|Premature mortality", US_national_yearly!$D:$AM, 10, FALSE), 1)</f>
        <v>3.2320816347903483E-5</v>
      </c>
      <c r="N2" s="7">
        <f>$B2 * IFERROR(VLOOKUP("industry|NOx|Premature mortality", US_national_yearly!$D:$AM, 22, FALSE) / VLOOKUP("industry|NOx|Premature mortality", US_national_yearly!$D:$AM, 10, FALSE), 1)</f>
        <v>3.2666128695625502E-5</v>
      </c>
      <c r="O2" s="7">
        <f>$B2 * IFERROR(VLOOKUP("industry|NOx|Premature mortality", US_national_yearly!$D:$AM, 23, FALSE) / VLOOKUP("industry|NOx|Premature mortality", US_national_yearly!$D:$AM, 10, FALSE), 1)</f>
        <v>3.301144104334752E-5</v>
      </c>
      <c r="P2" s="7">
        <f>$B2 * IFERROR(VLOOKUP("industry|NOx|Premature mortality", US_national_yearly!$D:$AM, 24, FALSE) / VLOOKUP("industry|NOx|Premature mortality", US_national_yearly!$D:$AM, 10, FALSE), 1)</f>
        <v>3.3356753391069532E-5</v>
      </c>
      <c r="Q2" s="7">
        <f>$B2 * IFERROR(VLOOKUP("industry|NOx|Premature mortality", US_national_yearly!$D:$AM, 25, FALSE) / VLOOKUP("industry|NOx|Premature mortality", US_national_yearly!$D:$AM, 10, FALSE), 1)</f>
        <v>3.370206573879155E-5</v>
      </c>
      <c r="R2" s="7">
        <f>$B2 * IFERROR(VLOOKUP("industry|NOx|Premature mortality", US_national_yearly!$D:$AM, 26, FALSE) / VLOOKUP("industry|NOx|Premature mortality", US_national_yearly!$D:$AM, 10, FALSE), 1)</f>
        <v>3.4047378086513562E-5</v>
      </c>
      <c r="S2" s="7">
        <f>$B2 * IFERROR(VLOOKUP("industry|NOx|Premature mortality", US_national_yearly!$D:$AM, 27, FALSE) / VLOOKUP("industry|NOx|Premature mortality", US_national_yearly!$D:$AM, 10, FALSE), 1)</f>
        <v>3.420817636366046E-5</v>
      </c>
      <c r="T2" s="7">
        <f>$B2 * IFERROR(VLOOKUP("industry|NOx|Premature mortality", US_national_yearly!$D:$AM, 28, FALSE) / VLOOKUP("industry|NOx|Premature mortality", US_national_yearly!$D:$AM, 10, FALSE), 1)</f>
        <v>3.4368974640807358E-5</v>
      </c>
      <c r="U2" s="7">
        <f>$B2 * IFERROR(VLOOKUP("industry|NOx|Premature mortality", US_national_yearly!$D:$AM, 29, FALSE) / VLOOKUP("industry|NOx|Premature mortality", US_national_yearly!$D:$AM, 10, FALSE), 1)</f>
        <v>3.452977291795425E-5</v>
      </c>
      <c r="V2" s="7">
        <f>$B2 * IFERROR(VLOOKUP("industry|NOx|Premature mortality", US_national_yearly!$D:$AM, 30, FALSE) / VLOOKUP("industry|NOx|Premature mortality", US_national_yearly!$D:$AM, 10, FALSE), 1)</f>
        <v>3.4690571195101148E-5</v>
      </c>
      <c r="W2" s="7">
        <f>$B2 * IFERROR(VLOOKUP("industry|NOx|Premature mortality", US_national_yearly!$D:$AM, 31, FALSE) / VLOOKUP("industry|NOx|Premature mortality", US_national_yearly!$D:$AM, 10, FALSE), 1)</f>
        <v>3.4851369472248032E-5</v>
      </c>
      <c r="X2" s="7">
        <f>$B2 * IFERROR(VLOOKUP("industry|NOx|Premature mortality", US_national_yearly!$D:$AM, 32, FALSE) / VLOOKUP("industry|NOx|Premature mortality", US_national_yearly!$D:$AM, 10, FALSE), 1)</f>
        <v>3.486365819084883E-5</v>
      </c>
      <c r="Y2" s="7">
        <f>$B2 * IFERROR(VLOOKUP("industry|NOx|Premature mortality", US_national_yearly!$D:$AM, 33, FALSE) / VLOOKUP("industry|NOx|Premature mortality", US_national_yearly!$D:$AM, 10, FALSE), 1)</f>
        <v>3.4875946909449628E-5</v>
      </c>
      <c r="Z2" s="7">
        <f>$B2 * IFERROR(VLOOKUP("industry|NOx|Premature mortality", US_national_yearly!$D:$AM, 34, FALSE) / VLOOKUP("industry|NOx|Premature mortality", US_national_yearly!$D:$AM, 10, FALSE), 1)</f>
        <v>3.4888235628050426E-5</v>
      </c>
      <c r="AA2" s="7">
        <f>$B2 * IFERROR(VLOOKUP("industry|NOx|Premature mortality", US_national_yearly!$D:$AM, 35, FALSE) / VLOOKUP("industry|NOx|Premature mortality", US_national_yearly!$D:$AM, 10, FALSE), 1)</f>
        <v>3.4900524346651223E-5</v>
      </c>
      <c r="AB2" s="7">
        <f>$B2 * IFERROR(VLOOKUP("industry|NOx|Premature mortality", US_national_yearly!$D:$AM, 36, FALSE) / VLOOKUP("industry|NOx|Premature mortality", US_national_yearly!$D:$AM, 10, FALSE), 1)</f>
        <v>3.4912813065252021E-5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7.1558603852889692E-8</v>
      </c>
      <c r="C3" s="7">
        <f>$B3 * IFERROR(VLOOKUP("industry|NOx|Infant mortality", US_national_yearly!$D:$AM, 11, FALSE) / VLOOKUP("industry|NOx|Infant mortality", US_national_yearly!$D:$AM, 10, FALSE), 1)</f>
        <v>7.0873299095735503E-8</v>
      </c>
      <c r="D3" s="7">
        <f>$B3 * IFERROR(VLOOKUP("industry|NOx|Infant mortality", US_national_yearly!$D:$AM, 12, FALSE) / VLOOKUP("industry|NOx|Infant mortality", US_national_yearly!$D:$AM, 10, FALSE), 1)</f>
        <v>7.0187994338581315E-8</v>
      </c>
      <c r="E3" s="7">
        <f>$B3 * IFERROR(VLOOKUP("industry|NOx|Infant mortality", US_national_yearly!$D:$AM, 13, FALSE) / VLOOKUP("industry|NOx|Infant mortality", US_national_yearly!$D:$AM, 10, FALSE), 1)</f>
        <v>6.9502689581427126E-8</v>
      </c>
      <c r="F3" s="7">
        <f>$B3 * IFERROR(VLOOKUP("industry|NOx|Infant mortality", US_national_yearly!$D:$AM, 14, FALSE) / VLOOKUP("industry|NOx|Infant mortality", US_national_yearly!$D:$AM, 10, FALSE), 1)</f>
        <v>6.8817384824272924E-8</v>
      </c>
      <c r="G3" s="7">
        <f>$B3 * IFERROR(VLOOKUP("industry|NOx|Infant mortality", US_national_yearly!$D:$AM, 15, FALSE) / VLOOKUP("industry|NOx|Infant mortality", US_national_yearly!$D:$AM, 10, FALSE), 1)</f>
        <v>4.5645761758464519E-8</v>
      </c>
      <c r="H3" s="7">
        <f>$B3 * IFERROR(VLOOKUP("industry|NOx|Infant mortality", US_national_yearly!$D:$AM, 16, FALSE) / VLOOKUP("industry|NOx|Infant mortality", US_national_yearly!$D:$AM, 10, FALSE), 1)</f>
        <v>2.2474138692656108E-8</v>
      </c>
      <c r="I3" s="7">
        <f>$B3 * IFERROR(VLOOKUP("industry|NOx|Infant mortality", US_national_yearly!$D:$AM, 17, FALSE) / VLOOKUP("industry|NOx|Infant mortality", US_national_yearly!$D:$AM, 10, FALSE), 1)</f>
        <v>2.2312109856184533E-8</v>
      </c>
      <c r="J3" s="7">
        <f>$B3 * IFERROR(VLOOKUP("industry|NOx|Infant mortality", US_national_yearly!$D:$AM, 18, FALSE) / VLOOKUP("industry|NOx|Infant mortality", US_national_yearly!$D:$AM, 10, FALSE), 1)</f>
        <v>2.2150081019712964E-8</v>
      </c>
      <c r="K3" s="7">
        <f>$B3 * IFERROR(VLOOKUP("industry|NOx|Infant mortality", US_national_yearly!$D:$AM, 19, FALSE) / VLOOKUP("industry|NOx|Infant mortality", US_national_yearly!$D:$AM, 10, FALSE), 1)</f>
        <v>2.1988052183241388E-8</v>
      </c>
      <c r="L3" s="7">
        <f>$B3 * IFERROR(VLOOKUP("industry|NOx|Infant mortality", US_national_yearly!$D:$AM, 20, FALSE) / VLOOKUP("industry|NOx|Infant mortality", US_national_yearly!$D:$AM, 10, FALSE), 1)</f>
        <v>2.1826023346769813E-8</v>
      </c>
      <c r="M3" s="7">
        <f>$B3 * IFERROR(VLOOKUP("industry|NOx|Infant mortality", US_national_yearly!$D:$AM, 21, FALSE) / VLOOKUP("industry|NOx|Infant mortality", US_national_yearly!$D:$AM, 10, FALSE), 1)</f>
        <v>2.1663994510298238E-8</v>
      </c>
      <c r="N3" s="7">
        <f>$B3 * IFERROR(VLOOKUP("industry|NOx|Infant mortality", US_national_yearly!$D:$AM, 22, FALSE) / VLOOKUP("industry|NOx|Infant mortality", US_national_yearly!$D:$AM, 10, FALSE), 1)</f>
        <v>2.1554826788912201E-8</v>
      </c>
      <c r="O3" s="7">
        <f>$B3 * IFERROR(VLOOKUP("industry|NOx|Infant mortality", US_national_yearly!$D:$AM, 23, FALSE) / VLOOKUP("industry|NOx|Infant mortality", US_national_yearly!$D:$AM, 10, FALSE), 1)</f>
        <v>2.1445659067526158E-8</v>
      </c>
      <c r="P3" s="7">
        <f>$B3 * IFERROR(VLOOKUP("industry|NOx|Infant mortality", US_national_yearly!$D:$AM, 24, FALSE) / VLOOKUP("industry|NOx|Infant mortality", US_national_yearly!$D:$AM, 10, FALSE), 1)</f>
        <v>2.1336491346140117E-8</v>
      </c>
      <c r="Q3" s="7">
        <f>$B3 * IFERROR(VLOOKUP("industry|NOx|Infant mortality", US_national_yearly!$D:$AM, 25, FALSE) / VLOOKUP("industry|NOx|Infant mortality", US_national_yearly!$D:$AM, 10, FALSE), 1)</f>
        <v>2.1227323624754081E-8</v>
      </c>
      <c r="R3" s="7">
        <f>$B3 * IFERROR(VLOOKUP("industry|NOx|Infant mortality", US_national_yearly!$D:$AM, 26, FALSE) / VLOOKUP("industry|NOx|Infant mortality", US_national_yearly!$D:$AM, 10, FALSE), 1)</f>
        <v>2.1118155903368044E-8</v>
      </c>
      <c r="S3" s="7">
        <f>$B3 * IFERROR(VLOOKUP("industry|NOx|Infant mortality", US_national_yearly!$D:$AM, 27, FALSE) / VLOOKUP("industry|NOx|Infant mortality", US_national_yearly!$D:$AM, 10, FALSE), 1)</f>
        <v>2.0988521185930898E-8</v>
      </c>
      <c r="T3" s="7">
        <f>$B3 * IFERROR(VLOOKUP("industry|NOx|Infant mortality", US_national_yearly!$D:$AM, 28, FALSE) / VLOOKUP("industry|NOx|Infant mortality", US_national_yearly!$D:$AM, 10, FALSE), 1)</f>
        <v>2.0858886468493756E-8</v>
      </c>
      <c r="U3" s="7">
        <f>$B3 * IFERROR(VLOOKUP("industry|NOx|Infant mortality", US_national_yearly!$D:$AM, 29, FALSE) / VLOOKUP("industry|NOx|Infant mortality", US_national_yearly!$D:$AM, 10, FALSE), 1)</f>
        <v>2.0729251751056611E-8</v>
      </c>
      <c r="V3" s="7">
        <f>$B3 * IFERROR(VLOOKUP("industry|NOx|Infant mortality", US_national_yearly!$D:$AM, 30, FALSE) / VLOOKUP("industry|NOx|Infant mortality", US_national_yearly!$D:$AM, 10, FALSE), 1)</f>
        <v>2.0599617033619468E-8</v>
      </c>
      <c r="W3" s="7">
        <f>$B3 * IFERROR(VLOOKUP("industry|NOx|Infant mortality", US_national_yearly!$D:$AM, 31, FALSE) / VLOOKUP("industry|NOx|Infant mortality", US_national_yearly!$D:$AM, 10, FALSE), 1)</f>
        <v>2.0469982316182326E-8</v>
      </c>
      <c r="X3" s="7">
        <f>$B3 * IFERROR(VLOOKUP("industry|NOx|Infant mortality", US_national_yearly!$D:$AM, 32, FALSE) / VLOOKUP("industry|NOx|Infant mortality", US_national_yearly!$D:$AM, 10, FALSE), 1)</f>
        <v>2.0333851508671082E-8</v>
      </c>
      <c r="Y3" s="7">
        <f>$B3 * IFERROR(VLOOKUP("industry|NOx|Infant mortality", US_national_yearly!$D:$AM, 33, FALSE) / VLOOKUP("industry|NOx|Infant mortality", US_national_yearly!$D:$AM, 10, FALSE), 1)</f>
        <v>2.0197720701159845E-8</v>
      </c>
      <c r="Z3" s="7">
        <f>$B3 * IFERROR(VLOOKUP("industry|NOx|Infant mortality", US_national_yearly!$D:$AM, 34, FALSE) / VLOOKUP("industry|NOx|Infant mortality", US_national_yearly!$D:$AM, 10, FALSE), 1)</f>
        <v>2.0061589893648604E-8</v>
      </c>
      <c r="AA3" s="7">
        <f>$B3 * IFERROR(VLOOKUP("industry|NOx|Infant mortality", US_national_yearly!$D:$AM, 35, FALSE) / VLOOKUP("industry|NOx|Infant mortality", US_national_yearly!$D:$AM, 10, FALSE), 1)</f>
        <v>1.9925459086137363E-8</v>
      </c>
      <c r="AB3" s="7">
        <f>$B3 * IFERROR(VLOOKUP("industry|NOx|Infant mortality", US_national_yearly!$D:$AM, 36, FALSE) / VLOOKUP("industry|NOx|Infant mortality", US_national_yearly!$D:$AM, 10, FALSE), 1)</f>
        <v>1.9789328278626123E-8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8.3313411810228245E-5</v>
      </c>
      <c r="C6" s="7">
        <f>$B6 * IFERROR(VLOOKUP("industry|NOx|Asthma symptoms cough", US_national_yearly!$D:$AM, 11, FALSE) / VLOOKUP("industry|NOx|Asthma symptoms cough", US_national_yearly!$D:$AM, 10, FALSE), 1)</f>
        <v>8.4453167553535349E-5</v>
      </c>
      <c r="D6" s="7">
        <f>$B6 * IFERROR(VLOOKUP("industry|NOx|Asthma symptoms cough", US_national_yearly!$D:$AM, 12, FALSE) / VLOOKUP("industry|NOx|Asthma symptoms cough", US_national_yearly!$D:$AM, 10, FALSE), 1)</f>
        <v>8.559292329684244E-5</v>
      </c>
      <c r="E6" s="7">
        <f>$B6 * IFERROR(VLOOKUP("industry|NOx|Asthma symptoms cough", US_national_yearly!$D:$AM, 13, FALSE) / VLOOKUP("industry|NOx|Asthma symptoms cough", US_national_yearly!$D:$AM, 10, FALSE), 1)</f>
        <v>8.6732679040149544E-5</v>
      </c>
      <c r="F6" s="7">
        <f>$B6 * IFERROR(VLOOKUP("industry|NOx|Asthma symptoms cough", US_national_yearly!$D:$AM, 14, FALSE) / VLOOKUP("industry|NOx|Asthma symptoms cough", US_national_yearly!$D:$AM, 10, FALSE), 1)</f>
        <v>8.7872434783456649E-5</v>
      </c>
      <c r="G6" s="7">
        <f>$B6 * IFERROR(VLOOKUP("industry|NOx|Asthma symptoms cough", US_national_yearly!$D:$AM, 15, FALSE) / VLOOKUP("industry|NOx|Asthma symptoms cough", US_national_yearly!$D:$AM, 10, FALSE), 1)</f>
        <v>8.8786342070790882E-5</v>
      </c>
      <c r="H6" s="7">
        <f>$B6 * IFERROR(VLOOKUP("industry|NOx|Asthma symptoms cough", US_national_yearly!$D:$AM, 16, FALSE) / VLOOKUP("industry|NOx|Asthma symptoms cough", US_national_yearly!$D:$AM, 10, FALSE), 1)</f>
        <v>8.9700249358125143E-5</v>
      </c>
      <c r="I6" s="7">
        <f>$B6 * IFERROR(VLOOKUP("industry|NOx|Asthma symptoms cough", US_national_yearly!$D:$AM, 17, FALSE) / VLOOKUP("industry|NOx|Asthma symptoms cough", US_national_yearly!$D:$AM, 10, FALSE), 1)</f>
        <v>9.0018297195966693E-5</v>
      </c>
      <c r="J6" s="7">
        <f>$B6 * IFERROR(VLOOKUP("industry|NOx|Asthma symptoms cough", US_national_yearly!$D:$AM, 18, FALSE) / VLOOKUP("industry|NOx|Asthma symptoms cough", US_national_yearly!$D:$AM, 10, FALSE), 1)</f>
        <v>9.0336345033808257E-5</v>
      </c>
      <c r="K6" s="7">
        <f>$B6 * IFERROR(VLOOKUP("industry|NOx|Asthma symptoms cough", US_national_yearly!$D:$AM, 19, FALSE) / VLOOKUP("industry|NOx|Asthma symptoms cough", US_national_yearly!$D:$AM, 10, FALSE), 1)</f>
        <v>9.0654392871649807E-5</v>
      </c>
      <c r="L6" s="7">
        <f>$B6 * IFERROR(VLOOKUP("industry|NOx|Asthma symptoms cough", US_national_yearly!$D:$AM, 20, FALSE) / VLOOKUP("industry|NOx|Asthma symptoms cough", US_national_yearly!$D:$AM, 10, FALSE), 1)</f>
        <v>9.0972440709491371E-5</v>
      </c>
      <c r="M6" s="7">
        <f>$B6 * IFERROR(VLOOKUP("industry|NOx|Asthma symptoms cough", US_national_yearly!$D:$AM, 21, FALSE) / VLOOKUP("industry|NOx|Asthma symptoms cough", US_national_yearly!$D:$AM, 10, FALSE), 1)</f>
        <v>9.1290488547332948E-5</v>
      </c>
      <c r="N6" s="7">
        <f>$B6 * IFERROR(VLOOKUP("industry|NOx|Asthma symptoms cough", US_national_yearly!$D:$AM, 22, FALSE) / VLOOKUP("industry|NOx|Asthma symptoms cough", US_national_yearly!$D:$AM, 10, FALSE), 1)</f>
        <v>9.1653548836512951E-5</v>
      </c>
      <c r="O6" s="7">
        <f>$B6 * IFERROR(VLOOKUP("industry|NOx|Asthma symptoms cough", US_national_yearly!$D:$AM, 23, FALSE) / VLOOKUP("industry|NOx|Asthma symptoms cough", US_national_yearly!$D:$AM, 10, FALSE), 1)</f>
        <v>9.2016609125692927E-5</v>
      </c>
      <c r="P6" s="7">
        <f>$B6 * IFERROR(VLOOKUP("industry|NOx|Asthma symptoms cough", US_national_yearly!$D:$AM, 24, FALSE) / VLOOKUP("industry|NOx|Asthma symptoms cough", US_national_yearly!$D:$AM, 10, FALSE), 1)</f>
        <v>9.237966941487293E-5</v>
      </c>
      <c r="Q6" s="7">
        <f>$B6 * IFERROR(VLOOKUP("industry|NOx|Asthma symptoms cough", US_national_yearly!$D:$AM, 25, FALSE) / VLOOKUP("industry|NOx|Asthma symptoms cough", US_national_yearly!$D:$AM, 10, FALSE), 1)</f>
        <v>9.2742729704052934E-5</v>
      </c>
      <c r="R6" s="7">
        <f>$B6 * IFERROR(VLOOKUP("industry|NOx|Asthma symptoms cough", US_national_yearly!$D:$AM, 26, FALSE) / VLOOKUP("industry|NOx|Asthma symptoms cough", US_national_yearly!$D:$AM, 10, FALSE), 1)</f>
        <v>9.3105789993232937E-5</v>
      </c>
      <c r="S6" s="7">
        <f>$B6 * IFERROR(VLOOKUP("industry|NOx|Asthma symptoms cough", US_national_yearly!$D:$AM, 27, FALSE) / VLOOKUP("industry|NOx|Asthma symptoms cough", US_national_yearly!$D:$AM, 10, FALSE), 1)</f>
        <v>9.3574121702306133E-5</v>
      </c>
      <c r="T6" s="7">
        <f>$B6 * IFERROR(VLOOKUP("industry|NOx|Asthma symptoms cough", US_national_yearly!$D:$AM, 28, FALSE) / VLOOKUP("industry|NOx|Asthma symptoms cough", US_national_yearly!$D:$AM, 10, FALSE), 1)</f>
        <v>9.4042453411379316E-5</v>
      </c>
      <c r="U6" s="7">
        <f>$B6 * IFERROR(VLOOKUP("industry|NOx|Asthma symptoms cough", US_national_yearly!$D:$AM, 29, FALSE) / VLOOKUP("industry|NOx|Asthma symptoms cough", US_national_yearly!$D:$AM, 10, FALSE), 1)</f>
        <v>9.4510785120452512E-5</v>
      </c>
      <c r="V6" s="7">
        <f>$B6 * IFERROR(VLOOKUP("industry|NOx|Asthma symptoms cough", US_national_yearly!$D:$AM, 30, FALSE) / VLOOKUP("industry|NOx|Asthma symptoms cough", US_national_yearly!$D:$AM, 10, FALSE), 1)</f>
        <v>9.4979116829525681E-5</v>
      </c>
      <c r="W6" s="7">
        <f>$B6 * IFERROR(VLOOKUP("industry|NOx|Asthma symptoms cough", US_national_yearly!$D:$AM, 31, FALSE) / VLOOKUP("industry|NOx|Asthma symptoms cough", US_national_yearly!$D:$AM, 10, FALSE), 1)</f>
        <v>9.5447448538598878E-5</v>
      </c>
      <c r="X6" s="7">
        <f>$B6 * IFERROR(VLOOKUP("industry|NOx|Asthma symptoms cough", US_national_yearly!$D:$AM, 32, FALSE) / VLOOKUP("industry|NOx|Asthma symptoms cough", US_national_yearly!$D:$AM, 10, FALSE), 1)</f>
        <v>9.5881628046970684E-5</v>
      </c>
      <c r="Y6" s="7">
        <f>$B6 * IFERROR(VLOOKUP("industry|NOx|Asthma symptoms cough", US_national_yearly!$D:$AM, 33, FALSE) / VLOOKUP("industry|NOx|Asthma symptoms cough", US_national_yearly!$D:$AM, 10, FALSE), 1)</f>
        <v>9.6315807555342464E-5</v>
      </c>
      <c r="Z6" s="7">
        <f>$B6 * IFERROR(VLOOKUP("industry|NOx|Asthma symptoms cough", US_national_yearly!$D:$AM, 34, FALSE) / VLOOKUP("industry|NOx|Asthma symptoms cough", US_national_yearly!$D:$AM, 10, FALSE), 1)</f>
        <v>9.6749987063714257E-5</v>
      </c>
      <c r="AA6" s="7">
        <f>$B6 * IFERROR(VLOOKUP("industry|NOx|Asthma symptoms cough", US_national_yearly!$D:$AM, 35, FALSE) / VLOOKUP("industry|NOx|Asthma symptoms cough", US_national_yearly!$D:$AM, 10, FALSE), 1)</f>
        <v>9.7184166572086036E-5</v>
      </c>
      <c r="AB6" s="7">
        <f>$B6 * IFERROR(VLOOKUP("industry|NOx|Asthma symptoms cough", US_national_yearly!$D:$AM, 36, FALSE) / VLOOKUP("industry|NOx|Asthma symptoms cough", US_national_yearly!$D:$AM, 10, FALSE), 1)</f>
        <v>9.7618346080457829E-5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1.121936990282917E-4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1.1372854689709055E-4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1.1526339476588941E-4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1.1679824263468828E-4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1.1833309050348716E-4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1.1956380037993763E-4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1.2079451025638814E-4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1.2122280819966061E-4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1.2165110614293308E-4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1.2207940408620556E-4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1.2250770202947809E-4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1.2293599997275056E-4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1.234249137683193E-4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1.2391382756388804E-4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1.2440274135945681E-4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1.248916551550256E-4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1.2538056895059434E-4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1.2601124611699745E-4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1.2664192328340059E-4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1.2727260044980373E-4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1.2790327761620686E-4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1.2853395478260995E-4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1.2911864101336848E-4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1.2970332724412698E-4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1.3028801347488548E-4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1.3087269970564396E-4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1.3145738593640246E-4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1.7141259753659943E-4</v>
      </c>
      <c r="C8" s="7">
        <f>$B8 * IFERROR(VLOOKUP("industry|NOx|Asthma symptoms wheeze", US_national_yearly!$D:$AM, 11, FALSE) / VLOOKUP("industry|NOx|Asthma symptoms wheeze", US_national_yearly!$D:$AM, 10, FALSE), 1)</f>
        <v>1.7375758003586829E-4</v>
      </c>
      <c r="D8" s="7">
        <f>$B8 * IFERROR(VLOOKUP("industry|NOx|Asthma symptoms wheeze", US_national_yearly!$D:$AM, 12, FALSE) / VLOOKUP("industry|NOx|Asthma symptoms wheeze", US_national_yearly!$D:$AM, 10, FALSE), 1)</f>
        <v>1.7610256253513718E-4</v>
      </c>
      <c r="E8" s="7">
        <f>$B8 * IFERROR(VLOOKUP("industry|NOx|Asthma symptoms wheeze", US_national_yearly!$D:$AM, 13, FALSE) / VLOOKUP("industry|NOx|Asthma symptoms wheeze", US_national_yearly!$D:$AM, 10, FALSE), 1)</f>
        <v>1.7844754503440604E-4</v>
      </c>
      <c r="F8" s="7">
        <f>$B8 * IFERROR(VLOOKUP("industry|NOx|Asthma symptoms wheeze", US_national_yearly!$D:$AM, 14, FALSE) / VLOOKUP("industry|NOx|Asthma symptoms wheeze", US_national_yearly!$D:$AM, 10, FALSE), 1)</f>
        <v>1.8079252753367488E-4</v>
      </c>
      <c r="G8" s="7">
        <f>$B8 * IFERROR(VLOOKUP("industry|NOx|Asthma symptoms wheeze", US_national_yearly!$D:$AM, 15, FALSE) / VLOOKUP("industry|NOx|Asthma symptoms wheeze", US_national_yearly!$D:$AM, 10, FALSE), 1)</f>
        <v>1.8267283970396271E-4</v>
      </c>
      <c r="H8" s="7">
        <f>$B8 * IFERROR(VLOOKUP("industry|NOx|Asthma symptoms wheeze", US_national_yearly!$D:$AM, 16, FALSE) / VLOOKUP("industry|NOx|Asthma symptoms wheeze", US_national_yearly!$D:$AM, 10, FALSE), 1)</f>
        <v>1.8455315187425046E-4</v>
      </c>
      <c r="I8" s="7">
        <f>$B8 * IFERROR(VLOOKUP("industry|NOx|Asthma symptoms wheeze", US_national_yearly!$D:$AM, 17, FALSE) / VLOOKUP("industry|NOx|Asthma symptoms wheeze", US_national_yearly!$D:$AM, 10, FALSE), 1)</f>
        <v>1.8520751717915394E-4</v>
      </c>
      <c r="J8" s="7">
        <f>$B8 * IFERROR(VLOOKUP("industry|NOx|Asthma symptoms wheeze", US_national_yearly!$D:$AM, 18, FALSE) / VLOOKUP("industry|NOx|Asthma symptoms wheeze", US_national_yearly!$D:$AM, 10, FALSE), 1)</f>
        <v>1.858618824840574E-4</v>
      </c>
      <c r="K8" s="7">
        <f>$B8 * IFERROR(VLOOKUP("industry|NOx|Asthma symptoms wheeze", US_national_yearly!$D:$AM, 19, FALSE) / VLOOKUP("industry|NOx|Asthma symptoms wheeze", US_national_yearly!$D:$AM, 10, FALSE), 1)</f>
        <v>1.8651624778896086E-4</v>
      </c>
      <c r="L8" s="7">
        <f>$B8 * IFERROR(VLOOKUP("industry|NOx|Asthma symptoms wheeze", US_national_yearly!$D:$AM, 20, FALSE) / VLOOKUP("industry|NOx|Asthma symptoms wheeze", US_national_yearly!$D:$AM, 10, FALSE), 1)</f>
        <v>1.8717061309386429E-4</v>
      </c>
      <c r="M8" s="7">
        <f>$B8 * IFERROR(VLOOKUP("industry|NOx|Asthma symptoms wheeze", US_national_yearly!$D:$AM, 21, FALSE) / VLOOKUP("industry|NOx|Asthma symptoms wheeze", US_national_yearly!$D:$AM, 10, FALSE), 1)</f>
        <v>1.8782497839876775E-4</v>
      </c>
      <c r="N8" s="7">
        <f>$B8 * IFERROR(VLOOKUP("industry|NOx|Asthma symptoms wheeze", US_national_yearly!$D:$AM, 22, FALSE) / VLOOKUP("industry|NOx|Asthma symptoms wheeze", US_national_yearly!$D:$AM, 10, FALSE), 1)</f>
        <v>1.8857195425746347E-4</v>
      </c>
      <c r="O8" s="7">
        <f>$B8 * IFERROR(VLOOKUP("industry|NOx|Asthma symptoms wheeze", US_national_yearly!$D:$AM, 23, FALSE) / VLOOKUP("industry|NOx|Asthma symptoms wheeze", US_national_yearly!$D:$AM, 10, FALSE), 1)</f>
        <v>1.8931893011615917E-4</v>
      </c>
      <c r="P8" s="7">
        <f>$B8 * IFERROR(VLOOKUP("industry|NOx|Asthma symptoms wheeze", US_national_yearly!$D:$AM, 24, FALSE) / VLOOKUP("industry|NOx|Asthma symptoms wheeze", US_national_yearly!$D:$AM, 10, FALSE), 1)</f>
        <v>1.9006590597485482E-4</v>
      </c>
      <c r="Q8" s="7">
        <f>$B8 * IFERROR(VLOOKUP("industry|NOx|Asthma symptoms wheeze", US_national_yearly!$D:$AM, 25, FALSE) / VLOOKUP("industry|NOx|Asthma symptoms wheeze", US_national_yearly!$D:$AM, 10, FALSE), 1)</f>
        <v>1.9081288183355052E-4</v>
      </c>
      <c r="R8" s="7">
        <f>$B8 * IFERROR(VLOOKUP("industry|NOx|Asthma symptoms wheeze", US_national_yearly!$D:$AM, 26, FALSE) / VLOOKUP("industry|NOx|Asthma symptoms wheeze", US_national_yearly!$D:$AM, 10, FALSE), 1)</f>
        <v>1.9155985769224622E-4</v>
      </c>
      <c r="S8" s="7">
        <f>$B8 * IFERROR(VLOOKUP("industry|NOx|Asthma symptoms wheeze", US_national_yearly!$D:$AM, 27, FALSE) / VLOOKUP("industry|NOx|Asthma symptoms wheeze", US_national_yearly!$D:$AM, 10, FALSE), 1)</f>
        <v>1.9252342349894097E-4</v>
      </c>
      <c r="T8" s="7">
        <f>$B8 * IFERROR(VLOOKUP("industry|NOx|Asthma symptoms wheeze", US_national_yearly!$D:$AM, 28, FALSE) / VLOOKUP("industry|NOx|Asthma symptoms wheeze", US_national_yearly!$D:$AM, 10, FALSE), 1)</f>
        <v>1.9348698930563563E-4</v>
      </c>
      <c r="U8" s="7">
        <f>$B8 * IFERROR(VLOOKUP("industry|NOx|Asthma symptoms wheeze", US_national_yearly!$D:$AM, 29, FALSE) / VLOOKUP("industry|NOx|Asthma symptoms wheeze", US_national_yearly!$D:$AM, 10, FALSE), 1)</f>
        <v>1.9445055511233033E-4</v>
      </c>
      <c r="V8" s="7">
        <f>$B8 * IFERROR(VLOOKUP("industry|NOx|Asthma symptoms wheeze", US_national_yearly!$D:$AM, 30, FALSE) / VLOOKUP("industry|NOx|Asthma symptoms wheeze", US_national_yearly!$D:$AM, 10, FALSE), 1)</f>
        <v>1.9541412091902499E-4</v>
      </c>
      <c r="W8" s="7">
        <f>$B8 * IFERROR(VLOOKUP("industry|NOx|Asthma symptoms wheeze", US_national_yearly!$D:$AM, 31, FALSE) / VLOOKUP("industry|NOx|Asthma symptoms wheeze", US_national_yearly!$D:$AM, 10, FALSE), 1)</f>
        <v>1.9637768672571969E-4</v>
      </c>
      <c r="X8" s="7">
        <f>$B8 * IFERROR(VLOOKUP("industry|NOx|Asthma symptoms wheeze", US_national_yearly!$D:$AM, 32, FALSE) / VLOOKUP("industry|NOx|Asthma symptoms wheeze", US_national_yearly!$D:$AM, 10, FALSE), 1)</f>
        <v>1.9727098632539033E-4</v>
      </c>
      <c r="Y8" s="7">
        <f>$B8 * IFERROR(VLOOKUP("industry|NOx|Asthma symptoms wheeze", US_national_yearly!$D:$AM, 33, FALSE) / VLOOKUP("industry|NOx|Asthma symptoms wheeze", US_national_yearly!$D:$AM, 10, FALSE), 1)</f>
        <v>1.9816428592506091E-4</v>
      </c>
      <c r="Z8" s="7">
        <f>$B8 * IFERROR(VLOOKUP("industry|NOx|Asthma symptoms wheeze", US_national_yearly!$D:$AM, 34, FALSE) / VLOOKUP("industry|NOx|Asthma symptoms wheeze", US_national_yearly!$D:$AM, 10, FALSE), 1)</f>
        <v>1.990575855247315E-4</v>
      </c>
      <c r="AA8" s="7">
        <f>$B8 * IFERROR(VLOOKUP("industry|NOx|Asthma symptoms wheeze", US_national_yearly!$D:$AM, 35, FALSE) / VLOOKUP("industry|NOx|Asthma symptoms wheeze", US_national_yearly!$D:$AM, 10, FALSE), 1)</f>
        <v>1.9995088512440206E-4</v>
      </c>
      <c r="AB8" s="7">
        <f>$B8 * IFERROR(VLOOKUP("industry|NOx|Asthma symptoms wheeze", US_national_yearly!$D:$AM, 36, FALSE) / VLOOKUP("industry|NOx|Asthma symptoms wheeze", US_national_yearly!$D:$AM, 10, FALSE), 1)</f>
        <v>2.0084418472407281E-4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1.7756883488570846E-6</v>
      </c>
      <c r="C12" s="7">
        <f>$B12 * IFERROR(VLOOKUP("industry|NOx|Respiratory hospital admissions", US_national_yearly!$D:$AM, 11, FALSE) / VLOOKUP("industry|NOx|Respiratory hospital admissions", US_national_yearly!$D:$AM, 10, FALSE), 1)</f>
        <v>1.8202995230604663E-6</v>
      </c>
      <c r="D12" s="7">
        <f>$B12 * IFERROR(VLOOKUP("industry|NOx|Respiratory hospital admissions", US_national_yearly!$D:$AM, 12, FALSE) / VLOOKUP("industry|NOx|Respiratory hospital admissions", US_national_yearly!$D:$AM, 10, FALSE), 1)</f>
        <v>1.8649106972638481E-6</v>
      </c>
      <c r="E12" s="7">
        <f>$B12 * IFERROR(VLOOKUP("industry|NOx|Respiratory hospital admissions", US_national_yearly!$D:$AM, 13, FALSE) / VLOOKUP("industry|NOx|Respiratory hospital admissions", US_national_yearly!$D:$AM, 10, FALSE), 1)</f>
        <v>1.9095218714672301E-6</v>
      </c>
      <c r="F12" s="7">
        <f>$B12 * IFERROR(VLOOKUP("industry|NOx|Respiratory hospital admissions", US_national_yearly!$D:$AM, 14, FALSE) / VLOOKUP("industry|NOx|Respiratory hospital admissions", US_national_yearly!$D:$AM, 10, FALSE), 1)</f>
        <v>1.9541330456706116E-6</v>
      </c>
      <c r="G12" s="7">
        <f>$B12 * IFERROR(VLOOKUP("industry|NOx|Respiratory hospital admissions", US_national_yearly!$D:$AM, 15, FALSE) / VLOOKUP("industry|NOx|Respiratory hospital admissions", US_national_yearly!$D:$AM, 10, FALSE), 1)</f>
        <v>1.9968056175322027E-6</v>
      </c>
      <c r="H12" s="7">
        <f>$B12 * IFERROR(VLOOKUP("industry|NOx|Respiratory hospital admissions", US_national_yearly!$D:$AM, 16, FALSE) / VLOOKUP("industry|NOx|Respiratory hospital admissions", US_national_yearly!$D:$AM, 10, FALSE), 1)</f>
        <v>2.0394781893937938E-6</v>
      </c>
      <c r="I12" s="7">
        <f>$B12 * IFERROR(VLOOKUP("industry|NOx|Respiratory hospital admissions", US_national_yearly!$D:$AM, 17, FALSE) / VLOOKUP("industry|NOx|Respiratory hospital admissions", US_national_yearly!$D:$AM, 10, FALSE), 1)</f>
        <v>2.075819678932912E-6</v>
      </c>
      <c r="J12" s="7">
        <f>$B12 * IFERROR(VLOOKUP("industry|NOx|Respiratory hospital admissions", US_national_yearly!$D:$AM, 18, FALSE) / VLOOKUP("industry|NOx|Respiratory hospital admissions", US_national_yearly!$D:$AM, 10, FALSE), 1)</f>
        <v>2.1121611684720307E-6</v>
      </c>
      <c r="K12" s="7">
        <f>$B12 * IFERROR(VLOOKUP("industry|NOx|Respiratory hospital admissions", US_national_yearly!$D:$AM, 19, FALSE) / VLOOKUP("industry|NOx|Respiratory hospital admissions", US_national_yearly!$D:$AM, 10, FALSE), 1)</f>
        <v>2.1485026580111495E-6</v>
      </c>
      <c r="L12" s="7">
        <f>$B12 * IFERROR(VLOOKUP("industry|NOx|Respiratory hospital admissions", US_national_yearly!$D:$AM, 20, FALSE) / VLOOKUP("industry|NOx|Respiratory hospital admissions", US_national_yearly!$D:$AM, 10, FALSE), 1)</f>
        <v>2.1848441475502682E-6</v>
      </c>
      <c r="M12" s="7">
        <f>$B12 * IFERROR(VLOOKUP("industry|NOx|Respiratory hospital admissions", US_national_yearly!$D:$AM, 21, FALSE) / VLOOKUP("industry|NOx|Respiratory hospital admissions", US_national_yearly!$D:$AM, 10, FALSE), 1)</f>
        <v>2.2211856370893869E-6</v>
      </c>
      <c r="N12" s="7">
        <f>$B12 * IFERROR(VLOOKUP("industry|NOx|Respiratory hospital admissions", US_national_yearly!$D:$AM, 22, FALSE) / VLOOKUP("industry|NOx|Respiratory hospital admissions", US_national_yearly!$D:$AM, 10, FALSE), 1)</f>
        <v>2.2455423207775035E-6</v>
      </c>
      <c r="O12" s="7">
        <f>$B12 * IFERROR(VLOOKUP("industry|NOx|Respiratory hospital admissions", US_national_yearly!$D:$AM, 23, FALSE) / VLOOKUP("industry|NOx|Respiratory hospital admissions", US_national_yearly!$D:$AM, 10, FALSE), 1)</f>
        <v>2.2698990044656198E-6</v>
      </c>
      <c r="P12" s="7">
        <f>$B12 * IFERROR(VLOOKUP("industry|NOx|Respiratory hospital admissions", US_national_yearly!$D:$AM, 24, FALSE) / VLOOKUP("industry|NOx|Respiratory hospital admissions", US_national_yearly!$D:$AM, 10, FALSE), 1)</f>
        <v>2.2942556881537369E-6</v>
      </c>
      <c r="Q12" s="7">
        <f>$B12 * IFERROR(VLOOKUP("industry|NOx|Respiratory hospital admissions", US_national_yearly!$D:$AM, 25, FALSE) / VLOOKUP("industry|NOx|Respiratory hospital admissions", US_national_yearly!$D:$AM, 10, FALSE), 1)</f>
        <v>2.3186123718418531E-6</v>
      </c>
      <c r="R12" s="7">
        <f>$B12 * IFERROR(VLOOKUP("industry|NOx|Respiratory hospital admissions", US_national_yearly!$D:$AM, 26, FALSE) / VLOOKUP("industry|NOx|Respiratory hospital admissions", US_national_yearly!$D:$AM, 10, FALSE), 1)</f>
        <v>2.3429690555299698E-6</v>
      </c>
      <c r="S12" s="7">
        <f>$B12 * IFERROR(VLOOKUP("industry|NOx|Respiratory hospital admissions", US_national_yearly!$D:$AM, 27, FALSE) / VLOOKUP("industry|NOx|Respiratory hospital admissions", US_national_yearly!$D:$AM, 10, FALSE), 1)</f>
        <v>2.3561926184906181E-6</v>
      </c>
      <c r="T12" s="7">
        <f>$B12 * IFERROR(VLOOKUP("industry|NOx|Respiratory hospital admissions", US_national_yearly!$D:$AM, 28, FALSE) / VLOOKUP("industry|NOx|Respiratory hospital admissions", US_national_yearly!$D:$AM, 10, FALSE), 1)</f>
        <v>2.3694161814512668E-6</v>
      </c>
      <c r="U12" s="7">
        <f>$B12 * IFERROR(VLOOKUP("industry|NOx|Respiratory hospital admissions", US_national_yearly!$D:$AM, 29, FALSE) / VLOOKUP("industry|NOx|Respiratory hospital admissions", US_national_yearly!$D:$AM, 10, FALSE), 1)</f>
        <v>2.3826397444119147E-6</v>
      </c>
      <c r="V12" s="7">
        <f>$B12 * IFERROR(VLOOKUP("industry|NOx|Respiratory hospital admissions", US_national_yearly!$D:$AM, 30, FALSE) / VLOOKUP("industry|NOx|Respiratory hospital admissions", US_national_yearly!$D:$AM, 10, FALSE), 1)</f>
        <v>2.395863307372563E-6</v>
      </c>
      <c r="W12" s="7">
        <f>$B12 * IFERROR(VLOOKUP("industry|NOx|Respiratory hospital admissions", US_national_yearly!$D:$AM, 31, FALSE) / VLOOKUP("industry|NOx|Respiratory hospital admissions", US_national_yearly!$D:$AM, 10, FALSE), 1)</f>
        <v>2.4090868703332117E-6</v>
      </c>
      <c r="X12" s="7">
        <f>$B12 * IFERROR(VLOOKUP("industry|NOx|Respiratory hospital admissions", US_national_yearly!$D:$AM, 32, FALSE) / VLOOKUP("industry|NOx|Respiratory hospital admissions", US_national_yearly!$D:$AM, 10, FALSE), 1)</f>
        <v>2.4183071530164504E-6</v>
      </c>
      <c r="Y12" s="7">
        <f>$B12 * IFERROR(VLOOKUP("industry|NOx|Respiratory hospital admissions", US_national_yearly!$D:$AM, 33, FALSE) / VLOOKUP("industry|NOx|Respiratory hospital admissions", US_national_yearly!$D:$AM, 10, FALSE), 1)</f>
        <v>2.4275274356996888E-6</v>
      </c>
      <c r="Z12" s="7">
        <f>$B12 * IFERROR(VLOOKUP("industry|NOx|Respiratory hospital admissions", US_national_yearly!$D:$AM, 34, FALSE) / VLOOKUP("industry|NOx|Respiratory hospital admissions", US_national_yearly!$D:$AM, 10, FALSE), 1)</f>
        <v>2.4367477183829279E-6</v>
      </c>
      <c r="AA12" s="7">
        <f>$B12 * IFERROR(VLOOKUP("industry|NOx|Respiratory hospital admissions", US_national_yearly!$D:$AM, 35, FALSE) / VLOOKUP("industry|NOx|Respiratory hospital admissions", US_national_yearly!$D:$AM, 10, FALSE), 1)</f>
        <v>2.4459680010661666E-6</v>
      </c>
      <c r="AB12" s="7">
        <f>$B12 * IFERROR(VLOOKUP("industry|NOx|Respiratory hospital admissions", US_national_yearly!$D:$AM, 36, FALSE) / VLOOKUP("industry|NOx|Respiratory hospital admissions", US_national_yearly!$D:$AM, 10, FALSE), 1)</f>
        <v>2.455188283749405E-6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9.6112158700423226E-6</v>
      </c>
      <c r="C13" s="7">
        <f>$B13 * IFERROR(VLOOKUP("industry|NOx|Non-fatal heart attacks", US_national_yearly!$D:$AM, 11, FALSE) / VLOOKUP("industry|NOx|Non-fatal heart attacks", US_national_yearly!$D:$AM, 10, FALSE), 1)</f>
        <v>9.8858175176858707E-6</v>
      </c>
      <c r="D13" s="7">
        <f>$B13 * IFERROR(VLOOKUP("industry|NOx|Non-fatal heart attacks", US_national_yearly!$D:$AM, 12, FALSE) / VLOOKUP("industry|NOx|Non-fatal heart attacks", US_national_yearly!$D:$AM, 10, FALSE), 1)</f>
        <v>1.0160419165329419E-5</v>
      </c>
      <c r="E13" s="7">
        <f>$B13 * IFERROR(VLOOKUP("industry|NOx|Non-fatal heart attacks", US_national_yearly!$D:$AM, 13, FALSE) / VLOOKUP("industry|NOx|Non-fatal heart attacks", US_national_yearly!$D:$AM, 10, FALSE), 1)</f>
        <v>1.0435020812972967E-5</v>
      </c>
      <c r="F13" s="7">
        <f>$B13 * IFERROR(VLOOKUP("industry|NOx|Non-fatal heart attacks", US_national_yearly!$D:$AM, 14, FALSE) / VLOOKUP("industry|NOx|Non-fatal heart attacks", US_national_yearly!$D:$AM, 10, FALSE), 1)</f>
        <v>1.0709622460616515E-5</v>
      </c>
      <c r="G13" s="7">
        <f>$B13 * IFERROR(VLOOKUP("industry|NOx|Non-fatal heart attacks", US_national_yearly!$D:$AM, 15, FALSE) / VLOOKUP("industry|NOx|Non-fatal heart attacks", US_national_yearly!$D:$AM, 10, FALSE), 1)</f>
        <v>1.0966454994057967E-5</v>
      </c>
      <c r="H13" s="7">
        <f>$B13 * IFERROR(VLOOKUP("industry|NOx|Non-fatal heart attacks", US_national_yearly!$D:$AM, 16, FALSE) / VLOOKUP("industry|NOx|Non-fatal heart attacks", US_national_yearly!$D:$AM, 10, FALSE), 1)</f>
        <v>1.1223287527499415E-5</v>
      </c>
      <c r="I13" s="7">
        <f>$B13 * IFERROR(VLOOKUP("industry|NOx|Non-fatal heart attacks", US_national_yearly!$D:$AM, 17, FALSE) / VLOOKUP("industry|NOx|Non-fatal heart attacks", US_national_yearly!$D:$AM, 10, FALSE), 1)</f>
        <v>1.1426415063429868E-5</v>
      </c>
      <c r="J13" s="7">
        <f>$B13 * IFERROR(VLOOKUP("industry|NOx|Non-fatal heart attacks", US_national_yearly!$D:$AM, 18, FALSE) / VLOOKUP("industry|NOx|Non-fatal heart attacks", US_national_yearly!$D:$AM, 10, FALSE), 1)</f>
        <v>1.162954259936032E-5</v>
      </c>
      <c r="K13" s="7">
        <f>$B13 * IFERROR(VLOOKUP("industry|NOx|Non-fatal heart attacks", US_national_yearly!$D:$AM, 19, FALSE) / VLOOKUP("industry|NOx|Non-fatal heart attacks", US_national_yearly!$D:$AM, 10, FALSE), 1)</f>
        <v>1.1832670135290768E-5</v>
      </c>
      <c r="L13" s="7">
        <f>$B13 * IFERROR(VLOOKUP("industry|NOx|Non-fatal heart attacks", US_national_yearly!$D:$AM, 20, FALSE) / VLOOKUP("industry|NOx|Non-fatal heart attacks", US_national_yearly!$D:$AM, 10, FALSE), 1)</f>
        <v>1.2035797671221224E-5</v>
      </c>
      <c r="M13" s="7">
        <f>$B13 * IFERROR(VLOOKUP("industry|NOx|Non-fatal heart attacks", US_national_yearly!$D:$AM, 21, FALSE) / VLOOKUP("industry|NOx|Non-fatal heart attacks", US_national_yearly!$D:$AM, 10, FALSE), 1)</f>
        <v>1.2238925207151679E-5</v>
      </c>
      <c r="N13" s="7">
        <f>$B13 * IFERROR(VLOOKUP("industry|NOx|Non-fatal heart attacks", US_national_yearly!$D:$AM, 22, FALSE) / VLOOKUP("industry|NOx|Non-fatal heart attacks", US_national_yearly!$D:$AM, 10, FALSE), 1)</f>
        <v>1.2361299798358857E-5</v>
      </c>
      <c r="O13" s="7">
        <f>$B13 * IFERROR(VLOOKUP("industry|NOx|Non-fatal heart attacks", US_national_yearly!$D:$AM, 23, FALSE) / VLOOKUP("industry|NOx|Non-fatal heart attacks", US_national_yearly!$D:$AM, 10, FALSE), 1)</f>
        <v>1.2483674389566034E-5</v>
      </c>
      <c r="P13" s="7">
        <f>$B13 * IFERROR(VLOOKUP("industry|NOx|Non-fatal heart attacks", US_national_yearly!$D:$AM, 24, FALSE) / VLOOKUP("industry|NOx|Non-fatal heart attacks", US_national_yearly!$D:$AM, 10, FALSE), 1)</f>
        <v>1.2606048980773209E-5</v>
      </c>
      <c r="Q13" s="7">
        <f>$B13 * IFERROR(VLOOKUP("industry|NOx|Non-fatal heart attacks", US_national_yearly!$D:$AM, 25, FALSE) / VLOOKUP("industry|NOx|Non-fatal heart attacks", US_national_yearly!$D:$AM, 10, FALSE), 1)</f>
        <v>1.2728423571980385E-5</v>
      </c>
      <c r="R13" s="7">
        <f>$B13 * IFERROR(VLOOKUP("industry|NOx|Non-fatal heart attacks", US_national_yearly!$D:$AM, 26, FALSE) / VLOOKUP("industry|NOx|Non-fatal heart attacks", US_national_yearly!$D:$AM, 10, FALSE), 1)</f>
        <v>1.2850798163187562E-5</v>
      </c>
      <c r="S13" s="7">
        <f>$B13 * IFERROR(VLOOKUP("industry|NOx|Non-fatal heart attacks", US_national_yearly!$D:$AM, 27, FALSE) / VLOOKUP("industry|NOx|Non-fatal heart attacks", US_national_yearly!$D:$AM, 10, FALSE), 1)</f>
        <v>1.2906946066568031E-5</v>
      </c>
      <c r="T13" s="7">
        <f>$B13 * IFERROR(VLOOKUP("industry|NOx|Non-fatal heart attacks", US_national_yearly!$D:$AM, 28, FALSE) / VLOOKUP("industry|NOx|Non-fatal heart attacks", US_national_yearly!$D:$AM, 10, FALSE), 1)</f>
        <v>1.2963093969948499E-5</v>
      </c>
      <c r="U13" s="7">
        <f>$B13 * IFERROR(VLOOKUP("industry|NOx|Non-fatal heart attacks", US_national_yearly!$D:$AM, 29, FALSE) / VLOOKUP("industry|NOx|Non-fatal heart attacks", US_national_yearly!$D:$AM, 10, FALSE), 1)</f>
        <v>1.3019241873328966E-5</v>
      </c>
      <c r="V13" s="7">
        <f>$B13 * IFERROR(VLOOKUP("industry|NOx|Non-fatal heart attacks", US_national_yearly!$D:$AM, 30, FALSE) / VLOOKUP("industry|NOx|Non-fatal heart attacks", US_national_yearly!$D:$AM, 10, FALSE), 1)</f>
        <v>1.3075389776709436E-5</v>
      </c>
      <c r="W13" s="7">
        <f>$B13 * IFERROR(VLOOKUP("industry|NOx|Non-fatal heart attacks", US_national_yearly!$D:$AM, 31, FALSE) / VLOOKUP("industry|NOx|Non-fatal heart attacks", US_national_yearly!$D:$AM, 10, FALSE), 1)</f>
        <v>1.3131537680089905E-5</v>
      </c>
      <c r="X13" s="7">
        <f>$B13 * IFERROR(VLOOKUP("industry|NOx|Non-fatal heart attacks", US_national_yearly!$D:$AM, 32, FALSE) / VLOOKUP("industry|NOx|Non-fatal heart attacks", US_national_yearly!$D:$AM, 10, FALSE), 1)</f>
        <v>1.3169431363610078E-5</v>
      </c>
      <c r="Y13" s="7">
        <f>$B13 * IFERROR(VLOOKUP("industry|NOx|Non-fatal heart attacks", US_national_yearly!$D:$AM, 33, FALSE) / VLOOKUP("industry|NOx|Non-fatal heart attacks", US_national_yearly!$D:$AM, 10, FALSE), 1)</f>
        <v>1.3207325047130251E-5</v>
      </c>
      <c r="Z13" s="7">
        <f>$B13 * IFERROR(VLOOKUP("industry|NOx|Non-fatal heart attacks", US_national_yearly!$D:$AM, 34, FALSE) / VLOOKUP("industry|NOx|Non-fatal heart attacks", US_national_yearly!$D:$AM, 10, FALSE), 1)</f>
        <v>1.3245218730650426E-5</v>
      </c>
      <c r="AA13" s="7">
        <f>$B13 * IFERROR(VLOOKUP("industry|NOx|Non-fatal heart attacks", US_national_yearly!$D:$AM, 35, FALSE) / VLOOKUP("industry|NOx|Non-fatal heart attacks", US_national_yearly!$D:$AM, 10, FALSE), 1)</f>
        <v>1.3283112414170599E-5</v>
      </c>
      <c r="AB13" s="7">
        <f>$B13 * IFERROR(VLOOKUP("industry|NOx|Non-fatal heart attacks", US_national_yearly!$D:$AM, 36, FALSE) / VLOOKUP("industry|NOx|Non-fatal heart attacks", US_national_yearly!$D:$AM, 10, FALSE), 1)</f>
        <v>1.3321006097690773E-5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9.2556522518516694E-3</v>
      </c>
      <c r="C14" s="7">
        <f>$B14 * IFERROR(VLOOKUP("industry|NOx|Minor restricted activity days", US_national_yearly!$D:$AM, 11, FALSE) / VLOOKUP("industry|NOx|Minor restricted activity days", US_national_yearly!$D:$AM, 10, FALSE), 1)</f>
        <v>9.2693652148707166E-3</v>
      </c>
      <c r="D14" s="7">
        <f>$B14 * IFERROR(VLOOKUP("industry|NOx|Minor restricted activity days", US_national_yearly!$D:$AM, 12, FALSE) / VLOOKUP("industry|NOx|Minor restricted activity days", US_national_yearly!$D:$AM, 10, FALSE), 1)</f>
        <v>9.2830781778897604E-3</v>
      </c>
      <c r="E14" s="7">
        <f>$B14 * IFERROR(VLOOKUP("industry|NOx|Minor restricted activity days", US_national_yearly!$D:$AM, 13, FALSE) / VLOOKUP("industry|NOx|Minor restricted activity days", US_national_yearly!$D:$AM, 10, FALSE), 1)</f>
        <v>9.2967911409088076E-3</v>
      </c>
      <c r="F14" s="7">
        <f>$B14 * IFERROR(VLOOKUP("industry|NOx|Minor restricted activity days", US_national_yearly!$D:$AM, 14, FALSE) / VLOOKUP("industry|NOx|Minor restricted activity days", US_national_yearly!$D:$AM, 10, FALSE), 1)</f>
        <v>9.3105041039278531E-3</v>
      </c>
      <c r="G14" s="7">
        <f>$B14 * IFERROR(VLOOKUP("industry|NOx|Minor restricted activity days", US_national_yearly!$D:$AM, 15, FALSE) / VLOOKUP("industry|NOx|Minor restricted activity days", US_national_yearly!$D:$AM, 10, FALSE), 1)</f>
        <v>9.3354672706917156E-3</v>
      </c>
      <c r="H14" s="7">
        <f>$B14 * IFERROR(VLOOKUP("industry|NOx|Minor restricted activity days", US_national_yearly!$D:$AM, 16, FALSE) / VLOOKUP("industry|NOx|Minor restricted activity days", US_national_yearly!$D:$AM, 10, FALSE), 1)</f>
        <v>9.3604304374555799E-3</v>
      </c>
      <c r="I14" s="7">
        <f>$B14 * IFERROR(VLOOKUP("industry|NOx|Minor restricted activity days", US_national_yearly!$D:$AM, 17, FALSE) / VLOOKUP("industry|NOx|Minor restricted activity days", US_national_yearly!$D:$AM, 10, FALSE), 1)</f>
        <v>9.4095739846755868E-3</v>
      </c>
      <c r="J14" s="7">
        <f>$B14 * IFERROR(VLOOKUP("industry|NOx|Minor restricted activity days", US_national_yearly!$D:$AM, 18, FALSE) / VLOOKUP("industry|NOx|Minor restricted activity days", US_national_yearly!$D:$AM, 10, FALSE), 1)</f>
        <v>9.458717531895592E-3</v>
      </c>
      <c r="K14" s="7">
        <f>$B14 * IFERROR(VLOOKUP("industry|NOx|Minor restricted activity days", US_national_yearly!$D:$AM, 19, FALSE) / VLOOKUP("industry|NOx|Minor restricted activity days", US_national_yearly!$D:$AM, 10, FALSE), 1)</f>
        <v>9.5078610791155954E-3</v>
      </c>
      <c r="L14" s="7">
        <f>$B14 * IFERROR(VLOOKUP("industry|NOx|Minor restricted activity days", US_national_yearly!$D:$AM, 20, FALSE) / VLOOKUP("industry|NOx|Minor restricted activity days", US_national_yearly!$D:$AM, 10, FALSE), 1)</f>
        <v>9.5570046263356023E-3</v>
      </c>
      <c r="M14" s="7">
        <f>$B14 * IFERROR(VLOOKUP("industry|NOx|Minor restricted activity days", US_national_yearly!$D:$AM, 21, FALSE) / VLOOKUP("industry|NOx|Minor restricted activity days", US_national_yearly!$D:$AM, 10, FALSE), 1)</f>
        <v>9.6061481735556075E-3</v>
      </c>
      <c r="N14" s="7">
        <f>$B14 * IFERROR(VLOOKUP("industry|NOx|Minor restricted activity days", US_national_yearly!$D:$AM, 22, FALSE) / VLOOKUP("industry|NOx|Minor restricted activity days", US_national_yearly!$D:$AM, 10, FALSE), 1)</f>
        <v>9.6769181669000715E-3</v>
      </c>
      <c r="O14" s="7">
        <f>$B14 * IFERROR(VLOOKUP("industry|NOx|Minor restricted activity days", US_national_yearly!$D:$AM, 23, FALSE) / VLOOKUP("industry|NOx|Minor restricted activity days", US_national_yearly!$D:$AM, 10, FALSE), 1)</f>
        <v>9.747688160244539E-3</v>
      </c>
      <c r="P14" s="7">
        <f>$B14 * IFERROR(VLOOKUP("industry|NOx|Minor restricted activity days", US_national_yearly!$D:$AM, 24, FALSE) / VLOOKUP("industry|NOx|Minor restricted activity days", US_national_yearly!$D:$AM, 10, FALSE), 1)</f>
        <v>9.8184581535890048E-3</v>
      </c>
      <c r="Q14" s="7">
        <f>$B14 * IFERROR(VLOOKUP("industry|NOx|Minor restricted activity days", US_national_yearly!$D:$AM, 25, FALSE) / VLOOKUP("industry|NOx|Minor restricted activity days", US_national_yearly!$D:$AM, 10, FALSE), 1)</f>
        <v>9.8892281469334688E-3</v>
      </c>
      <c r="R14" s="7">
        <f>$B14 * IFERROR(VLOOKUP("industry|NOx|Minor restricted activity days", US_national_yearly!$D:$AM, 26, FALSE) / VLOOKUP("industry|NOx|Minor restricted activity days", US_national_yearly!$D:$AM, 10, FALSE), 1)</f>
        <v>9.9599981402779345E-3</v>
      </c>
      <c r="S14" s="7">
        <f>$B14 * IFERROR(VLOOKUP("industry|NOx|Minor restricted activity days", US_national_yearly!$D:$AM, 27, FALSE) / VLOOKUP("industry|NOx|Minor restricted activity days", US_national_yearly!$D:$AM, 10, FALSE), 1)</f>
        <v>1.0030843902371028E-2</v>
      </c>
      <c r="T14" s="7">
        <f>$B14 * IFERROR(VLOOKUP("industry|NOx|Minor restricted activity days", US_national_yearly!$D:$AM, 28, FALSE) / VLOOKUP("industry|NOx|Minor restricted activity days", US_national_yearly!$D:$AM, 10, FALSE), 1)</f>
        <v>1.0101689664464125E-2</v>
      </c>
      <c r="U14" s="7">
        <f>$B14 * IFERROR(VLOOKUP("industry|NOx|Minor restricted activity days", US_national_yearly!$D:$AM, 29, FALSE) / VLOOKUP("industry|NOx|Minor restricted activity days", US_national_yearly!$D:$AM, 10, FALSE), 1)</f>
        <v>1.017253542655722E-2</v>
      </c>
      <c r="V14" s="7">
        <f>$B14 * IFERROR(VLOOKUP("industry|NOx|Minor restricted activity days", US_national_yearly!$D:$AM, 30, FALSE) / VLOOKUP("industry|NOx|Minor restricted activity days", US_national_yearly!$D:$AM, 10, FALSE), 1)</f>
        <v>1.0243381188650315E-2</v>
      </c>
      <c r="W14" s="7">
        <f>$B14 * IFERROR(VLOOKUP("industry|NOx|Minor restricted activity days", US_national_yearly!$D:$AM, 31, FALSE) / VLOOKUP("industry|NOx|Minor restricted activity days", US_national_yearly!$D:$AM, 10, FALSE), 1)</f>
        <v>1.0314226950743412E-2</v>
      </c>
      <c r="X14" s="7">
        <f>$B14 * IFERROR(VLOOKUP("industry|NOx|Minor restricted activity days", US_national_yearly!$D:$AM, 32, FALSE) / VLOOKUP("industry|NOx|Minor restricted activity days", US_national_yearly!$D:$AM, 10, FALSE), 1)</f>
        <v>1.0374040993719866E-2</v>
      </c>
      <c r="Y14" s="7">
        <f>$B14 * IFERROR(VLOOKUP("industry|NOx|Minor restricted activity days", US_national_yearly!$D:$AM, 33, FALSE) / VLOOKUP("industry|NOx|Minor restricted activity days", US_national_yearly!$D:$AM, 10, FALSE), 1)</f>
        <v>1.0433855036696317E-2</v>
      </c>
      <c r="Z14" s="7">
        <f>$B14 * IFERROR(VLOOKUP("industry|NOx|Minor restricted activity days", US_national_yearly!$D:$AM, 34, FALSE) / VLOOKUP("industry|NOx|Minor restricted activity days", US_national_yearly!$D:$AM, 10, FALSE), 1)</f>
        <v>1.0493669079672769E-2</v>
      </c>
      <c r="AA14" s="7">
        <f>$B14 * IFERROR(VLOOKUP("industry|NOx|Minor restricted activity days", US_national_yearly!$D:$AM, 35, FALSE) / VLOOKUP("industry|NOx|Minor restricted activity days", US_national_yearly!$D:$AM, 10, FALSE), 1)</f>
        <v>1.0553483122649223E-2</v>
      </c>
      <c r="AB14" s="7">
        <f>$B14 * IFERROR(VLOOKUP("industry|NOx|Minor restricted activity days", US_national_yearly!$D:$AM, 36, FALSE) / VLOOKUP("industry|NOx|Minor restricted activity days", US_national_yearly!$D:$AM, 10, FALSE), 1)</f>
        <v>1.0613297165625677E-2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1.5698178997529569E-3</v>
      </c>
      <c r="C15" s="7">
        <f>$B15 * IFERROR(VLOOKUP("industry|NOx|Work loss days", US_national_yearly!$D:$AM, 11, FALSE) / VLOOKUP("industry|NOx|Work loss days", US_national_yearly!$D:$AM, 10, FALSE), 1)</f>
        <v>1.573219187902793E-3</v>
      </c>
      <c r="D15" s="7">
        <f>$B15 * IFERROR(VLOOKUP("industry|NOx|Work loss days", US_national_yearly!$D:$AM, 12, FALSE) / VLOOKUP("industry|NOx|Work loss days", US_national_yearly!$D:$AM, 10, FALSE), 1)</f>
        <v>1.5766204760526282E-3</v>
      </c>
      <c r="E15" s="7">
        <f>$B15 * IFERROR(VLOOKUP("industry|NOx|Work loss days", US_national_yearly!$D:$AM, 13, FALSE) / VLOOKUP("industry|NOx|Work loss days", US_national_yearly!$D:$AM, 10, FALSE), 1)</f>
        <v>1.5800217642024644E-3</v>
      </c>
      <c r="F15" s="7">
        <f>$B15 * IFERROR(VLOOKUP("industry|NOx|Work loss days", US_national_yearly!$D:$AM, 14, FALSE) / VLOOKUP("industry|NOx|Work loss days", US_national_yearly!$D:$AM, 10, FALSE), 1)</f>
        <v>1.5834230523523E-3</v>
      </c>
      <c r="G15" s="7">
        <f>$B15 * IFERROR(VLOOKUP("industry|NOx|Work loss days", US_national_yearly!$D:$AM, 15, FALSE) / VLOOKUP("industry|NOx|Work loss days", US_national_yearly!$D:$AM, 10, FALSE), 1)</f>
        <v>1.588398283847629E-3</v>
      </c>
      <c r="H15" s="7">
        <f>$B15 * IFERROR(VLOOKUP("industry|NOx|Work loss days", US_national_yearly!$D:$AM, 16, FALSE) / VLOOKUP("industry|NOx|Work loss days", US_national_yearly!$D:$AM, 10, FALSE), 1)</f>
        <v>1.5933735153429579E-3</v>
      </c>
      <c r="I15" s="7">
        <f>$B15 * IFERROR(VLOOKUP("industry|NOx|Work loss days", US_national_yearly!$D:$AM, 17, FALSE) / VLOOKUP("industry|NOx|Work loss days", US_national_yearly!$D:$AM, 10, FALSE), 1)</f>
        <v>1.6014570050300189E-3</v>
      </c>
      <c r="J15" s="7">
        <f>$B15 * IFERROR(VLOOKUP("industry|NOx|Work loss days", US_national_yearly!$D:$AM, 18, FALSE) / VLOOKUP("industry|NOx|Work loss days", US_national_yearly!$D:$AM, 10, FALSE), 1)</f>
        <v>1.6095404947170792E-3</v>
      </c>
      <c r="K15" s="7">
        <f>$B15 * IFERROR(VLOOKUP("industry|NOx|Work loss days", US_national_yearly!$D:$AM, 19, FALSE) / VLOOKUP("industry|NOx|Work loss days", US_national_yearly!$D:$AM, 10, FALSE), 1)</f>
        <v>1.6176239844041401E-3</v>
      </c>
      <c r="L15" s="7">
        <f>$B15 * IFERROR(VLOOKUP("industry|NOx|Work loss days", US_national_yearly!$D:$AM, 20, FALSE) / VLOOKUP("industry|NOx|Work loss days", US_national_yearly!$D:$AM, 10, FALSE), 1)</f>
        <v>1.6257074740912004E-3</v>
      </c>
      <c r="M15" s="7">
        <f>$B15 * IFERROR(VLOOKUP("industry|NOx|Work loss days", US_national_yearly!$D:$AM, 21, FALSE) / VLOOKUP("industry|NOx|Work loss days", US_national_yearly!$D:$AM, 10, FALSE), 1)</f>
        <v>1.6337909637782614E-3</v>
      </c>
      <c r="N15" s="7">
        <f>$B15 * IFERROR(VLOOKUP("industry|NOx|Work loss days", US_national_yearly!$D:$AM, 22, FALSE) / VLOOKUP("industry|NOx|Work loss days", US_national_yearly!$D:$AM, 10, FALSE), 1)</f>
        <v>1.6443623351413597E-3</v>
      </c>
      <c r="O15" s="7">
        <f>$B15 * IFERROR(VLOOKUP("industry|NOx|Work loss days", US_national_yearly!$D:$AM, 23, FALSE) / VLOOKUP("industry|NOx|Work loss days", US_national_yearly!$D:$AM, 10, FALSE), 1)</f>
        <v>1.6549337065044582E-3</v>
      </c>
      <c r="P15" s="7">
        <f>$B15 * IFERROR(VLOOKUP("industry|NOx|Work loss days", US_national_yearly!$D:$AM, 24, FALSE) / VLOOKUP("industry|NOx|Work loss days", US_national_yearly!$D:$AM, 10, FALSE), 1)</f>
        <v>1.6655050778675564E-3</v>
      </c>
      <c r="Q15" s="7">
        <f>$B15 * IFERROR(VLOOKUP("industry|NOx|Work loss days", US_national_yearly!$D:$AM, 25, FALSE) / VLOOKUP("industry|NOx|Work loss days", US_national_yearly!$D:$AM, 10, FALSE), 1)</f>
        <v>1.6760764492306547E-3</v>
      </c>
      <c r="R15" s="7">
        <f>$B15 * IFERROR(VLOOKUP("industry|NOx|Work loss days", US_national_yearly!$D:$AM, 26, FALSE) / VLOOKUP("industry|NOx|Work loss days", US_national_yearly!$D:$AM, 10, FALSE), 1)</f>
        <v>1.6866478205937532E-3</v>
      </c>
      <c r="S15" s="7">
        <f>$B15 * IFERROR(VLOOKUP("industry|NOx|Work loss days", US_national_yearly!$D:$AM, 27, FALSE) / VLOOKUP("industry|NOx|Work loss days", US_national_yearly!$D:$AM, 10, FALSE), 1)</f>
        <v>1.6984659734495652E-3</v>
      </c>
      <c r="T15" s="7">
        <f>$B15 * IFERROR(VLOOKUP("industry|NOx|Work loss days", US_national_yearly!$D:$AM, 28, FALSE) / VLOOKUP("industry|NOx|Work loss days", US_national_yearly!$D:$AM, 10, FALSE), 1)</f>
        <v>1.7102841263053777E-3</v>
      </c>
      <c r="U15" s="7">
        <f>$B15 * IFERROR(VLOOKUP("industry|NOx|Work loss days", US_national_yearly!$D:$AM, 29, FALSE) / VLOOKUP("industry|NOx|Work loss days", US_national_yearly!$D:$AM, 10, FALSE), 1)</f>
        <v>1.7221022791611901E-3</v>
      </c>
      <c r="V15" s="7">
        <f>$B15 * IFERROR(VLOOKUP("industry|NOx|Work loss days", US_national_yearly!$D:$AM, 30, FALSE) / VLOOKUP("industry|NOx|Work loss days", US_national_yearly!$D:$AM, 10, FALSE), 1)</f>
        <v>1.7339204320170022E-3</v>
      </c>
      <c r="W15" s="7">
        <f>$B15 * IFERROR(VLOOKUP("industry|NOx|Work loss days", US_national_yearly!$D:$AM, 31, FALSE) / VLOOKUP("industry|NOx|Work loss days", US_national_yearly!$D:$AM, 10, FALSE), 1)</f>
        <v>1.7457385848728144E-3</v>
      </c>
      <c r="X15" s="7">
        <f>$B15 * IFERROR(VLOOKUP("industry|NOx|Work loss days", US_national_yearly!$D:$AM, 32, FALSE) / VLOOKUP("industry|NOx|Work loss days", US_national_yearly!$D:$AM, 10, FALSE), 1)</f>
        <v>1.7559912446332704E-3</v>
      </c>
      <c r="Y15" s="7">
        <f>$B15 * IFERROR(VLOOKUP("industry|NOx|Work loss days", US_national_yearly!$D:$AM, 33, FALSE) / VLOOKUP("industry|NOx|Work loss days", US_national_yearly!$D:$AM, 10, FALSE), 1)</f>
        <v>1.7662439043937264E-3</v>
      </c>
      <c r="Z15" s="7">
        <f>$B15 * IFERROR(VLOOKUP("industry|NOx|Work loss days", US_national_yearly!$D:$AM, 34, FALSE) / VLOOKUP("industry|NOx|Work loss days", US_national_yearly!$D:$AM, 10, FALSE), 1)</f>
        <v>1.7764965641541822E-3</v>
      </c>
      <c r="AA15" s="7">
        <f>$B15 * IFERROR(VLOOKUP("industry|NOx|Work loss days", US_national_yearly!$D:$AM, 35, FALSE) / VLOOKUP("industry|NOx|Work loss days", US_national_yearly!$D:$AM, 10, FALSE), 1)</f>
        <v>1.7867492239146382E-3</v>
      </c>
      <c r="AB15" s="7">
        <f>$B15 * IFERROR(VLOOKUP("industry|NOx|Work loss days", US_national_yearly!$D:$AM, 36, FALSE) / VLOOKUP("industry|NOx|Work loss days", US_national_yearly!$D:$AM, 10, FALSE), 1)</f>
        <v>1.7970018836750941E-3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1.9780126540792369E-6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2.0360923891785343E-6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2.0941721242778318E-6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2.1522518593771297E-6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2.2103315944764275E-6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2.265531977295875E-6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2.3207323601153228E-6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2.3672702769718059E-6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2.4138081938282886E-6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2.4603461106847712E-6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2.5068840275412543E-6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2.553421944397737E-6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2.5825565954181233E-6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2.6116912464385087E-6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2.6408258974588945E-6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2.6699605484792803E-6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2.6990951994996658E-6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2.7125355870234115E-6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2.7259759745471567E-6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2.739416362070902E-6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2.7528567495946473E-6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2.7662971371183925E-6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2.7738908621379104E-6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2.7814845871574279E-6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2.7890783121769454E-6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2.7966720371964629E-6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2.8042657622159808E-6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1.5740926385668472E-3</v>
      </c>
      <c r="C2" s="7">
        <f>$B2 * IFERROR(VLOOKUP("industry|SO2|Premature mortality", US_national_yearly!$D:$AM, 11, FALSE) / VLOOKUP("industry|SO2|Premature mortality", US_national_yearly!$D:$AM, 10, FALSE), 1)</f>
        <v>1.5940472577804763E-3</v>
      </c>
      <c r="D2" s="7">
        <f>$B2 * IFERROR(VLOOKUP("industry|SO2|Premature mortality", US_national_yearly!$D:$AM, 12, FALSE) / VLOOKUP("industry|SO2|Premature mortality", US_national_yearly!$D:$AM, 10, FALSE), 1)</f>
        <v>1.6140018769941053E-3</v>
      </c>
      <c r="E2" s="7">
        <f>$B2 * IFERROR(VLOOKUP("industry|SO2|Premature mortality", US_national_yearly!$D:$AM, 13, FALSE) / VLOOKUP("industry|SO2|Premature mortality", US_national_yearly!$D:$AM, 10, FALSE), 1)</f>
        <v>1.6339564962077342E-3</v>
      </c>
      <c r="F2" s="7">
        <f>$B2 * IFERROR(VLOOKUP("industry|SO2|Premature mortality", US_national_yearly!$D:$AM, 14, FALSE) / VLOOKUP("industry|SO2|Premature mortality", US_national_yearly!$D:$AM, 10, FALSE), 1)</f>
        <v>1.6539111154213633E-3</v>
      </c>
      <c r="G2" s="7">
        <f>$B2 * IFERROR(VLOOKUP("industry|SO2|Premature mortality", US_national_yearly!$D:$AM, 15, FALSE) / VLOOKUP("industry|SO2|Premature mortality", US_national_yearly!$D:$AM, 10, FALSE), 1)</f>
        <v>1.6923729179180024E-3</v>
      </c>
      <c r="H2" s="7">
        <f>$B2 * IFERROR(VLOOKUP("industry|SO2|Premature mortality", US_national_yearly!$D:$AM, 16, FALSE) / VLOOKUP("industry|SO2|Premature mortality", US_national_yearly!$D:$AM, 10, FALSE), 1)</f>
        <v>1.7308347204146415E-3</v>
      </c>
      <c r="I2" s="7">
        <f>$B2 * IFERROR(VLOOKUP("industry|SO2|Premature mortality", US_national_yearly!$D:$AM, 17, FALSE) / VLOOKUP("industry|SO2|Premature mortality", US_national_yearly!$D:$AM, 10, FALSE), 1)</f>
        <v>1.7563030002911814E-3</v>
      </c>
      <c r="J2" s="7">
        <f>$B2 * IFERROR(VLOOKUP("industry|SO2|Premature mortality", US_national_yearly!$D:$AM, 18, FALSE) / VLOOKUP("industry|SO2|Premature mortality", US_national_yearly!$D:$AM, 10, FALSE), 1)</f>
        <v>1.781771280167721E-3</v>
      </c>
      <c r="K2" s="7">
        <f>$B2 * IFERROR(VLOOKUP("industry|SO2|Premature mortality", US_national_yearly!$D:$AM, 19, FALSE) / VLOOKUP("industry|SO2|Premature mortality", US_national_yearly!$D:$AM, 10, FALSE), 1)</f>
        <v>1.8072395600442605E-3</v>
      </c>
      <c r="L2" s="7">
        <f>$B2 * IFERROR(VLOOKUP("industry|SO2|Premature mortality", US_national_yearly!$D:$AM, 20, FALSE) / VLOOKUP("industry|SO2|Premature mortality", US_national_yearly!$D:$AM, 10, FALSE), 1)</f>
        <v>1.8327078399208003E-3</v>
      </c>
      <c r="M2" s="7">
        <f>$B2 * IFERROR(VLOOKUP("industry|SO2|Premature mortality", US_national_yearly!$D:$AM, 21, FALSE) / VLOOKUP("industry|SO2|Premature mortality", US_national_yearly!$D:$AM, 10, FALSE), 1)</f>
        <v>1.8581761197973398E-3</v>
      </c>
      <c r="N2" s="7">
        <f>$B2 * IFERROR(VLOOKUP("industry|SO2|Premature mortality", US_national_yearly!$D:$AM, 22, FALSE) / VLOOKUP("industry|SO2|Premature mortality", US_national_yearly!$D:$AM, 10, FALSE), 1)</f>
        <v>1.8780983700336894E-3</v>
      </c>
      <c r="O2" s="7">
        <f>$B2 * IFERROR(VLOOKUP("industry|SO2|Premature mortality", US_national_yearly!$D:$AM, 23, FALSE) / VLOOKUP("industry|SO2|Premature mortality", US_national_yearly!$D:$AM, 10, FALSE), 1)</f>
        <v>1.8980206202700387E-3</v>
      </c>
      <c r="P2" s="7">
        <f>$B2 * IFERROR(VLOOKUP("industry|SO2|Premature mortality", US_national_yearly!$D:$AM, 24, FALSE) / VLOOKUP("industry|SO2|Premature mortality", US_national_yearly!$D:$AM, 10, FALSE), 1)</f>
        <v>1.9179428705063883E-3</v>
      </c>
      <c r="Q2" s="7">
        <f>$B2 * IFERROR(VLOOKUP("industry|SO2|Premature mortality", US_national_yearly!$D:$AM, 25, FALSE) / VLOOKUP("industry|SO2|Premature mortality", US_national_yearly!$D:$AM, 10, FALSE), 1)</f>
        <v>1.9378651207427376E-3</v>
      </c>
      <c r="R2" s="7">
        <f>$B2 * IFERROR(VLOOKUP("industry|SO2|Premature mortality", US_national_yearly!$D:$AM, 26, FALSE) / VLOOKUP("industry|SO2|Premature mortality", US_national_yearly!$D:$AM, 10, FALSE), 1)</f>
        <v>1.9577873709790872E-3</v>
      </c>
      <c r="S2" s="7">
        <f>$B2 * IFERROR(VLOOKUP("industry|SO2|Premature mortality", US_national_yearly!$D:$AM, 27, FALSE) / VLOOKUP("industry|SO2|Premature mortality", US_national_yearly!$D:$AM, 10, FALSE), 1)</f>
        <v>1.9685442885763291E-3</v>
      </c>
      <c r="T2" s="7">
        <f>$B2 * IFERROR(VLOOKUP("industry|SO2|Premature mortality", US_national_yearly!$D:$AM, 28, FALSE) / VLOOKUP("industry|SO2|Premature mortality", US_national_yearly!$D:$AM, 10, FALSE), 1)</f>
        <v>1.9793012061735714E-3</v>
      </c>
      <c r="U2" s="7">
        <f>$B2 * IFERROR(VLOOKUP("industry|SO2|Premature mortality", US_national_yearly!$D:$AM, 29, FALSE) / VLOOKUP("industry|SO2|Premature mortality", US_national_yearly!$D:$AM, 10, FALSE), 1)</f>
        <v>1.9900581237708142E-3</v>
      </c>
      <c r="V2" s="7">
        <f>$B2 * IFERROR(VLOOKUP("industry|SO2|Premature mortality", US_national_yearly!$D:$AM, 30, FALSE) / VLOOKUP("industry|SO2|Premature mortality", US_national_yearly!$D:$AM, 10, FALSE), 1)</f>
        <v>2.0008150413680565E-3</v>
      </c>
      <c r="W2" s="7">
        <f>$B2 * IFERROR(VLOOKUP("industry|SO2|Premature mortality", US_national_yearly!$D:$AM, 31, FALSE) / VLOOKUP("industry|SO2|Premature mortality", US_national_yearly!$D:$AM, 10, FALSE), 1)</f>
        <v>2.0115719589652989E-3</v>
      </c>
      <c r="X2" s="7">
        <f>$B2 * IFERROR(VLOOKUP("industry|SO2|Premature mortality", US_national_yearly!$D:$AM, 32, FALSE) / VLOOKUP("industry|SO2|Premature mortality", US_national_yearly!$D:$AM, 10, FALSE), 1)</f>
        <v>2.0138871758678088E-3</v>
      </c>
      <c r="Y2" s="7">
        <f>$B2 * IFERROR(VLOOKUP("industry|SO2|Premature mortality", US_national_yearly!$D:$AM, 33, FALSE) / VLOOKUP("industry|SO2|Premature mortality", US_national_yearly!$D:$AM, 10, FALSE), 1)</f>
        <v>2.0162023927703192E-3</v>
      </c>
      <c r="Z2" s="7">
        <f>$B2 * IFERROR(VLOOKUP("industry|SO2|Premature mortality", US_national_yearly!$D:$AM, 34, FALSE) / VLOOKUP("industry|SO2|Premature mortality", US_national_yearly!$D:$AM, 10, FALSE), 1)</f>
        <v>2.0185176096728296E-3</v>
      </c>
      <c r="AA2" s="7">
        <f>$B2 * IFERROR(VLOOKUP("industry|SO2|Premature mortality", US_national_yearly!$D:$AM, 35, FALSE) / VLOOKUP("industry|SO2|Premature mortality", US_national_yearly!$D:$AM, 10, FALSE), 1)</f>
        <v>2.02083282657534E-3</v>
      </c>
      <c r="AB2" s="7">
        <f>$B2 * IFERROR(VLOOKUP("industry|SO2|Premature mortality", US_national_yearly!$D:$AM, 36, FALSE) / VLOOKUP("industry|SO2|Premature mortality", US_national_yearly!$D:$AM, 10, FALSE), 1)</f>
        <v>2.02314804347785E-3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4.0105968951083766E-6</v>
      </c>
      <c r="C3" s="7">
        <f>$B3 * IFERROR(VLOOKUP("industry|SO2|Infant mortality", US_national_yearly!$D:$AM, 11, FALSE) / VLOOKUP("industry|SO2|Infant mortality", US_national_yearly!$D:$AM, 10, FALSE), 1)</f>
        <v>3.9760934207355221E-6</v>
      </c>
      <c r="D3" s="7">
        <f>$B3 * IFERROR(VLOOKUP("industry|SO2|Infant mortality", US_national_yearly!$D:$AM, 12, FALSE) / VLOOKUP("industry|SO2|Infant mortality", US_national_yearly!$D:$AM, 10, FALSE), 1)</f>
        <v>3.9415899463626684E-6</v>
      </c>
      <c r="E3" s="7">
        <f>$B3 * IFERROR(VLOOKUP("industry|SO2|Infant mortality", US_national_yearly!$D:$AM, 13, FALSE) / VLOOKUP("industry|SO2|Infant mortality", US_national_yearly!$D:$AM, 10, FALSE), 1)</f>
        <v>3.9070864719898139E-6</v>
      </c>
      <c r="F3" s="7">
        <f>$B3 * IFERROR(VLOOKUP("industry|SO2|Infant mortality", US_national_yearly!$D:$AM, 14, FALSE) / VLOOKUP("industry|SO2|Infant mortality", US_national_yearly!$D:$AM, 10, FALSE), 1)</f>
        <v>3.8725829976169602E-6</v>
      </c>
      <c r="G3" s="7">
        <f>$B3 * IFERROR(VLOOKUP("industry|SO2|Infant mortality", US_national_yearly!$D:$AM, 15, FALSE) / VLOOKUP("industry|SO2|Infant mortality", US_national_yearly!$D:$AM, 10, FALSE), 1)</f>
        <v>2.577972097296365E-6</v>
      </c>
      <c r="H3" s="7">
        <f>$B3 * IFERROR(VLOOKUP("industry|SO2|Infant mortality", US_national_yearly!$D:$AM, 16, FALSE) / VLOOKUP("industry|SO2|Infant mortality", US_national_yearly!$D:$AM, 10, FALSE), 1)</f>
        <v>1.2833611969757694E-6</v>
      </c>
      <c r="I3" s="7">
        <f>$B3 * IFERROR(VLOOKUP("industry|SO2|Infant mortality", US_national_yearly!$D:$AM, 17, FALSE) / VLOOKUP("industry|SO2|Infant mortality", US_national_yearly!$D:$AM, 10, FALSE), 1)</f>
        <v>1.2752119628337894E-6</v>
      </c>
      <c r="J3" s="7">
        <f>$B3 * IFERROR(VLOOKUP("industry|SO2|Infant mortality", US_national_yearly!$D:$AM, 18, FALSE) / VLOOKUP("industry|SO2|Infant mortality", US_national_yearly!$D:$AM, 10, FALSE), 1)</f>
        <v>1.2670627286918097E-6</v>
      </c>
      <c r="K3" s="7">
        <f>$B3 * IFERROR(VLOOKUP("industry|SO2|Infant mortality", US_national_yearly!$D:$AM, 19, FALSE) / VLOOKUP("industry|SO2|Infant mortality", US_national_yearly!$D:$AM, 10, FALSE), 1)</f>
        <v>1.2589134945498298E-6</v>
      </c>
      <c r="L3" s="7">
        <f>$B3 * IFERROR(VLOOKUP("industry|SO2|Infant mortality", US_national_yearly!$D:$AM, 20, FALSE) / VLOOKUP("industry|SO2|Infant mortality", US_national_yearly!$D:$AM, 10, FALSE), 1)</f>
        <v>1.2507642604078499E-6</v>
      </c>
      <c r="M3" s="7">
        <f>$B3 * IFERROR(VLOOKUP("industry|SO2|Infant mortality", US_national_yearly!$D:$AM, 21, FALSE) / VLOOKUP("industry|SO2|Infant mortality", US_national_yearly!$D:$AM, 10, FALSE), 1)</f>
        <v>1.2426150262658701E-6</v>
      </c>
      <c r="N3" s="7">
        <f>$B3 * IFERROR(VLOOKUP("industry|SO2|Infant mortality", US_national_yearly!$D:$AM, 22, FALSE) / VLOOKUP("industry|SO2|Infant mortality", US_national_yearly!$D:$AM, 10, FALSE), 1)</f>
        <v>1.2374500033820076E-6</v>
      </c>
      <c r="O3" s="7">
        <f>$B3 * IFERROR(VLOOKUP("industry|SO2|Infant mortality", US_national_yearly!$D:$AM, 23, FALSE) / VLOOKUP("industry|SO2|Infant mortality", US_national_yearly!$D:$AM, 10, FALSE), 1)</f>
        <v>1.2322849804981451E-6</v>
      </c>
      <c r="P3" s="7">
        <f>$B3 * IFERROR(VLOOKUP("industry|SO2|Infant mortality", US_national_yearly!$D:$AM, 24, FALSE) / VLOOKUP("industry|SO2|Infant mortality", US_national_yearly!$D:$AM, 10, FALSE), 1)</f>
        <v>1.2271199576142828E-6</v>
      </c>
      <c r="Q3" s="7">
        <f>$B3 * IFERROR(VLOOKUP("industry|SO2|Infant mortality", US_national_yearly!$D:$AM, 25, FALSE) / VLOOKUP("industry|SO2|Infant mortality", US_national_yearly!$D:$AM, 10, FALSE), 1)</f>
        <v>1.2219549347304203E-6</v>
      </c>
      <c r="R3" s="7">
        <f>$B3 * IFERROR(VLOOKUP("industry|SO2|Infant mortality", US_national_yearly!$D:$AM, 26, FALSE) / VLOOKUP("industry|SO2|Infant mortality", US_national_yearly!$D:$AM, 10, FALSE), 1)</f>
        <v>1.2167899118465578E-6</v>
      </c>
      <c r="S3" s="7">
        <f>$B3 * IFERROR(VLOOKUP("industry|SO2|Infant mortality", US_national_yearly!$D:$AM, 27, FALSE) / VLOOKUP("industry|SO2|Infant mortality", US_national_yearly!$D:$AM, 10, FALSE), 1)</f>
        <v>1.2103620997885408E-6</v>
      </c>
      <c r="T3" s="7">
        <f>$B3 * IFERROR(VLOOKUP("industry|SO2|Infant mortality", US_national_yearly!$D:$AM, 28, FALSE) / VLOOKUP("industry|SO2|Infant mortality", US_national_yearly!$D:$AM, 10, FALSE), 1)</f>
        <v>1.2039342877305236E-6</v>
      </c>
      <c r="U3" s="7">
        <f>$B3 * IFERROR(VLOOKUP("industry|SO2|Infant mortality", US_national_yearly!$D:$AM, 29, FALSE) / VLOOKUP("industry|SO2|Infant mortality", US_national_yearly!$D:$AM, 10, FALSE), 1)</f>
        <v>1.1975064756725065E-6</v>
      </c>
      <c r="V3" s="7">
        <f>$B3 * IFERROR(VLOOKUP("industry|SO2|Infant mortality", US_national_yearly!$D:$AM, 30, FALSE) / VLOOKUP("industry|SO2|Infant mortality", US_national_yearly!$D:$AM, 10, FALSE), 1)</f>
        <v>1.1910786636144893E-6</v>
      </c>
      <c r="W3" s="7">
        <f>$B3 * IFERROR(VLOOKUP("industry|SO2|Infant mortality", US_national_yearly!$D:$AM, 31, FALSE) / VLOOKUP("industry|SO2|Infant mortality", US_national_yearly!$D:$AM, 10, FALSE), 1)</f>
        <v>1.1846508515564722E-6</v>
      </c>
      <c r="X3" s="7">
        <f>$B3 * IFERROR(VLOOKUP("industry|SO2|Infant mortality", US_national_yearly!$D:$AM, 32, FALSE) / VLOOKUP("industry|SO2|Infant mortality", US_national_yearly!$D:$AM, 10, FALSE), 1)</f>
        <v>1.177665738044102E-6</v>
      </c>
      <c r="Y3" s="7">
        <f>$B3 * IFERROR(VLOOKUP("industry|SO2|Infant mortality", US_national_yearly!$D:$AM, 33, FALSE) / VLOOKUP("industry|SO2|Infant mortality", US_national_yearly!$D:$AM, 10, FALSE), 1)</f>
        <v>1.1706806245317316E-6</v>
      </c>
      <c r="Z3" s="7">
        <f>$B3 * IFERROR(VLOOKUP("industry|SO2|Infant mortality", US_national_yearly!$D:$AM, 34, FALSE) / VLOOKUP("industry|SO2|Infant mortality", US_national_yearly!$D:$AM, 10, FALSE), 1)</f>
        <v>1.1636955110193614E-6</v>
      </c>
      <c r="AA3" s="7">
        <f>$B3 * IFERROR(VLOOKUP("industry|SO2|Infant mortality", US_national_yearly!$D:$AM, 35, FALSE) / VLOOKUP("industry|SO2|Infant mortality", US_national_yearly!$D:$AM, 10, FALSE), 1)</f>
        <v>1.1567103975069911E-6</v>
      </c>
      <c r="AB3" s="7">
        <f>$B3 * IFERROR(VLOOKUP("industry|SO2|Infant mortality", US_national_yearly!$D:$AM, 36, FALSE) / VLOOKUP("industry|SO2|Infant mortality", US_national_yearly!$D:$AM, 10, FALSE), 1)</f>
        <v>1.1497252839946209E-6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4.7436437364237298E-3</v>
      </c>
      <c r="C6" s="7">
        <f>$B6 * IFERROR(VLOOKUP("industry|SO2|Asthma symptoms cough", US_national_yearly!$D:$AM, 11, FALSE) / VLOOKUP("industry|SO2|Asthma symptoms cough", US_national_yearly!$D:$AM, 10, FALSE), 1)</f>
        <v>4.7436437364237298E-3</v>
      </c>
      <c r="D6" s="7">
        <f>$B6 * IFERROR(VLOOKUP("industry|SO2|Asthma symptoms cough", US_national_yearly!$D:$AM, 12, FALSE) / VLOOKUP("industry|SO2|Asthma symptoms cough", US_national_yearly!$D:$AM, 10, FALSE), 1)</f>
        <v>4.7436437364237298E-3</v>
      </c>
      <c r="E6" s="7">
        <f>$B6 * IFERROR(VLOOKUP("industry|SO2|Asthma symptoms cough", US_national_yearly!$D:$AM, 13, FALSE) / VLOOKUP("industry|SO2|Asthma symptoms cough", US_national_yearly!$D:$AM, 10, FALSE), 1)</f>
        <v>4.7436437364237298E-3</v>
      </c>
      <c r="F6" s="7">
        <f>$B6 * IFERROR(VLOOKUP("industry|SO2|Asthma symptoms cough", US_national_yearly!$D:$AM, 14, FALSE) / VLOOKUP("industry|SO2|Asthma symptoms cough", US_national_yearly!$D:$AM, 10, FALSE), 1)</f>
        <v>4.7436437364237298E-3</v>
      </c>
      <c r="G6" s="7">
        <f>$B6 * IFERROR(VLOOKUP("industry|SO2|Asthma symptoms cough", US_national_yearly!$D:$AM, 15, FALSE) / VLOOKUP("industry|SO2|Asthma symptoms cough", US_national_yearly!$D:$AM, 10, FALSE), 1)</f>
        <v>4.7436437364237298E-3</v>
      </c>
      <c r="H6" s="7">
        <f>$B6 * IFERROR(VLOOKUP("industry|SO2|Asthma symptoms cough", US_national_yearly!$D:$AM, 16, FALSE) / VLOOKUP("industry|SO2|Asthma symptoms cough", US_national_yearly!$D:$AM, 10, FALSE), 1)</f>
        <v>4.7436437364237298E-3</v>
      </c>
      <c r="I6" s="7">
        <f>$B6 * IFERROR(VLOOKUP("industry|SO2|Asthma symptoms cough", US_national_yearly!$D:$AM, 17, FALSE) / VLOOKUP("industry|SO2|Asthma symptoms cough", US_national_yearly!$D:$AM, 10, FALSE), 1)</f>
        <v>4.7436437364237298E-3</v>
      </c>
      <c r="J6" s="7">
        <f>$B6 * IFERROR(VLOOKUP("industry|SO2|Asthma symptoms cough", US_national_yearly!$D:$AM, 18, FALSE) / VLOOKUP("industry|SO2|Asthma symptoms cough", US_national_yearly!$D:$AM, 10, FALSE), 1)</f>
        <v>4.7436437364237298E-3</v>
      </c>
      <c r="K6" s="7">
        <f>$B6 * IFERROR(VLOOKUP("industry|SO2|Asthma symptoms cough", US_national_yearly!$D:$AM, 19, FALSE) / VLOOKUP("industry|SO2|Asthma symptoms cough", US_national_yearly!$D:$AM, 10, FALSE), 1)</f>
        <v>4.7436437364237298E-3</v>
      </c>
      <c r="L6" s="7">
        <f>$B6 * IFERROR(VLOOKUP("industry|SO2|Asthma symptoms cough", US_national_yearly!$D:$AM, 20, FALSE) / VLOOKUP("industry|SO2|Asthma symptoms cough", US_national_yearly!$D:$AM, 10, FALSE), 1)</f>
        <v>4.7436437364237298E-3</v>
      </c>
      <c r="M6" s="7">
        <f>$B6 * IFERROR(VLOOKUP("industry|SO2|Asthma symptoms cough", US_national_yearly!$D:$AM, 21, FALSE) / VLOOKUP("industry|SO2|Asthma symptoms cough", US_national_yearly!$D:$AM, 10, FALSE), 1)</f>
        <v>4.7436437364237298E-3</v>
      </c>
      <c r="N6" s="7">
        <f>$B6 * IFERROR(VLOOKUP("industry|SO2|Asthma symptoms cough", US_national_yearly!$D:$AM, 22, FALSE) / VLOOKUP("industry|SO2|Asthma symptoms cough", US_national_yearly!$D:$AM, 10, FALSE), 1)</f>
        <v>4.7436437364237298E-3</v>
      </c>
      <c r="O6" s="7">
        <f>$B6 * IFERROR(VLOOKUP("industry|SO2|Asthma symptoms cough", US_national_yearly!$D:$AM, 23, FALSE) / VLOOKUP("industry|SO2|Asthma symptoms cough", US_national_yearly!$D:$AM, 10, FALSE), 1)</f>
        <v>4.7436437364237298E-3</v>
      </c>
      <c r="P6" s="7">
        <f>$B6 * IFERROR(VLOOKUP("industry|SO2|Asthma symptoms cough", US_national_yearly!$D:$AM, 24, FALSE) / VLOOKUP("industry|SO2|Asthma symptoms cough", US_national_yearly!$D:$AM, 10, FALSE), 1)</f>
        <v>4.7436437364237298E-3</v>
      </c>
      <c r="Q6" s="7">
        <f>$B6 * IFERROR(VLOOKUP("industry|SO2|Asthma symptoms cough", US_national_yearly!$D:$AM, 25, FALSE) / VLOOKUP("industry|SO2|Asthma symptoms cough", US_national_yearly!$D:$AM, 10, FALSE), 1)</f>
        <v>4.7436437364237298E-3</v>
      </c>
      <c r="R6" s="7">
        <f>$B6 * IFERROR(VLOOKUP("industry|SO2|Asthma symptoms cough", US_national_yearly!$D:$AM, 26, FALSE) / VLOOKUP("industry|SO2|Asthma symptoms cough", US_national_yearly!$D:$AM, 10, FALSE), 1)</f>
        <v>4.7436437364237298E-3</v>
      </c>
      <c r="S6" s="7">
        <f>$B6 * IFERROR(VLOOKUP("industry|SO2|Asthma symptoms cough", US_national_yearly!$D:$AM, 27, FALSE) / VLOOKUP("industry|SO2|Asthma symptoms cough", US_national_yearly!$D:$AM, 10, FALSE), 1)</f>
        <v>4.7436437364237298E-3</v>
      </c>
      <c r="T6" s="7">
        <f>$B6 * IFERROR(VLOOKUP("industry|SO2|Asthma symptoms cough", US_national_yearly!$D:$AM, 28, FALSE) / VLOOKUP("industry|SO2|Asthma symptoms cough", US_national_yearly!$D:$AM, 10, FALSE), 1)</f>
        <v>4.7436437364237298E-3</v>
      </c>
      <c r="U6" s="7">
        <f>$B6 * IFERROR(VLOOKUP("industry|SO2|Asthma symptoms cough", US_national_yearly!$D:$AM, 29, FALSE) / VLOOKUP("industry|SO2|Asthma symptoms cough", US_national_yearly!$D:$AM, 10, FALSE), 1)</f>
        <v>4.7436437364237298E-3</v>
      </c>
      <c r="V6" s="7">
        <f>$B6 * IFERROR(VLOOKUP("industry|SO2|Asthma symptoms cough", US_national_yearly!$D:$AM, 30, FALSE) / VLOOKUP("industry|SO2|Asthma symptoms cough", US_national_yearly!$D:$AM, 10, FALSE), 1)</f>
        <v>4.7436437364237298E-3</v>
      </c>
      <c r="W6" s="7">
        <f>$B6 * IFERROR(VLOOKUP("industry|SO2|Asthma symptoms cough", US_national_yearly!$D:$AM, 31, FALSE) / VLOOKUP("industry|SO2|Asthma symptoms cough", US_national_yearly!$D:$AM, 10, FALSE), 1)</f>
        <v>4.7436437364237298E-3</v>
      </c>
      <c r="X6" s="7">
        <f>$B6 * IFERROR(VLOOKUP("industry|SO2|Asthma symptoms cough", US_national_yearly!$D:$AM, 32, FALSE) / VLOOKUP("industry|SO2|Asthma symptoms cough", US_national_yearly!$D:$AM, 10, FALSE), 1)</f>
        <v>4.7436437364237298E-3</v>
      </c>
      <c r="Y6" s="7">
        <f>$B6 * IFERROR(VLOOKUP("industry|SO2|Asthma symptoms cough", US_national_yearly!$D:$AM, 33, FALSE) / VLOOKUP("industry|SO2|Asthma symptoms cough", US_national_yearly!$D:$AM, 10, FALSE), 1)</f>
        <v>4.7436437364237298E-3</v>
      </c>
      <c r="Z6" s="7">
        <f>$B6 * IFERROR(VLOOKUP("industry|SO2|Asthma symptoms cough", US_national_yearly!$D:$AM, 34, FALSE) / VLOOKUP("industry|SO2|Asthma symptoms cough", US_national_yearly!$D:$AM, 10, FALSE), 1)</f>
        <v>4.7436437364237298E-3</v>
      </c>
      <c r="AA6" s="7">
        <f>$B6 * IFERROR(VLOOKUP("industry|SO2|Asthma symptoms cough", US_national_yearly!$D:$AM, 35, FALSE) / VLOOKUP("industry|SO2|Asthma symptoms cough", US_national_yearly!$D:$AM, 10, FALSE), 1)</f>
        <v>4.7436437364237298E-3</v>
      </c>
      <c r="AB6" s="7">
        <f>$B6 * IFERROR(VLOOKUP("industry|SO2|Asthma symptoms cough", US_national_yearly!$D:$AM, 36, FALSE) / VLOOKUP("industry|SO2|Asthma symptoms cough", US_national_yearly!$D:$AM, 10, FALSE), 1)</f>
        <v>4.7436437364237298E-3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6.3879962398242065E-3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6.3879962398242065E-3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6.3879962398242065E-3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6.3879962398242065E-3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6.3879962398242065E-3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6.3879962398242065E-3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6.3879962398242065E-3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6.3879962398242065E-3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6.3879962398242065E-3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6.3879962398242065E-3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6.3879962398242065E-3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6.3879962398242065E-3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6.3879962398242065E-3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6.3879962398242065E-3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6.3879962398242065E-3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6.3879962398242065E-3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6.3879962398242065E-3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6.3879962398242065E-3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6.3879962398242065E-3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6.3879962398242065E-3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6.3879962398242065E-3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6.3879962398242065E-3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6.3879962398242065E-3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6.3879962398242065E-3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6.3879962398242065E-3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6.3879962398242065E-3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6.3879962398242065E-3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9.7598055243977074E-3</v>
      </c>
      <c r="C8" s="7">
        <f>$B8 * IFERROR(VLOOKUP("industry|SO2|Asthma symptoms wheeze", US_national_yearly!$D:$AM, 11, FALSE) / VLOOKUP("industry|SO2|Asthma symptoms wheeze", US_national_yearly!$D:$AM, 10, FALSE), 1)</f>
        <v>9.7598055243977074E-3</v>
      </c>
      <c r="D8" s="7">
        <f>$B8 * IFERROR(VLOOKUP("industry|SO2|Asthma symptoms wheeze", US_national_yearly!$D:$AM, 12, FALSE) / VLOOKUP("industry|SO2|Asthma symptoms wheeze", US_national_yearly!$D:$AM, 10, FALSE), 1)</f>
        <v>9.7598055243977074E-3</v>
      </c>
      <c r="E8" s="7">
        <f>$B8 * IFERROR(VLOOKUP("industry|SO2|Asthma symptoms wheeze", US_national_yearly!$D:$AM, 13, FALSE) / VLOOKUP("industry|SO2|Asthma symptoms wheeze", US_national_yearly!$D:$AM, 10, FALSE), 1)</f>
        <v>9.7598055243977074E-3</v>
      </c>
      <c r="F8" s="7">
        <f>$B8 * IFERROR(VLOOKUP("industry|SO2|Asthma symptoms wheeze", US_national_yearly!$D:$AM, 14, FALSE) / VLOOKUP("industry|SO2|Asthma symptoms wheeze", US_national_yearly!$D:$AM, 10, FALSE), 1)</f>
        <v>9.7598055243977074E-3</v>
      </c>
      <c r="G8" s="7">
        <f>$B8 * IFERROR(VLOOKUP("industry|SO2|Asthma symptoms wheeze", US_national_yearly!$D:$AM, 15, FALSE) / VLOOKUP("industry|SO2|Asthma symptoms wheeze", US_national_yearly!$D:$AM, 10, FALSE), 1)</f>
        <v>9.7598055243977074E-3</v>
      </c>
      <c r="H8" s="7">
        <f>$B8 * IFERROR(VLOOKUP("industry|SO2|Asthma symptoms wheeze", US_national_yearly!$D:$AM, 16, FALSE) / VLOOKUP("industry|SO2|Asthma symptoms wheeze", US_national_yearly!$D:$AM, 10, FALSE), 1)</f>
        <v>9.7598055243977074E-3</v>
      </c>
      <c r="I8" s="7">
        <f>$B8 * IFERROR(VLOOKUP("industry|SO2|Asthma symptoms wheeze", US_national_yearly!$D:$AM, 17, FALSE) / VLOOKUP("industry|SO2|Asthma symptoms wheeze", US_national_yearly!$D:$AM, 10, FALSE), 1)</f>
        <v>9.7598055243977074E-3</v>
      </c>
      <c r="J8" s="7">
        <f>$B8 * IFERROR(VLOOKUP("industry|SO2|Asthma symptoms wheeze", US_national_yearly!$D:$AM, 18, FALSE) / VLOOKUP("industry|SO2|Asthma symptoms wheeze", US_national_yearly!$D:$AM, 10, FALSE), 1)</f>
        <v>9.7598055243977074E-3</v>
      </c>
      <c r="K8" s="7">
        <f>$B8 * IFERROR(VLOOKUP("industry|SO2|Asthma symptoms wheeze", US_national_yearly!$D:$AM, 19, FALSE) / VLOOKUP("industry|SO2|Asthma symptoms wheeze", US_national_yearly!$D:$AM, 10, FALSE), 1)</f>
        <v>9.7598055243977074E-3</v>
      </c>
      <c r="L8" s="7">
        <f>$B8 * IFERROR(VLOOKUP("industry|SO2|Asthma symptoms wheeze", US_national_yearly!$D:$AM, 20, FALSE) / VLOOKUP("industry|SO2|Asthma symptoms wheeze", US_national_yearly!$D:$AM, 10, FALSE), 1)</f>
        <v>9.7598055243977074E-3</v>
      </c>
      <c r="M8" s="7">
        <f>$B8 * IFERROR(VLOOKUP("industry|SO2|Asthma symptoms wheeze", US_national_yearly!$D:$AM, 21, FALSE) / VLOOKUP("industry|SO2|Asthma symptoms wheeze", US_national_yearly!$D:$AM, 10, FALSE), 1)</f>
        <v>9.7598055243977074E-3</v>
      </c>
      <c r="N8" s="7">
        <f>$B8 * IFERROR(VLOOKUP("industry|SO2|Asthma symptoms wheeze", US_national_yearly!$D:$AM, 22, FALSE) / VLOOKUP("industry|SO2|Asthma symptoms wheeze", US_national_yearly!$D:$AM, 10, FALSE), 1)</f>
        <v>9.7598055243977074E-3</v>
      </c>
      <c r="O8" s="7">
        <f>$B8 * IFERROR(VLOOKUP("industry|SO2|Asthma symptoms wheeze", US_national_yearly!$D:$AM, 23, FALSE) / VLOOKUP("industry|SO2|Asthma symptoms wheeze", US_national_yearly!$D:$AM, 10, FALSE), 1)</f>
        <v>9.7598055243977074E-3</v>
      </c>
      <c r="P8" s="7">
        <f>$B8 * IFERROR(VLOOKUP("industry|SO2|Asthma symptoms wheeze", US_national_yearly!$D:$AM, 24, FALSE) / VLOOKUP("industry|SO2|Asthma symptoms wheeze", US_national_yearly!$D:$AM, 10, FALSE), 1)</f>
        <v>9.7598055243977074E-3</v>
      </c>
      <c r="Q8" s="7">
        <f>$B8 * IFERROR(VLOOKUP("industry|SO2|Asthma symptoms wheeze", US_national_yearly!$D:$AM, 25, FALSE) / VLOOKUP("industry|SO2|Asthma symptoms wheeze", US_national_yearly!$D:$AM, 10, FALSE), 1)</f>
        <v>9.7598055243977074E-3</v>
      </c>
      <c r="R8" s="7">
        <f>$B8 * IFERROR(VLOOKUP("industry|SO2|Asthma symptoms wheeze", US_national_yearly!$D:$AM, 26, FALSE) / VLOOKUP("industry|SO2|Asthma symptoms wheeze", US_national_yearly!$D:$AM, 10, FALSE), 1)</f>
        <v>9.7598055243977074E-3</v>
      </c>
      <c r="S8" s="7">
        <f>$B8 * IFERROR(VLOOKUP("industry|SO2|Asthma symptoms wheeze", US_national_yearly!$D:$AM, 27, FALSE) / VLOOKUP("industry|SO2|Asthma symptoms wheeze", US_national_yearly!$D:$AM, 10, FALSE), 1)</f>
        <v>9.7598055243977074E-3</v>
      </c>
      <c r="T8" s="7">
        <f>$B8 * IFERROR(VLOOKUP("industry|SO2|Asthma symptoms wheeze", US_national_yearly!$D:$AM, 28, FALSE) / VLOOKUP("industry|SO2|Asthma symptoms wheeze", US_national_yearly!$D:$AM, 10, FALSE), 1)</f>
        <v>9.7598055243977074E-3</v>
      </c>
      <c r="U8" s="7">
        <f>$B8 * IFERROR(VLOOKUP("industry|SO2|Asthma symptoms wheeze", US_national_yearly!$D:$AM, 29, FALSE) / VLOOKUP("industry|SO2|Asthma symptoms wheeze", US_national_yearly!$D:$AM, 10, FALSE), 1)</f>
        <v>9.7598055243977074E-3</v>
      </c>
      <c r="V8" s="7">
        <f>$B8 * IFERROR(VLOOKUP("industry|SO2|Asthma symptoms wheeze", US_national_yearly!$D:$AM, 30, FALSE) / VLOOKUP("industry|SO2|Asthma symptoms wheeze", US_national_yearly!$D:$AM, 10, FALSE), 1)</f>
        <v>9.7598055243977074E-3</v>
      </c>
      <c r="W8" s="7">
        <f>$B8 * IFERROR(VLOOKUP("industry|SO2|Asthma symptoms wheeze", US_national_yearly!$D:$AM, 31, FALSE) / VLOOKUP("industry|SO2|Asthma symptoms wheeze", US_national_yearly!$D:$AM, 10, FALSE), 1)</f>
        <v>9.7598055243977074E-3</v>
      </c>
      <c r="X8" s="7">
        <f>$B8 * IFERROR(VLOOKUP("industry|SO2|Asthma symptoms wheeze", US_national_yearly!$D:$AM, 32, FALSE) / VLOOKUP("industry|SO2|Asthma symptoms wheeze", US_national_yearly!$D:$AM, 10, FALSE), 1)</f>
        <v>9.7598055243977074E-3</v>
      </c>
      <c r="Y8" s="7">
        <f>$B8 * IFERROR(VLOOKUP("industry|SO2|Asthma symptoms wheeze", US_national_yearly!$D:$AM, 33, FALSE) / VLOOKUP("industry|SO2|Asthma symptoms wheeze", US_national_yearly!$D:$AM, 10, FALSE), 1)</f>
        <v>9.7598055243977074E-3</v>
      </c>
      <c r="Z8" s="7">
        <f>$B8 * IFERROR(VLOOKUP("industry|SO2|Asthma symptoms wheeze", US_national_yearly!$D:$AM, 34, FALSE) / VLOOKUP("industry|SO2|Asthma symptoms wheeze", US_national_yearly!$D:$AM, 10, FALSE), 1)</f>
        <v>9.7598055243977074E-3</v>
      </c>
      <c r="AA8" s="7">
        <f>$B8 * IFERROR(VLOOKUP("industry|SO2|Asthma symptoms wheeze", US_national_yearly!$D:$AM, 35, FALSE) / VLOOKUP("industry|SO2|Asthma symptoms wheeze", US_national_yearly!$D:$AM, 10, FALSE), 1)</f>
        <v>9.7598055243977074E-3</v>
      </c>
      <c r="AB8" s="7">
        <f>$B8 * IFERROR(VLOOKUP("industry|SO2|Asthma symptoms wheeze", US_national_yearly!$D:$AM, 36, FALSE) / VLOOKUP("industry|SO2|Asthma symptoms wheeze", US_national_yearly!$D:$AM, 10, FALSE), 1)</f>
        <v>9.7598055243977074E-3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1.045383944920689E-4</v>
      </c>
      <c r="C12" s="7">
        <f>$B12 * IFERROR(VLOOKUP("industry|SO2|Respiratory hospital admissions", US_national_yearly!$D:$AM, 11, FALSE) / VLOOKUP("industry|SO2|Respiratory hospital admissions", US_national_yearly!$D:$AM, 10, FALSE), 1)</f>
        <v>1.0515078991460495E-4</v>
      </c>
      <c r="D12" s="7">
        <f>$B12 * IFERROR(VLOOKUP("industry|SO2|Respiratory hospital admissions", US_national_yearly!$D:$AM, 12, FALSE) / VLOOKUP("industry|SO2|Respiratory hospital admissions", US_national_yearly!$D:$AM, 10, FALSE), 1)</f>
        <v>1.05763185337141E-4</v>
      </c>
      <c r="E12" s="7">
        <f>$B12 * IFERROR(VLOOKUP("industry|SO2|Respiratory hospital admissions", US_national_yearly!$D:$AM, 13, FALSE) / VLOOKUP("industry|SO2|Respiratory hospital admissions", US_national_yearly!$D:$AM, 10, FALSE), 1)</f>
        <v>1.0637558075967705E-4</v>
      </c>
      <c r="F12" s="7">
        <f>$B12 * IFERROR(VLOOKUP("industry|SO2|Respiratory hospital admissions", US_national_yearly!$D:$AM, 14, FALSE) / VLOOKUP("industry|SO2|Respiratory hospital admissions", US_national_yearly!$D:$AM, 10, FALSE), 1)</f>
        <v>1.0698797618221313E-4</v>
      </c>
      <c r="G12" s="7">
        <f>$B12 * IFERROR(VLOOKUP("industry|SO2|Respiratory hospital admissions", US_national_yearly!$D:$AM, 15, FALSE) / VLOOKUP("industry|SO2|Respiratory hospital admissions", US_national_yearly!$D:$AM, 10, FALSE), 1)</f>
        <v>1.076556056558836E-4</v>
      </c>
      <c r="H12" s="7">
        <f>$B12 * IFERROR(VLOOKUP("industry|SO2|Respiratory hospital admissions", US_national_yearly!$D:$AM, 16, FALSE) / VLOOKUP("industry|SO2|Respiratory hospital admissions", US_national_yearly!$D:$AM, 10, FALSE), 1)</f>
        <v>1.0832323512955406E-4</v>
      </c>
      <c r="I12" s="7">
        <f>$B12 * IFERROR(VLOOKUP("industry|SO2|Respiratory hospital admissions", US_national_yearly!$D:$AM, 17, FALSE) / VLOOKUP("industry|SO2|Respiratory hospital admissions", US_national_yearly!$D:$AM, 10, FALSE), 1)</f>
        <v>1.0897895674465206E-4</v>
      </c>
      <c r="J12" s="7">
        <f>$B12 * IFERROR(VLOOKUP("industry|SO2|Respiratory hospital admissions", US_national_yearly!$D:$AM, 18, FALSE) / VLOOKUP("industry|SO2|Respiratory hospital admissions", US_national_yearly!$D:$AM, 10, FALSE), 1)</f>
        <v>1.0963467835975005E-4</v>
      </c>
      <c r="K12" s="7">
        <f>$B12 * IFERROR(VLOOKUP("industry|SO2|Respiratory hospital admissions", US_national_yearly!$D:$AM, 19, FALSE) / VLOOKUP("industry|SO2|Respiratory hospital admissions", US_national_yearly!$D:$AM, 10, FALSE), 1)</f>
        <v>1.1029039997484802E-4</v>
      </c>
      <c r="L12" s="7">
        <f>$B12 * IFERROR(VLOOKUP("industry|SO2|Respiratory hospital admissions", US_national_yearly!$D:$AM, 20, FALSE) / VLOOKUP("industry|SO2|Respiratory hospital admissions", US_national_yearly!$D:$AM, 10, FALSE), 1)</f>
        <v>1.1094612158994602E-4</v>
      </c>
      <c r="M12" s="7">
        <f>$B12 * IFERROR(VLOOKUP("industry|SO2|Respiratory hospital admissions", US_national_yearly!$D:$AM, 21, FALSE) / VLOOKUP("industry|SO2|Respiratory hospital admissions", US_national_yearly!$D:$AM, 10, FALSE), 1)</f>
        <v>1.1160184320504401E-4</v>
      </c>
      <c r="N12" s="7">
        <f>$B12 * IFERROR(VLOOKUP("industry|SO2|Respiratory hospital admissions", US_national_yearly!$D:$AM, 22, FALSE) / VLOOKUP("industry|SO2|Respiratory hospital admissions", US_national_yearly!$D:$AM, 10, FALSE), 1)</f>
        <v>1.1207633259509619E-4</v>
      </c>
      <c r="O12" s="7">
        <f>$B12 * IFERROR(VLOOKUP("industry|SO2|Respiratory hospital admissions", US_national_yearly!$D:$AM, 23, FALSE) / VLOOKUP("industry|SO2|Respiratory hospital admissions", US_national_yearly!$D:$AM, 10, FALSE), 1)</f>
        <v>1.1255082198514836E-4</v>
      </c>
      <c r="P12" s="7">
        <f>$B12 * IFERROR(VLOOKUP("industry|SO2|Respiratory hospital admissions", US_national_yearly!$D:$AM, 24, FALSE) / VLOOKUP("industry|SO2|Respiratory hospital admissions", US_national_yearly!$D:$AM, 10, FALSE), 1)</f>
        <v>1.1302531137520052E-4</v>
      </c>
      <c r="Q12" s="7">
        <f>$B12 * IFERROR(VLOOKUP("industry|SO2|Respiratory hospital admissions", US_national_yearly!$D:$AM, 25, FALSE) / VLOOKUP("industry|SO2|Respiratory hospital admissions", US_national_yearly!$D:$AM, 10, FALSE), 1)</f>
        <v>1.134998007652527E-4</v>
      </c>
      <c r="R12" s="7">
        <f>$B12 * IFERROR(VLOOKUP("industry|SO2|Respiratory hospital admissions", US_national_yearly!$D:$AM, 26, FALSE) / VLOOKUP("industry|SO2|Respiratory hospital admissions", US_national_yearly!$D:$AM, 10, FALSE), 1)</f>
        <v>1.1397429015530484E-4</v>
      </c>
      <c r="S12" s="7">
        <f>$B12 * IFERROR(VLOOKUP("industry|SO2|Respiratory hospital admissions", US_national_yearly!$D:$AM, 27, FALSE) / VLOOKUP("industry|SO2|Respiratory hospital admissions", US_national_yearly!$D:$AM, 10, FALSE), 1)</f>
        <v>1.1442521979127565E-4</v>
      </c>
      <c r="T12" s="7">
        <f>$B12 * IFERROR(VLOOKUP("industry|SO2|Respiratory hospital admissions", US_national_yearly!$D:$AM, 28, FALSE) / VLOOKUP("industry|SO2|Respiratory hospital admissions", US_national_yearly!$D:$AM, 10, FALSE), 1)</f>
        <v>1.1487614942724643E-4</v>
      </c>
      <c r="U12" s="7">
        <f>$B12 * IFERROR(VLOOKUP("industry|SO2|Respiratory hospital admissions", US_national_yearly!$D:$AM, 29, FALSE) / VLOOKUP("industry|SO2|Respiratory hospital admissions", US_national_yearly!$D:$AM, 10, FALSE), 1)</f>
        <v>1.1532707906321722E-4</v>
      </c>
      <c r="V12" s="7">
        <f>$B12 * IFERROR(VLOOKUP("industry|SO2|Respiratory hospital admissions", US_national_yearly!$D:$AM, 30, FALSE) / VLOOKUP("industry|SO2|Respiratory hospital admissions", US_national_yearly!$D:$AM, 10, FALSE), 1)</f>
        <v>1.1577800869918803E-4</v>
      </c>
      <c r="W12" s="7">
        <f>$B12 * IFERROR(VLOOKUP("industry|SO2|Respiratory hospital admissions", US_national_yearly!$D:$AM, 31, FALSE) / VLOOKUP("industry|SO2|Respiratory hospital admissions", US_national_yearly!$D:$AM, 10, FALSE), 1)</f>
        <v>1.1622893833515881E-4</v>
      </c>
      <c r="X12" s="7">
        <f>$B12 * IFERROR(VLOOKUP("industry|SO2|Respiratory hospital admissions", US_national_yearly!$D:$AM, 32, FALSE) / VLOOKUP("industry|SO2|Respiratory hospital admissions", US_national_yearly!$D:$AM, 10, FALSE), 1)</f>
        <v>1.1665714789129087E-4</v>
      </c>
      <c r="Y12" s="7">
        <f>$B12 * IFERROR(VLOOKUP("industry|SO2|Respiratory hospital admissions", US_national_yearly!$D:$AM, 33, FALSE) / VLOOKUP("industry|SO2|Respiratory hospital admissions", US_national_yearly!$D:$AM, 10, FALSE), 1)</f>
        <v>1.1708535744742296E-4</v>
      </c>
      <c r="Z12" s="7">
        <f>$B12 * IFERROR(VLOOKUP("industry|SO2|Respiratory hospital admissions", US_national_yearly!$D:$AM, 34, FALSE) / VLOOKUP("industry|SO2|Respiratory hospital admissions", US_national_yearly!$D:$AM, 10, FALSE), 1)</f>
        <v>1.1751356700355501E-4</v>
      </c>
      <c r="AA12" s="7">
        <f>$B12 * IFERROR(VLOOKUP("industry|SO2|Respiratory hospital admissions", US_national_yearly!$D:$AM, 35, FALSE) / VLOOKUP("industry|SO2|Respiratory hospital admissions", US_national_yearly!$D:$AM, 10, FALSE), 1)</f>
        <v>1.1794177655968707E-4</v>
      </c>
      <c r="AB12" s="7">
        <f>$B12 * IFERROR(VLOOKUP("industry|SO2|Respiratory hospital admissions", US_national_yearly!$D:$AM, 36, FALSE) / VLOOKUP("industry|SO2|Respiratory hospital admissions", US_national_yearly!$D:$AM, 10, FALSE), 1)</f>
        <v>1.1836998611581915E-4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5.6601296002232093E-4</v>
      </c>
      <c r="C13" s="7">
        <f>$B13 * IFERROR(VLOOKUP("industry|SO2|Non-fatal heart attacks", US_national_yearly!$D:$AM, 11, FALSE) / VLOOKUP("industry|SO2|Non-fatal heart attacks", US_national_yearly!$D:$AM, 10, FALSE), 1)</f>
        <v>5.8262897801645978E-4</v>
      </c>
      <c r="D13" s="7">
        <f>$B13 * IFERROR(VLOOKUP("industry|SO2|Non-fatal heart attacks", US_national_yearly!$D:$AM, 12, FALSE) / VLOOKUP("industry|SO2|Non-fatal heart attacks", US_national_yearly!$D:$AM, 10, FALSE), 1)</f>
        <v>5.9924499601059851E-4</v>
      </c>
      <c r="E13" s="7">
        <f>$B13 * IFERROR(VLOOKUP("industry|SO2|Non-fatal heart attacks", US_national_yearly!$D:$AM, 13, FALSE) / VLOOKUP("industry|SO2|Non-fatal heart attacks", US_national_yearly!$D:$AM, 10, FALSE), 1)</f>
        <v>6.1586101400473725E-4</v>
      </c>
      <c r="F13" s="7">
        <f>$B13 * IFERROR(VLOOKUP("industry|SO2|Non-fatal heart attacks", US_national_yearly!$D:$AM, 14, FALSE) / VLOOKUP("industry|SO2|Non-fatal heart attacks", US_national_yearly!$D:$AM, 10, FALSE), 1)</f>
        <v>6.3247703199887609E-4</v>
      </c>
      <c r="G13" s="7">
        <f>$B13 * IFERROR(VLOOKUP("industry|SO2|Non-fatal heart attacks", US_national_yearly!$D:$AM, 15, FALSE) / VLOOKUP("industry|SO2|Non-fatal heart attacks", US_national_yearly!$D:$AM, 10, FALSE), 1)</f>
        <v>6.481578982055965E-4</v>
      </c>
      <c r="H13" s="7">
        <f>$B13 * IFERROR(VLOOKUP("industry|SO2|Non-fatal heart attacks", US_national_yearly!$D:$AM, 16, FALSE) / VLOOKUP("industry|SO2|Non-fatal heart attacks", US_national_yearly!$D:$AM, 10, FALSE), 1)</f>
        <v>6.6383876441231712E-4</v>
      </c>
      <c r="I13" s="7">
        <f>$B13 * IFERROR(VLOOKUP("industry|SO2|Non-fatal heart attacks", US_national_yearly!$D:$AM, 17, FALSE) / VLOOKUP("industry|SO2|Non-fatal heart attacks", US_national_yearly!$D:$AM, 10, FALSE), 1)</f>
        <v>6.7648025683952732E-4</v>
      </c>
      <c r="J13" s="7">
        <f>$B13 * IFERROR(VLOOKUP("industry|SO2|Non-fatal heart attacks", US_national_yearly!$D:$AM, 18, FALSE) / VLOOKUP("industry|SO2|Non-fatal heart attacks", US_national_yearly!$D:$AM, 10, FALSE), 1)</f>
        <v>6.8912174926673774E-4</v>
      </c>
      <c r="K13" s="7">
        <f>$B13 * IFERROR(VLOOKUP("industry|SO2|Non-fatal heart attacks", US_national_yearly!$D:$AM, 19, FALSE) / VLOOKUP("industry|SO2|Non-fatal heart attacks", US_national_yearly!$D:$AM, 10, FALSE), 1)</f>
        <v>7.0176324169394816E-4</v>
      </c>
      <c r="L13" s="7">
        <f>$B13 * IFERROR(VLOOKUP("industry|SO2|Non-fatal heart attacks", US_national_yearly!$D:$AM, 20, FALSE) / VLOOKUP("industry|SO2|Non-fatal heart attacks", US_national_yearly!$D:$AM, 10, FALSE), 1)</f>
        <v>7.1440473412115848E-4</v>
      </c>
      <c r="M13" s="7">
        <f>$B13 * IFERROR(VLOOKUP("industry|SO2|Non-fatal heart attacks", US_national_yearly!$D:$AM, 21, FALSE) / VLOOKUP("industry|SO2|Non-fatal heart attacks", US_national_yearly!$D:$AM, 10, FALSE), 1)</f>
        <v>7.270462265483689E-4</v>
      </c>
      <c r="N13" s="7">
        <f>$B13 * IFERROR(VLOOKUP("industry|SO2|Non-fatal heart attacks", US_national_yearly!$D:$AM, 22, FALSE) / VLOOKUP("industry|SO2|Non-fatal heart attacks", US_national_yearly!$D:$AM, 10, FALSE), 1)</f>
        <v>7.3525881351621785E-4</v>
      </c>
      <c r="O13" s="7">
        <f>$B13 * IFERROR(VLOOKUP("industry|SO2|Non-fatal heart attacks", US_national_yearly!$D:$AM, 23, FALSE) / VLOOKUP("industry|SO2|Non-fatal heart attacks", US_national_yearly!$D:$AM, 10, FALSE), 1)</f>
        <v>7.4347140048406702E-4</v>
      </c>
      <c r="P13" s="7">
        <f>$B13 * IFERROR(VLOOKUP("industry|SO2|Non-fatal heart attacks", US_national_yearly!$D:$AM, 24, FALSE) / VLOOKUP("industry|SO2|Non-fatal heart attacks", US_national_yearly!$D:$AM, 10, FALSE), 1)</f>
        <v>7.5168398745191598E-4</v>
      </c>
      <c r="Q13" s="7">
        <f>$B13 * IFERROR(VLOOKUP("industry|SO2|Non-fatal heart attacks", US_national_yearly!$D:$AM, 25, FALSE) / VLOOKUP("industry|SO2|Non-fatal heart attacks", US_national_yearly!$D:$AM, 10, FALSE), 1)</f>
        <v>7.5989657441976493E-4</v>
      </c>
      <c r="R13" s="7">
        <f>$B13 * IFERROR(VLOOKUP("industry|SO2|Non-fatal heart attacks", US_national_yearly!$D:$AM, 26, FALSE) / VLOOKUP("industry|SO2|Non-fatal heart attacks", US_national_yearly!$D:$AM, 10, FALSE), 1)</f>
        <v>7.6810916138761399E-4</v>
      </c>
      <c r="S13" s="7">
        <f>$B13 * IFERROR(VLOOKUP("industry|SO2|Non-fatal heart attacks", US_national_yearly!$D:$AM, 27, FALSE) / VLOOKUP("industry|SO2|Non-fatal heart attacks", US_national_yearly!$D:$AM, 10, FALSE), 1)</f>
        <v>7.724225328125271E-4</v>
      </c>
      <c r="T13" s="7">
        <f>$B13 * IFERROR(VLOOKUP("industry|SO2|Non-fatal heart attacks", US_national_yearly!$D:$AM, 28, FALSE) / VLOOKUP("industry|SO2|Non-fatal heart attacks", US_national_yearly!$D:$AM, 10, FALSE), 1)</f>
        <v>7.7673590423744032E-4</v>
      </c>
      <c r="U13" s="7">
        <f>$B13 * IFERROR(VLOOKUP("industry|SO2|Non-fatal heart attacks", US_national_yearly!$D:$AM, 29, FALSE) / VLOOKUP("industry|SO2|Non-fatal heart attacks", US_national_yearly!$D:$AM, 10, FALSE), 1)</f>
        <v>7.8104927566235343E-4</v>
      </c>
      <c r="V13" s="7">
        <f>$B13 * IFERROR(VLOOKUP("industry|SO2|Non-fatal heart attacks", US_national_yearly!$D:$AM, 30, FALSE) / VLOOKUP("industry|SO2|Non-fatal heart attacks", US_national_yearly!$D:$AM, 10, FALSE), 1)</f>
        <v>7.8536264708726664E-4</v>
      </c>
      <c r="W13" s="7">
        <f>$B13 * IFERROR(VLOOKUP("industry|SO2|Non-fatal heart attacks", US_national_yearly!$D:$AM, 31, FALSE) / VLOOKUP("industry|SO2|Non-fatal heart attacks", US_national_yearly!$D:$AM, 10, FALSE), 1)</f>
        <v>7.8967601851217975E-4</v>
      </c>
      <c r="X13" s="7">
        <f>$B13 * IFERROR(VLOOKUP("industry|SO2|Non-fatal heart attacks", US_national_yearly!$D:$AM, 32, FALSE) / VLOOKUP("industry|SO2|Non-fatal heart attacks", US_national_yearly!$D:$AM, 10, FALSE), 1)</f>
        <v>7.9295189963801921E-4</v>
      </c>
      <c r="Y13" s="7">
        <f>$B13 * IFERROR(VLOOKUP("industry|SO2|Non-fatal heart attacks", US_national_yearly!$D:$AM, 33, FALSE) / VLOOKUP("industry|SO2|Non-fatal heart attacks", US_national_yearly!$D:$AM, 10, FALSE), 1)</f>
        <v>7.9622778076385867E-4</v>
      </c>
      <c r="Z13" s="7">
        <f>$B13 * IFERROR(VLOOKUP("industry|SO2|Non-fatal heart attacks", US_national_yearly!$D:$AM, 34, FALSE) / VLOOKUP("industry|SO2|Non-fatal heart attacks", US_national_yearly!$D:$AM, 10, FALSE), 1)</f>
        <v>7.9950366188969813E-4</v>
      </c>
      <c r="AA13" s="7">
        <f>$B13 * IFERROR(VLOOKUP("industry|SO2|Non-fatal heart attacks", US_national_yearly!$D:$AM, 35, FALSE) / VLOOKUP("industry|SO2|Non-fatal heart attacks", US_national_yearly!$D:$AM, 10, FALSE), 1)</f>
        <v>8.0277954301553769E-4</v>
      </c>
      <c r="AB13" s="7">
        <f>$B13 * IFERROR(VLOOKUP("industry|SO2|Non-fatal heart attacks", US_national_yearly!$D:$AM, 36, FALSE) / VLOOKUP("industry|SO2|Non-fatal heart attacks", US_national_yearly!$D:$AM, 10, FALSE), 1)</f>
        <v>8.0605542414137726E-4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0.53002917306813002</v>
      </c>
      <c r="C14" s="7">
        <f>$B14 * IFERROR(VLOOKUP("industry|SO2|Minor restricted activity days", US_national_yearly!$D:$AM, 11, FALSE) / VLOOKUP("industry|SO2|Minor restricted activity days", US_national_yearly!$D:$AM, 10, FALSE), 1)</f>
        <v>0.53135498223558297</v>
      </c>
      <c r="D14" s="7">
        <f>$B14 * IFERROR(VLOOKUP("industry|SO2|Minor restricted activity days", US_national_yearly!$D:$AM, 12, FALSE) / VLOOKUP("industry|SO2|Minor restricted activity days", US_national_yearly!$D:$AM, 10, FALSE), 1)</f>
        <v>0.53268079140303592</v>
      </c>
      <c r="E14" s="7">
        <f>$B14 * IFERROR(VLOOKUP("industry|SO2|Minor restricted activity days", US_national_yearly!$D:$AM, 13, FALSE) / VLOOKUP("industry|SO2|Minor restricted activity days", US_national_yearly!$D:$AM, 10, FALSE), 1)</f>
        <v>0.53400660057048888</v>
      </c>
      <c r="F14" s="7">
        <f>$B14 * IFERROR(VLOOKUP("industry|SO2|Minor restricted activity days", US_national_yearly!$D:$AM, 14, FALSE) / VLOOKUP("industry|SO2|Minor restricted activity days", US_national_yearly!$D:$AM, 10, FALSE), 1)</f>
        <v>0.53533240973794183</v>
      </c>
      <c r="G14" s="7">
        <f>$B14 * IFERROR(VLOOKUP("industry|SO2|Minor restricted activity days", US_national_yearly!$D:$AM, 15, FALSE) / VLOOKUP("industry|SO2|Minor restricted activity days", US_national_yearly!$D:$AM, 10, FALSE), 1)</f>
        <v>0.53728280135602324</v>
      </c>
      <c r="H14" s="7">
        <f>$B14 * IFERROR(VLOOKUP("industry|SO2|Minor restricted activity days", US_national_yearly!$D:$AM, 16, FALSE) / VLOOKUP("industry|SO2|Minor restricted activity days", US_national_yearly!$D:$AM, 10, FALSE), 1)</f>
        <v>0.53923319297410466</v>
      </c>
      <c r="I14" s="7">
        <f>$B14 * IFERROR(VLOOKUP("industry|SO2|Minor restricted activity days", US_national_yearly!$D:$AM, 17, FALSE) / VLOOKUP("industry|SO2|Minor restricted activity days", US_national_yearly!$D:$AM, 10, FALSE), 1)</f>
        <v>0.54255920063191709</v>
      </c>
      <c r="J14" s="7">
        <f>$B14 * IFERROR(VLOOKUP("industry|SO2|Minor restricted activity days", US_national_yearly!$D:$AM, 18, FALSE) / VLOOKUP("industry|SO2|Minor restricted activity days", US_national_yearly!$D:$AM, 10, FALSE), 1)</f>
        <v>0.54588520828972953</v>
      </c>
      <c r="K14" s="7">
        <f>$B14 * IFERROR(VLOOKUP("industry|SO2|Minor restricted activity days", US_national_yearly!$D:$AM, 19, FALSE) / VLOOKUP("industry|SO2|Minor restricted activity days", US_national_yearly!$D:$AM, 10, FALSE), 1)</f>
        <v>0.54921121594754208</v>
      </c>
      <c r="L14" s="7">
        <f>$B14 * IFERROR(VLOOKUP("industry|SO2|Minor restricted activity days", US_national_yearly!$D:$AM, 20, FALSE) / VLOOKUP("industry|SO2|Minor restricted activity days", US_national_yearly!$D:$AM, 10, FALSE), 1)</f>
        <v>0.55253722360535451</v>
      </c>
      <c r="M14" s="7">
        <f>$B14 * IFERROR(VLOOKUP("industry|SO2|Minor restricted activity days", US_national_yearly!$D:$AM, 21, FALSE) / VLOOKUP("industry|SO2|Minor restricted activity days", US_national_yearly!$D:$AM, 10, FALSE), 1)</f>
        <v>0.55586323126316695</v>
      </c>
      <c r="N14" s="7">
        <f>$B14 * IFERROR(VLOOKUP("industry|SO2|Minor restricted activity days", US_national_yearly!$D:$AM, 22, FALSE) / VLOOKUP("industry|SO2|Minor restricted activity days", US_national_yearly!$D:$AM, 10, FALSE), 1)</f>
        <v>0.56042358777171697</v>
      </c>
      <c r="O14" s="7">
        <f>$B14 * IFERROR(VLOOKUP("industry|SO2|Minor restricted activity days", US_national_yearly!$D:$AM, 23, FALSE) / VLOOKUP("industry|SO2|Minor restricted activity days", US_national_yearly!$D:$AM, 10, FALSE), 1)</f>
        <v>0.56498394428026699</v>
      </c>
      <c r="P14" s="7">
        <f>$B14 * IFERROR(VLOOKUP("industry|SO2|Minor restricted activity days", US_national_yearly!$D:$AM, 24, FALSE) / VLOOKUP("industry|SO2|Minor restricted activity days", US_national_yearly!$D:$AM, 10, FALSE), 1)</f>
        <v>0.5695443007888169</v>
      </c>
      <c r="Q14" s="7">
        <f>$B14 * IFERROR(VLOOKUP("industry|SO2|Minor restricted activity days", US_national_yearly!$D:$AM, 25, FALSE) / VLOOKUP("industry|SO2|Minor restricted activity days", US_national_yearly!$D:$AM, 10, FALSE), 1)</f>
        <v>0.57410465729736704</v>
      </c>
      <c r="R14" s="7">
        <f>$B14 * IFERROR(VLOOKUP("industry|SO2|Minor restricted activity days", US_national_yearly!$D:$AM, 26, FALSE) / VLOOKUP("industry|SO2|Minor restricted activity days", US_national_yearly!$D:$AM, 10, FALSE), 1)</f>
        <v>0.57866501380591706</v>
      </c>
      <c r="S14" s="7">
        <f>$B14 * IFERROR(VLOOKUP("industry|SO2|Minor restricted activity days", US_national_yearly!$D:$AM, 27, FALSE) / VLOOKUP("industry|SO2|Minor restricted activity days", US_national_yearly!$D:$AM, 10, FALSE), 1)</f>
        <v>0.58331922592633201</v>
      </c>
      <c r="T14" s="7">
        <f>$B14 * IFERROR(VLOOKUP("industry|SO2|Minor restricted activity days", US_national_yearly!$D:$AM, 28, FALSE) / VLOOKUP("industry|SO2|Minor restricted activity days", US_national_yearly!$D:$AM, 10, FALSE), 1)</f>
        <v>0.58797343804674695</v>
      </c>
      <c r="U14" s="7">
        <f>$B14 * IFERROR(VLOOKUP("industry|SO2|Minor restricted activity days", US_national_yearly!$D:$AM, 29, FALSE) / VLOOKUP("industry|SO2|Minor restricted activity days", US_national_yearly!$D:$AM, 10, FALSE), 1)</f>
        <v>0.5926276501671619</v>
      </c>
      <c r="V14" s="7">
        <f>$B14 * IFERROR(VLOOKUP("industry|SO2|Minor restricted activity days", US_national_yearly!$D:$AM, 30, FALSE) / VLOOKUP("industry|SO2|Minor restricted activity days", US_national_yearly!$D:$AM, 10, FALSE), 1)</f>
        <v>0.59728186228757696</v>
      </c>
      <c r="W14" s="7">
        <f>$B14 * IFERROR(VLOOKUP("industry|SO2|Minor restricted activity days", US_national_yearly!$D:$AM, 31, FALSE) / VLOOKUP("industry|SO2|Minor restricted activity days", US_national_yearly!$D:$AM, 10, FALSE), 1)</f>
        <v>0.60193607440799191</v>
      </c>
      <c r="X14" s="7">
        <f>$B14 * IFERROR(VLOOKUP("industry|SO2|Minor restricted activity days", US_national_yearly!$D:$AM, 32, FALSE) / VLOOKUP("industry|SO2|Minor restricted activity days", US_national_yearly!$D:$AM, 10, FALSE), 1)</f>
        <v>0.6060284863917641</v>
      </c>
      <c r="Y14" s="7">
        <f>$B14 * IFERROR(VLOOKUP("industry|SO2|Minor restricted activity days", US_national_yearly!$D:$AM, 33, FALSE) / VLOOKUP("industry|SO2|Minor restricted activity days", US_national_yearly!$D:$AM, 10, FALSE), 1)</f>
        <v>0.61012089837553618</v>
      </c>
      <c r="Z14" s="7">
        <f>$B14 * IFERROR(VLOOKUP("industry|SO2|Minor restricted activity days", US_national_yearly!$D:$AM, 34, FALSE) / VLOOKUP("industry|SO2|Minor restricted activity days", US_national_yearly!$D:$AM, 10, FALSE), 1)</f>
        <v>0.61421331035930826</v>
      </c>
      <c r="AA14" s="7">
        <f>$B14 * IFERROR(VLOOKUP("industry|SO2|Minor restricted activity days", US_national_yearly!$D:$AM, 35, FALSE) / VLOOKUP("industry|SO2|Minor restricted activity days", US_national_yearly!$D:$AM, 10, FALSE), 1)</f>
        <v>0.61830572234308045</v>
      </c>
      <c r="AB14" s="7">
        <f>$B14 * IFERROR(VLOOKUP("industry|SO2|Minor restricted activity days", US_national_yearly!$D:$AM, 36, FALSE) / VLOOKUP("industry|SO2|Minor restricted activity days", US_national_yearly!$D:$AM, 10, FALSE), 1)</f>
        <v>0.62239813432685265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8.9826981516710813E-2</v>
      </c>
      <c r="C15" s="7">
        <f>$B15 * IFERROR(VLOOKUP("industry|SO2|Work loss days", US_national_yearly!$D:$AM, 11, FALSE) / VLOOKUP("industry|SO2|Work loss days", US_national_yearly!$D:$AM, 10, FALSE), 1)</f>
        <v>9.0115854940897286E-2</v>
      </c>
      <c r="D15" s="7">
        <f>$B15 * IFERROR(VLOOKUP("industry|SO2|Work loss days", US_national_yearly!$D:$AM, 12, FALSE) / VLOOKUP("industry|SO2|Work loss days", US_national_yearly!$D:$AM, 10, FALSE), 1)</f>
        <v>9.04047283650838E-2</v>
      </c>
      <c r="E15" s="7">
        <f>$B15 * IFERROR(VLOOKUP("industry|SO2|Work loss days", US_national_yearly!$D:$AM, 13, FALSE) / VLOOKUP("industry|SO2|Work loss days", US_national_yearly!$D:$AM, 10, FALSE), 1)</f>
        <v>9.0693601789270273E-2</v>
      </c>
      <c r="F15" s="7">
        <f>$B15 * IFERROR(VLOOKUP("industry|SO2|Work loss days", US_national_yearly!$D:$AM, 14, FALSE) / VLOOKUP("industry|SO2|Work loss days", US_national_yearly!$D:$AM, 10, FALSE), 1)</f>
        <v>9.0982475213456773E-2</v>
      </c>
      <c r="G15" s="7">
        <f>$B15 * IFERROR(VLOOKUP("industry|SO2|Work loss days", US_national_yearly!$D:$AM, 15, FALSE) / VLOOKUP("industry|SO2|Work loss days", US_national_yearly!$D:$AM, 10, FALSE), 1)</f>
        <v>9.1359533096656884E-2</v>
      </c>
      <c r="H15" s="7">
        <f>$B15 * IFERROR(VLOOKUP("industry|SO2|Work loss days", US_national_yearly!$D:$AM, 16, FALSE) / VLOOKUP("industry|SO2|Work loss days", US_national_yearly!$D:$AM, 10, FALSE), 1)</f>
        <v>9.1736590979856994E-2</v>
      </c>
      <c r="I15" s="7">
        <f>$B15 * IFERROR(VLOOKUP("industry|SO2|Work loss days", US_national_yearly!$D:$AM, 17, FALSE) / VLOOKUP("industry|SO2|Work loss days", US_national_yearly!$D:$AM, 10, FALSE), 1)</f>
        <v>9.2287743355512236E-2</v>
      </c>
      <c r="J15" s="7">
        <f>$B15 * IFERROR(VLOOKUP("industry|SO2|Work loss days", US_national_yearly!$D:$AM, 18, FALSE) / VLOOKUP("industry|SO2|Work loss days", US_national_yearly!$D:$AM, 10, FALSE), 1)</f>
        <v>9.2838895731167437E-2</v>
      </c>
      <c r="K15" s="7">
        <f>$B15 * IFERROR(VLOOKUP("industry|SO2|Work loss days", US_national_yearly!$D:$AM, 19, FALSE) / VLOOKUP("industry|SO2|Work loss days", US_national_yearly!$D:$AM, 10, FALSE), 1)</f>
        <v>9.3390048106822651E-2</v>
      </c>
      <c r="L15" s="7">
        <f>$B15 * IFERROR(VLOOKUP("industry|SO2|Work loss days", US_national_yearly!$D:$AM, 20, FALSE) / VLOOKUP("industry|SO2|Work loss days", US_national_yearly!$D:$AM, 10, FALSE), 1)</f>
        <v>9.394120048247788E-2</v>
      </c>
      <c r="M15" s="7">
        <f>$B15 * IFERROR(VLOOKUP("industry|SO2|Work loss days", US_national_yearly!$D:$AM, 21, FALSE) / VLOOKUP("industry|SO2|Work loss days", US_national_yearly!$D:$AM, 10, FALSE), 1)</f>
        <v>9.4492352858133094E-2</v>
      </c>
      <c r="N15" s="7">
        <f>$B15 * IFERROR(VLOOKUP("industry|SO2|Work loss days", US_national_yearly!$D:$AM, 22, FALSE) / VLOOKUP("industry|SO2|Work loss days", US_national_yearly!$D:$AM, 10, FALSE), 1)</f>
        <v>9.518507025404678E-2</v>
      </c>
      <c r="O15" s="7">
        <f>$B15 * IFERROR(VLOOKUP("industry|SO2|Work loss days", US_national_yearly!$D:$AM, 23, FALSE) / VLOOKUP("industry|SO2|Work loss days", US_national_yearly!$D:$AM, 10, FALSE), 1)</f>
        <v>9.5877787649960466E-2</v>
      </c>
      <c r="P15" s="7">
        <f>$B15 * IFERROR(VLOOKUP("industry|SO2|Work loss days", US_national_yearly!$D:$AM, 24, FALSE) / VLOOKUP("industry|SO2|Work loss days", US_national_yearly!$D:$AM, 10, FALSE), 1)</f>
        <v>9.6570505045874153E-2</v>
      </c>
      <c r="Q15" s="7">
        <f>$B15 * IFERROR(VLOOKUP("industry|SO2|Work loss days", US_national_yearly!$D:$AM, 25, FALSE) / VLOOKUP("industry|SO2|Work loss days", US_national_yearly!$D:$AM, 10, FALSE), 1)</f>
        <v>9.7263222441787839E-2</v>
      </c>
      <c r="R15" s="7">
        <f>$B15 * IFERROR(VLOOKUP("industry|SO2|Work loss days", US_national_yearly!$D:$AM, 26, FALSE) / VLOOKUP("industry|SO2|Work loss days", US_national_yearly!$D:$AM, 10, FALSE), 1)</f>
        <v>9.7955939837701539E-2</v>
      </c>
      <c r="S15" s="7">
        <f>$B15 * IFERROR(VLOOKUP("industry|SO2|Work loss days", US_national_yearly!$D:$AM, 27, FALSE) / VLOOKUP("industry|SO2|Work loss days", US_national_yearly!$D:$AM, 10, FALSE), 1)</f>
        <v>9.8731062055030461E-2</v>
      </c>
      <c r="T15" s="7">
        <f>$B15 * IFERROR(VLOOKUP("industry|SO2|Work loss days", US_national_yearly!$D:$AM, 28, FALSE) / VLOOKUP("industry|SO2|Work loss days", US_national_yearly!$D:$AM, 10, FALSE), 1)</f>
        <v>9.950618427235941E-2</v>
      </c>
      <c r="U15" s="7">
        <f>$B15 * IFERROR(VLOOKUP("industry|SO2|Work loss days", US_national_yearly!$D:$AM, 29, FALSE) / VLOOKUP("industry|SO2|Work loss days", US_national_yearly!$D:$AM, 10, FALSE), 1)</f>
        <v>0.10028130648968839</v>
      </c>
      <c r="V15" s="7">
        <f>$B15 * IFERROR(VLOOKUP("industry|SO2|Work loss days", US_national_yearly!$D:$AM, 30, FALSE) / VLOOKUP("industry|SO2|Work loss days", US_national_yearly!$D:$AM, 10, FALSE), 1)</f>
        <v>0.10105642870701732</v>
      </c>
      <c r="W15" s="7">
        <f>$B15 * IFERROR(VLOOKUP("industry|SO2|Work loss days", US_national_yearly!$D:$AM, 31, FALSE) / VLOOKUP("industry|SO2|Work loss days", US_national_yearly!$D:$AM, 10, FALSE), 1)</f>
        <v>0.10183155092434627</v>
      </c>
      <c r="X15" s="7">
        <f>$B15 * IFERROR(VLOOKUP("industry|SO2|Work loss days", US_national_yearly!$D:$AM, 32, FALSE) / VLOOKUP("industry|SO2|Work loss days", US_national_yearly!$D:$AM, 10, FALSE), 1)</f>
        <v>0.10252774468922082</v>
      </c>
      <c r="Y15" s="7">
        <f>$B15 * IFERROR(VLOOKUP("industry|SO2|Work loss days", US_national_yearly!$D:$AM, 33, FALSE) / VLOOKUP("industry|SO2|Work loss days", US_national_yearly!$D:$AM, 10, FALSE), 1)</f>
        <v>0.1032239384540954</v>
      </c>
      <c r="Z15" s="7">
        <f>$B15 * IFERROR(VLOOKUP("industry|SO2|Work loss days", US_national_yearly!$D:$AM, 34, FALSE) / VLOOKUP("industry|SO2|Work loss days", US_national_yearly!$D:$AM, 10, FALSE), 1)</f>
        <v>0.10392013221896994</v>
      </c>
      <c r="AA15" s="7">
        <f>$B15 * IFERROR(VLOOKUP("industry|SO2|Work loss days", US_national_yearly!$D:$AM, 35, FALSE) / VLOOKUP("industry|SO2|Work loss days", US_national_yearly!$D:$AM, 10, FALSE), 1)</f>
        <v>0.10461632598384452</v>
      </c>
      <c r="AB15" s="7">
        <f>$B15 * IFERROR(VLOOKUP("industry|SO2|Work loss days", US_national_yearly!$D:$AM, 36, FALSE) / VLOOKUP("industry|SO2|Work loss days", US_national_yearly!$D:$AM, 10, FALSE), 1)</f>
        <v>0.10531251974871907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1.147424145981481E-4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1.1821190353702018E-4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1.2168139247589231E-4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1.2515088141476442E-4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1.2862037035363654E-4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1.3194539217014956E-4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1.3527041398666255E-4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1.3812339913595273E-4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1.4097638428524294E-4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1.4382936943453314E-4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1.4668235458382335E-4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1.4953533973311353E-4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1.5145212980757053E-4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1.5336891988202754E-4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1.5528570995648451E-4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1.5720250003094152E-4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1.5911929010539849E-4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1.6013281438587011E-4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1.6114633866634177E-4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1.6215986294681339E-4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1.6317338722728506E-4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1.6418691150775667E-4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1.648723226444633E-4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1.6555773378116993E-4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1.6624314491787658E-4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1.6692855605458324E-4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1.6761396719128986E-4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2.6974489480226058E-5</v>
      </c>
      <c r="C2" s="7">
        <f>$B2 * IFERROR(VLOOKUP("LULUCF|PM25|Premature mortality", US_national_yearly!$D:$AM, 11, FALSE) / VLOOKUP("LULUCF|PM25|Premature mortality", US_national_yearly!$D:$AM, 10, FALSE), 1)</f>
        <v>2.7308914035561195E-5</v>
      </c>
      <c r="D2" s="7">
        <f>$B2 * IFERROR(VLOOKUP("LULUCF|PM25|Premature mortality", US_national_yearly!$D:$AM, 12, FALSE) / VLOOKUP("LULUCF|PM25|Premature mortality", US_national_yearly!$D:$AM, 10, FALSE), 1)</f>
        <v>2.7643338590896327E-5</v>
      </c>
      <c r="E2" s="7">
        <f>$B2 * IFERROR(VLOOKUP("LULUCF|PM25|Premature mortality", US_national_yearly!$D:$AM, 13, FALSE) / VLOOKUP("LULUCF|PM25|Premature mortality", US_national_yearly!$D:$AM, 10, FALSE), 1)</f>
        <v>2.797776314623146E-5</v>
      </c>
      <c r="F2" s="7">
        <f>$B2 * IFERROR(VLOOKUP("LULUCF|PM25|Premature mortality", US_national_yearly!$D:$AM, 14, FALSE) / VLOOKUP("LULUCF|PM25|Premature mortality", US_national_yearly!$D:$AM, 10, FALSE), 1)</f>
        <v>2.831218770156659E-5</v>
      </c>
      <c r="G2" s="7">
        <f>$B2 * IFERROR(VLOOKUP("LULUCF|PM25|Premature mortality", US_national_yearly!$D:$AM, 15, FALSE) / VLOOKUP("LULUCF|PM25|Premature mortality", US_national_yearly!$D:$AM, 10, FALSE), 1)</f>
        <v>2.896347700091147E-5</v>
      </c>
      <c r="H2" s="7">
        <f>$B2 * IFERROR(VLOOKUP("LULUCF|PM25|Premature mortality", US_national_yearly!$D:$AM, 16, FALSE) / VLOOKUP("LULUCF|PM25|Premature mortality", US_national_yearly!$D:$AM, 10, FALSE), 1)</f>
        <v>2.9614766300256351E-5</v>
      </c>
      <c r="I2" s="7">
        <f>$B2 * IFERROR(VLOOKUP("LULUCF|PM25|Premature mortality", US_national_yearly!$D:$AM, 17, FALSE) / VLOOKUP("LULUCF|PM25|Premature mortality", US_national_yearly!$D:$AM, 10, FALSE), 1)</f>
        <v>3.0042560528177328E-5</v>
      </c>
      <c r="J2" s="7">
        <f>$B2 * IFERROR(VLOOKUP("LULUCF|PM25|Premature mortality", US_national_yearly!$D:$AM, 18, FALSE) / VLOOKUP("LULUCF|PM25|Premature mortality", US_national_yearly!$D:$AM, 10, FALSE), 1)</f>
        <v>3.0470354756098319E-5</v>
      </c>
      <c r="K2" s="7">
        <f>$B2 * IFERROR(VLOOKUP("LULUCF|PM25|Premature mortality", US_national_yearly!$D:$AM, 19, FALSE) / VLOOKUP("LULUCF|PM25|Premature mortality", US_national_yearly!$D:$AM, 10, FALSE), 1)</f>
        <v>3.0898148984019303E-5</v>
      </c>
      <c r="L2" s="7">
        <f>$B2 * IFERROR(VLOOKUP("LULUCF|PM25|Premature mortality", US_national_yearly!$D:$AM, 20, FALSE) / VLOOKUP("LULUCF|PM25|Premature mortality", US_national_yearly!$D:$AM, 10, FALSE), 1)</f>
        <v>3.132594321194029E-5</v>
      </c>
      <c r="M2" s="7">
        <f>$B2 * IFERROR(VLOOKUP("LULUCF|PM25|Premature mortality", US_national_yearly!$D:$AM, 21, FALSE) / VLOOKUP("LULUCF|PM25|Premature mortality", US_national_yearly!$D:$AM, 10, FALSE), 1)</f>
        <v>3.1753737439861277E-5</v>
      </c>
      <c r="N2" s="7">
        <f>$B2 * IFERROR(VLOOKUP("LULUCF|PM25|Premature mortality", US_national_yearly!$D:$AM, 22, FALSE) / VLOOKUP("LULUCF|PM25|Premature mortality", US_national_yearly!$D:$AM, 10, FALSE), 1)</f>
        <v>3.2085892431289216E-5</v>
      </c>
      <c r="O2" s="7">
        <f>$B2 * IFERROR(VLOOKUP("LULUCF|PM25|Premature mortality", US_national_yearly!$D:$AM, 23, FALSE) / VLOOKUP("LULUCF|PM25|Premature mortality", US_national_yearly!$D:$AM, 10, FALSE), 1)</f>
        <v>3.2418047422717161E-5</v>
      </c>
      <c r="P2" s="7">
        <f>$B2 * IFERROR(VLOOKUP("LULUCF|PM25|Premature mortality", US_national_yearly!$D:$AM, 24, FALSE) / VLOOKUP("LULUCF|PM25|Premature mortality", US_national_yearly!$D:$AM, 10, FALSE), 1)</f>
        <v>3.2750202414145107E-5</v>
      </c>
      <c r="Q2" s="7">
        <f>$B2 * IFERROR(VLOOKUP("LULUCF|PM25|Premature mortality", US_national_yearly!$D:$AM, 25, FALSE) / VLOOKUP("LULUCF|PM25|Premature mortality", US_national_yearly!$D:$AM, 10, FALSE), 1)</f>
        <v>3.3082357405573052E-5</v>
      </c>
      <c r="R2" s="7">
        <f>$B2 * IFERROR(VLOOKUP("LULUCF|PM25|Premature mortality", US_national_yearly!$D:$AM, 26, FALSE) / VLOOKUP("LULUCF|PM25|Premature mortality", US_national_yearly!$D:$AM, 10, FALSE), 1)</f>
        <v>3.3414512397000998E-5</v>
      </c>
      <c r="S2" s="7">
        <f>$B2 * IFERROR(VLOOKUP("LULUCF|PM25|Premature mortality", US_national_yearly!$D:$AM, 27, FALSE) / VLOOKUP("LULUCF|PM25|Premature mortality", US_national_yearly!$D:$AM, 10, FALSE), 1)</f>
        <v>3.3590478242805799E-5</v>
      </c>
      <c r="T2" s="7">
        <f>$B2 * IFERROR(VLOOKUP("LULUCF|PM25|Premature mortality", US_national_yearly!$D:$AM, 28, FALSE) / VLOOKUP("LULUCF|PM25|Premature mortality", US_national_yearly!$D:$AM, 10, FALSE), 1)</f>
        <v>3.3766444088610593E-5</v>
      </c>
      <c r="U2" s="7">
        <f>$B2 * IFERROR(VLOOKUP("LULUCF|PM25|Premature mortality", US_national_yearly!$D:$AM, 29, FALSE) / VLOOKUP("LULUCF|PM25|Premature mortality", US_national_yearly!$D:$AM, 10, FALSE), 1)</f>
        <v>3.3942409934415394E-5</v>
      </c>
      <c r="V2" s="7">
        <f>$B2 * IFERROR(VLOOKUP("LULUCF|PM25|Premature mortality", US_national_yearly!$D:$AM, 30, FALSE) / VLOOKUP("LULUCF|PM25|Premature mortality", US_national_yearly!$D:$AM, 10, FALSE), 1)</f>
        <v>3.4118375780220188E-5</v>
      </c>
      <c r="W2" s="7">
        <f>$B2 * IFERROR(VLOOKUP("LULUCF|PM25|Premature mortality", US_national_yearly!$D:$AM, 31, FALSE) / VLOOKUP("LULUCF|PM25|Premature mortality", US_national_yearly!$D:$AM, 10, FALSE), 1)</f>
        <v>3.4294341626024982E-5</v>
      </c>
      <c r="X2" s="7">
        <f>$B2 * IFERROR(VLOOKUP("LULUCF|PM25|Premature mortality", US_national_yearly!$D:$AM, 32, FALSE) / VLOOKUP("LULUCF|PM25|Premature mortality", US_national_yearly!$D:$AM, 10, FALSE), 1)</f>
        <v>3.4325110615354063E-5</v>
      </c>
      <c r="Y2" s="7">
        <f>$B2 * IFERROR(VLOOKUP("LULUCF|PM25|Premature mortality", US_national_yearly!$D:$AM, 33, FALSE) / VLOOKUP("LULUCF|PM25|Premature mortality", US_national_yearly!$D:$AM, 10, FALSE), 1)</f>
        <v>3.435587960468315E-5</v>
      </c>
      <c r="Z2" s="7">
        <f>$B2 * IFERROR(VLOOKUP("LULUCF|PM25|Premature mortality", US_national_yearly!$D:$AM, 34, FALSE) / VLOOKUP("LULUCF|PM25|Premature mortality", US_national_yearly!$D:$AM, 10, FALSE), 1)</f>
        <v>3.4386648594012231E-5</v>
      </c>
      <c r="AA2" s="7">
        <f>$B2 * IFERROR(VLOOKUP("LULUCF|PM25|Premature mortality", US_national_yearly!$D:$AM, 35, FALSE) / VLOOKUP("LULUCF|PM25|Premature mortality", US_national_yearly!$D:$AM, 10, FALSE), 1)</f>
        <v>3.4417417583341318E-5</v>
      </c>
      <c r="AB2" s="7">
        <f>$B2 * IFERROR(VLOOKUP("LULUCF|PM25|Premature mortality", US_national_yearly!$D:$AM, 36, FALSE) / VLOOKUP("LULUCF|PM25|Premature mortality", US_national_yearly!$D:$AM, 10, FALSE), 1)</f>
        <v>3.4448186572670405E-5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7.1558603852889692E-8</v>
      </c>
      <c r="C3" s="7">
        <f>$B3 * IFERROR(VLOOKUP("LULUCF|PM25|Infant mortality", US_national_yearly!$D:$AM, 11, FALSE) / VLOOKUP("LULUCF|PM25|Infant mortality", US_national_yearly!$D:$AM, 10, FALSE), 1)</f>
        <v>7.0934678124983936E-8</v>
      </c>
      <c r="D3" s="7">
        <f>$B3 * IFERROR(VLOOKUP("LULUCF|PM25|Infant mortality", US_national_yearly!$D:$AM, 12, FALSE) / VLOOKUP("LULUCF|PM25|Infant mortality", US_national_yearly!$D:$AM, 10, FALSE), 1)</f>
        <v>7.031075239707818E-8</v>
      </c>
      <c r="E3" s="7">
        <f>$B3 * IFERROR(VLOOKUP("LULUCF|PM25|Infant mortality", US_national_yearly!$D:$AM, 13, FALSE) / VLOOKUP("LULUCF|PM25|Infant mortality", US_national_yearly!$D:$AM, 10, FALSE), 1)</f>
        <v>6.9686826669172424E-8</v>
      </c>
      <c r="F3" s="7">
        <f>$B3 * IFERROR(VLOOKUP("LULUCF|PM25|Infant mortality", US_national_yearly!$D:$AM, 14, FALSE) / VLOOKUP("LULUCF|PM25|Infant mortality", US_national_yearly!$D:$AM, 10, FALSE), 1)</f>
        <v>6.9062900941266655E-8</v>
      </c>
      <c r="G3" s="7">
        <f>$B3 * IFERROR(VLOOKUP("LULUCF|PM25|Infant mortality", US_national_yearly!$D:$AM, 15, FALSE) / VLOOKUP("LULUCF|PM25|Infant mortality", US_national_yearly!$D:$AM, 10, FALSE), 1)</f>
        <v>4.5930523435606512E-8</v>
      </c>
      <c r="H3" s="7">
        <f>$B3 * IFERROR(VLOOKUP("LULUCF|PM25|Infant mortality", US_national_yearly!$D:$AM, 16, FALSE) / VLOOKUP("LULUCF|PM25|Infant mortality", US_national_yearly!$D:$AM, 10, FALSE), 1)</f>
        <v>2.2798145929946346E-8</v>
      </c>
      <c r="I3" s="7">
        <f>$B3 * IFERROR(VLOOKUP("LULUCF|PM25|Infant mortality", US_national_yearly!$D:$AM, 17, FALSE) / VLOOKUP("LULUCF|PM25|Infant mortality", US_national_yearly!$D:$AM, 10, FALSE), 1)</f>
        <v>2.2649122387115516E-8</v>
      </c>
      <c r="J3" s="7">
        <f>$B3 * IFERROR(VLOOKUP("LULUCF|PM25|Infant mortality", US_national_yearly!$D:$AM, 18, FALSE) / VLOOKUP("LULUCF|PM25|Infant mortality", US_national_yearly!$D:$AM, 10, FALSE), 1)</f>
        <v>2.2500098844284687E-8</v>
      </c>
      <c r="K3" s="7">
        <f>$B3 * IFERROR(VLOOKUP("LULUCF|PM25|Infant mortality", US_national_yearly!$D:$AM, 19, FALSE) / VLOOKUP("LULUCF|PM25|Infant mortality", US_national_yearly!$D:$AM, 10, FALSE), 1)</f>
        <v>2.2351075301453855E-8</v>
      </c>
      <c r="L3" s="7">
        <f>$B3 * IFERROR(VLOOKUP("LULUCF|PM25|Infant mortality", US_national_yearly!$D:$AM, 20, FALSE) / VLOOKUP("LULUCF|PM25|Infant mortality", US_national_yearly!$D:$AM, 10, FALSE), 1)</f>
        <v>2.2202051758623029E-8</v>
      </c>
      <c r="M3" s="7">
        <f>$B3 * IFERROR(VLOOKUP("LULUCF|PM25|Infant mortality", US_national_yearly!$D:$AM, 21, FALSE) / VLOOKUP("LULUCF|PM25|Infant mortality", US_national_yearly!$D:$AM, 10, FALSE), 1)</f>
        <v>2.2053028215792199E-8</v>
      </c>
      <c r="N3" s="7">
        <f>$B3 * IFERROR(VLOOKUP("LULUCF|PM25|Infant mortality", US_national_yearly!$D:$AM, 22, FALSE) / VLOOKUP("LULUCF|PM25|Infant mortality", US_national_yearly!$D:$AM, 10, FALSE), 1)</f>
        <v>2.1959424932376928E-8</v>
      </c>
      <c r="O3" s="7">
        <f>$B3 * IFERROR(VLOOKUP("LULUCF|PM25|Infant mortality", US_national_yearly!$D:$AM, 23, FALSE) / VLOOKUP("LULUCF|PM25|Infant mortality", US_national_yearly!$D:$AM, 10, FALSE), 1)</f>
        <v>2.1865821648961662E-8</v>
      </c>
      <c r="P3" s="7">
        <f>$B3 * IFERROR(VLOOKUP("LULUCF|PM25|Infant mortality", US_national_yearly!$D:$AM, 24, FALSE) / VLOOKUP("LULUCF|PM25|Infant mortality", US_national_yearly!$D:$AM, 10, FALSE), 1)</f>
        <v>2.1772218365546387E-8</v>
      </c>
      <c r="Q3" s="7">
        <f>$B3 * IFERROR(VLOOKUP("LULUCF|PM25|Infant mortality", US_national_yearly!$D:$AM, 25, FALSE) / VLOOKUP("LULUCF|PM25|Infant mortality", US_national_yearly!$D:$AM, 10, FALSE), 1)</f>
        <v>2.1678615082131119E-8</v>
      </c>
      <c r="R3" s="7">
        <f>$B3 * IFERROR(VLOOKUP("LULUCF|PM25|Infant mortality", US_national_yearly!$D:$AM, 26, FALSE) / VLOOKUP("LULUCF|PM25|Infant mortality", US_national_yearly!$D:$AM, 10, FALSE), 1)</f>
        <v>2.1585011798715847E-8</v>
      </c>
      <c r="S3" s="7">
        <f>$B3 * IFERROR(VLOOKUP("LULUCF|PM25|Infant mortality", US_national_yearly!$D:$AM, 27, FALSE) / VLOOKUP("LULUCF|PM25|Infant mortality", US_national_yearly!$D:$AM, 10, FALSE), 1)</f>
        <v>2.1468333392069943E-8</v>
      </c>
      <c r="T3" s="7">
        <f>$B3 * IFERROR(VLOOKUP("LULUCF|PM25|Infant mortality", US_national_yearly!$D:$AM, 28, FALSE) / VLOOKUP("LULUCF|PM25|Infant mortality", US_national_yearly!$D:$AM, 10, FALSE), 1)</f>
        <v>2.1351654985424039E-8</v>
      </c>
      <c r="U3" s="7">
        <f>$B3 * IFERROR(VLOOKUP("LULUCF|PM25|Infant mortality", US_national_yearly!$D:$AM, 29, FALSE) / VLOOKUP("LULUCF|PM25|Infant mortality", US_national_yearly!$D:$AM, 10, FALSE), 1)</f>
        <v>2.1234976578778136E-8</v>
      </c>
      <c r="V3" s="7">
        <f>$B3 * IFERROR(VLOOKUP("LULUCF|PM25|Infant mortality", US_national_yearly!$D:$AM, 30, FALSE) / VLOOKUP("LULUCF|PM25|Infant mortality", US_national_yearly!$D:$AM, 10, FALSE), 1)</f>
        <v>2.1118298172132236E-8</v>
      </c>
      <c r="W3" s="7">
        <f>$B3 * IFERROR(VLOOKUP("LULUCF|PM25|Infant mortality", US_national_yearly!$D:$AM, 31, FALSE) / VLOOKUP("LULUCF|PM25|Infant mortality", US_national_yearly!$D:$AM, 10, FALSE), 1)</f>
        <v>2.1001619765486329E-8</v>
      </c>
      <c r="X3" s="7">
        <f>$B3 * IFERROR(VLOOKUP("LULUCF|PM25|Infant mortality", US_national_yearly!$D:$AM, 32, FALSE) / VLOOKUP("LULUCF|PM25|Infant mortality", US_national_yearly!$D:$AM, 10, FALSE), 1)</f>
        <v>2.087582577818486E-8</v>
      </c>
      <c r="Y3" s="7">
        <f>$B3 * IFERROR(VLOOKUP("LULUCF|PM25|Infant mortality", US_national_yearly!$D:$AM, 33, FALSE) / VLOOKUP("LULUCF|PM25|Infant mortality", US_national_yearly!$D:$AM, 10, FALSE), 1)</f>
        <v>2.0750031790883385E-8</v>
      </c>
      <c r="Z3" s="7">
        <f>$B3 * IFERROR(VLOOKUP("LULUCF|PM25|Infant mortality", US_national_yearly!$D:$AM, 34, FALSE) / VLOOKUP("LULUCF|PM25|Infant mortality", US_national_yearly!$D:$AM, 10, FALSE), 1)</f>
        <v>2.0624237803581917E-8</v>
      </c>
      <c r="AA3" s="7">
        <f>$B3 * IFERROR(VLOOKUP("LULUCF|PM25|Infant mortality", US_national_yearly!$D:$AM, 35, FALSE) / VLOOKUP("LULUCF|PM25|Infant mortality", US_national_yearly!$D:$AM, 10, FALSE), 1)</f>
        <v>2.0498443816280442E-8</v>
      </c>
      <c r="AB3" s="7">
        <f>$B3 * IFERROR(VLOOKUP("LULUCF|PM25|Infant mortality", US_national_yearly!$D:$AM, 36, FALSE) / VLOOKUP("LULUCF|PM25|Infant mortality", US_national_yearly!$D:$AM, 10, FALSE), 1)</f>
        <v>2.0372649828978973E-8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8.3313411810228245E-5</v>
      </c>
      <c r="C6" s="7">
        <f>$B6 * IFERROR(VLOOKUP("LULUCF|PM25|Asthma symptoms cough", US_national_yearly!$D:$AM, 11, FALSE) / VLOOKUP("LULUCF|PM25|Asthma symptoms cough", US_national_yearly!$D:$AM, 10, FALSE), 1)</f>
        <v>8.3313411810228245E-5</v>
      </c>
      <c r="D6" s="7">
        <f>$B6 * IFERROR(VLOOKUP("LULUCF|PM25|Asthma symptoms cough", US_national_yearly!$D:$AM, 12, FALSE) / VLOOKUP("LULUCF|PM25|Asthma symptoms cough", US_national_yearly!$D:$AM, 10, FALSE), 1)</f>
        <v>8.3313411810228245E-5</v>
      </c>
      <c r="E6" s="7">
        <f>$B6 * IFERROR(VLOOKUP("LULUCF|PM25|Asthma symptoms cough", US_national_yearly!$D:$AM, 13, FALSE) / VLOOKUP("LULUCF|PM25|Asthma symptoms cough", US_national_yearly!$D:$AM, 10, FALSE), 1)</f>
        <v>8.3313411810228245E-5</v>
      </c>
      <c r="F6" s="7">
        <f>$B6 * IFERROR(VLOOKUP("LULUCF|PM25|Asthma symptoms cough", US_national_yearly!$D:$AM, 14, FALSE) / VLOOKUP("LULUCF|PM25|Asthma symptoms cough", US_national_yearly!$D:$AM, 10, FALSE), 1)</f>
        <v>8.3313411810228245E-5</v>
      </c>
      <c r="G6" s="7">
        <f>$B6 * IFERROR(VLOOKUP("LULUCF|PM25|Asthma symptoms cough", US_national_yearly!$D:$AM, 15, FALSE) / VLOOKUP("LULUCF|PM25|Asthma symptoms cough", US_national_yearly!$D:$AM, 10, FALSE), 1)</f>
        <v>8.3313411810228245E-5</v>
      </c>
      <c r="H6" s="7">
        <f>$B6 * IFERROR(VLOOKUP("LULUCF|PM25|Asthma symptoms cough", US_national_yearly!$D:$AM, 16, FALSE) / VLOOKUP("LULUCF|PM25|Asthma symptoms cough", US_national_yearly!$D:$AM, 10, FALSE), 1)</f>
        <v>8.3313411810228245E-5</v>
      </c>
      <c r="I6" s="7">
        <f>$B6 * IFERROR(VLOOKUP("LULUCF|PM25|Asthma symptoms cough", US_national_yearly!$D:$AM, 17, FALSE) / VLOOKUP("LULUCF|PM25|Asthma symptoms cough", US_national_yearly!$D:$AM, 10, FALSE), 1)</f>
        <v>8.3313411810228245E-5</v>
      </c>
      <c r="J6" s="7">
        <f>$B6 * IFERROR(VLOOKUP("LULUCF|PM25|Asthma symptoms cough", US_national_yearly!$D:$AM, 18, FALSE) / VLOOKUP("LULUCF|PM25|Asthma symptoms cough", US_national_yearly!$D:$AM, 10, FALSE), 1)</f>
        <v>8.3313411810228245E-5</v>
      </c>
      <c r="K6" s="7">
        <f>$B6 * IFERROR(VLOOKUP("LULUCF|PM25|Asthma symptoms cough", US_national_yearly!$D:$AM, 19, FALSE) / VLOOKUP("LULUCF|PM25|Asthma symptoms cough", US_national_yearly!$D:$AM, 10, FALSE), 1)</f>
        <v>8.3313411810228245E-5</v>
      </c>
      <c r="L6" s="7">
        <f>$B6 * IFERROR(VLOOKUP("LULUCF|PM25|Asthma symptoms cough", US_national_yearly!$D:$AM, 20, FALSE) / VLOOKUP("LULUCF|PM25|Asthma symptoms cough", US_national_yearly!$D:$AM, 10, FALSE), 1)</f>
        <v>8.3313411810228245E-5</v>
      </c>
      <c r="M6" s="7">
        <f>$B6 * IFERROR(VLOOKUP("LULUCF|PM25|Asthma symptoms cough", US_national_yearly!$D:$AM, 21, FALSE) / VLOOKUP("LULUCF|PM25|Asthma symptoms cough", US_national_yearly!$D:$AM, 10, FALSE), 1)</f>
        <v>8.3313411810228245E-5</v>
      </c>
      <c r="N6" s="7">
        <f>$B6 * IFERROR(VLOOKUP("LULUCF|PM25|Asthma symptoms cough", US_national_yearly!$D:$AM, 22, FALSE) / VLOOKUP("LULUCF|PM25|Asthma symptoms cough", US_national_yearly!$D:$AM, 10, FALSE), 1)</f>
        <v>8.3313411810228245E-5</v>
      </c>
      <c r="O6" s="7">
        <f>$B6 * IFERROR(VLOOKUP("LULUCF|PM25|Asthma symptoms cough", US_national_yearly!$D:$AM, 23, FALSE) / VLOOKUP("LULUCF|PM25|Asthma symptoms cough", US_national_yearly!$D:$AM, 10, FALSE), 1)</f>
        <v>8.3313411810228245E-5</v>
      </c>
      <c r="P6" s="7">
        <f>$B6 * IFERROR(VLOOKUP("LULUCF|PM25|Asthma symptoms cough", US_national_yearly!$D:$AM, 24, FALSE) / VLOOKUP("LULUCF|PM25|Asthma symptoms cough", US_national_yearly!$D:$AM, 10, FALSE), 1)</f>
        <v>8.3313411810228245E-5</v>
      </c>
      <c r="Q6" s="7">
        <f>$B6 * IFERROR(VLOOKUP("LULUCF|PM25|Asthma symptoms cough", US_national_yearly!$D:$AM, 25, FALSE) / VLOOKUP("LULUCF|PM25|Asthma symptoms cough", US_national_yearly!$D:$AM, 10, FALSE), 1)</f>
        <v>8.3313411810228245E-5</v>
      </c>
      <c r="R6" s="7">
        <f>$B6 * IFERROR(VLOOKUP("LULUCF|PM25|Asthma symptoms cough", US_national_yearly!$D:$AM, 26, FALSE) / VLOOKUP("LULUCF|PM25|Asthma symptoms cough", US_national_yearly!$D:$AM, 10, FALSE), 1)</f>
        <v>8.3313411810228245E-5</v>
      </c>
      <c r="S6" s="7">
        <f>$B6 * IFERROR(VLOOKUP("LULUCF|PM25|Asthma symptoms cough", US_national_yearly!$D:$AM, 27, FALSE) / VLOOKUP("LULUCF|PM25|Asthma symptoms cough", US_national_yearly!$D:$AM, 10, FALSE), 1)</f>
        <v>8.3313411810228245E-5</v>
      </c>
      <c r="T6" s="7">
        <f>$B6 * IFERROR(VLOOKUP("LULUCF|PM25|Asthma symptoms cough", US_national_yearly!$D:$AM, 28, FALSE) / VLOOKUP("LULUCF|PM25|Asthma symptoms cough", US_national_yearly!$D:$AM, 10, FALSE), 1)</f>
        <v>8.3313411810228245E-5</v>
      </c>
      <c r="U6" s="7">
        <f>$B6 * IFERROR(VLOOKUP("LULUCF|PM25|Asthma symptoms cough", US_national_yearly!$D:$AM, 29, FALSE) / VLOOKUP("LULUCF|PM25|Asthma symptoms cough", US_national_yearly!$D:$AM, 10, FALSE), 1)</f>
        <v>8.3313411810228245E-5</v>
      </c>
      <c r="V6" s="7">
        <f>$B6 * IFERROR(VLOOKUP("LULUCF|PM25|Asthma symptoms cough", US_national_yearly!$D:$AM, 30, FALSE) / VLOOKUP("LULUCF|PM25|Asthma symptoms cough", US_national_yearly!$D:$AM, 10, FALSE), 1)</f>
        <v>8.3313411810228245E-5</v>
      </c>
      <c r="W6" s="7">
        <f>$B6 * IFERROR(VLOOKUP("LULUCF|PM25|Asthma symptoms cough", US_national_yearly!$D:$AM, 31, FALSE) / VLOOKUP("LULUCF|PM25|Asthma symptoms cough", US_national_yearly!$D:$AM, 10, FALSE), 1)</f>
        <v>8.3313411810228245E-5</v>
      </c>
      <c r="X6" s="7">
        <f>$B6 * IFERROR(VLOOKUP("LULUCF|PM25|Asthma symptoms cough", US_national_yearly!$D:$AM, 32, FALSE) / VLOOKUP("LULUCF|PM25|Asthma symptoms cough", US_national_yearly!$D:$AM, 10, FALSE), 1)</f>
        <v>8.3313411810228245E-5</v>
      </c>
      <c r="Y6" s="7">
        <f>$B6 * IFERROR(VLOOKUP("LULUCF|PM25|Asthma symptoms cough", US_national_yearly!$D:$AM, 33, FALSE) / VLOOKUP("LULUCF|PM25|Asthma symptoms cough", US_national_yearly!$D:$AM, 10, FALSE), 1)</f>
        <v>8.3313411810228245E-5</v>
      </c>
      <c r="Z6" s="7">
        <f>$B6 * IFERROR(VLOOKUP("LULUCF|PM25|Asthma symptoms cough", US_national_yearly!$D:$AM, 34, FALSE) / VLOOKUP("LULUCF|PM25|Asthma symptoms cough", US_national_yearly!$D:$AM, 10, FALSE), 1)</f>
        <v>8.3313411810228245E-5</v>
      </c>
      <c r="AA6" s="7">
        <f>$B6 * IFERROR(VLOOKUP("LULUCF|PM25|Asthma symptoms cough", US_national_yearly!$D:$AM, 35, FALSE) / VLOOKUP("LULUCF|PM25|Asthma symptoms cough", US_national_yearly!$D:$AM, 10, FALSE), 1)</f>
        <v>8.3313411810228245E-5</v>
      </c>
      <c r="AB6" s="7">
        <f>$B6 * IFERROR(VLOOKUP("LULUCF|PM25|Asthma symptoms cough", US_national_yearly!$D:$AM, 36, FALSE) / VLOOKUP("LULUCF|PM25|Asthma symptoms cough", US_national_yearly!$D:$AM, 10, FALSE), 1)</f>
        <v>8.3313411810228245E-5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1.121936990282917E-4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1.121936990282917E-4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1.121936990282917E-4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1.121936990282917E-4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1.121936990282917E-4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1.121936990282917E-4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1.121936990282917E-4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1.121936990282917E-4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1.121936990282917E-4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1.121936990282917E-4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1.121936990282917E-4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1.121936990282917E-4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1.121936990282917E-4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1.121936990282917E-4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1.121936990282917E-4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1.121936990282917E-4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1.121936990282917E-4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1.121936990282917E-4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1.121936990282917E-4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1.121936990282917E-4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1.121936990282917E-4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1.121936990282917E-4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1.121936990282917E-4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1.121936990282917E-4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1.121936990282917E-4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1.121936990282917E-4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1.121936990282917E-4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1.7141259753659943E-4</v>
      </c>
      <c r="C8" s="7">
        <f>$B8 * IFERROR(VLOOKUP("LULUCF|PM25|Asthma symptoms wheeze", US_national_yearly!$D:$AM, 11, FALSE) / VLOOKUP("LULUCF|PM25|Asthma symptoms wheeze", US_national_yearly!$D:$AM, 10, FALSE), 1)</f>
        <v>1.7141259753659943E-4</v>
      </c>
      <c r="D8" s="7">
        <f>$B8 * IFERROR(VLOOKUP("LULUCF|PM25|Asthma symptoms wheeze", US_national_yearly!$D:$AM, 12, FALSE) / VLOOKUP("LULUCF|PM25|Asthma symptoms wheeze", US_national_yearly!$D:$AM, 10, FALSE), 1)</f>
        <v>1.7141259753659943E-4</v>
      </c>
      <c r="E8" s="7">
        <f>$B8 * IFERROR(VLOOKUP("LULUCF|PM25|Asthma symptoms wheeze", US_national_yearly!$D:$AM, 13, FALSE) / VLOOKUP("LULUCF|PM25|Asthma symptoms wheeze", US_national_yearly!$D:$AM, 10, FALSE), 1)</f>
        <v>1.7141259753659943E-4</v>
      </c>
      <c r="F8" s="7">
        <f>$B8 * IFERROR(VLOOKUP("LULUCF|PM25|Asthma symptoms wheeze", US_national_yearly!$D:$AM, 14, FALSE) / VLOOKUP("LULUCF|PM25|Asthma symptoms wheeze", US_national_yearly!$D:$AM, 10, FALSE), 1)</f>
        <v>1.7141259753659943E-4</v>
      </c>
      <c r="G8" s="7">
        <f>$B8 * IFERROR(VLOOKUP("LULUCF|PM25|Asthma symptoms wheeze", US_national_yearly!$D:$AM, 15, FALSE) / VLOOKUP("LULUCF|PM25|Asthma symptoms wheeze", US_national_yearly!$D:$AM, 10, FALSE), 1)</f>
        <v>1.7141259753659943E-4</v>
      </c>
      <c r="H8" s="7">
        <f>$B8 * IFERROR(VLOOKUP("LULUCF|PM25|Asthma symptoms wheeze", US_national_yearly!$D:$AM, 16, FALSE) / VLOOKUP("LULUCF|PM25|Asthma symptoms wheeze", US_national_yearly!$D:$AM, 10, FALSE), 1)</f>
        <v>1.7141259753659943E-4</v>
      </c>
      <c r="I8" s="7">
        <f>$B8 * IFERROR(VLOOKUP("LULUCF|PM25|Asthma symptoms wheeze", US_national_yearly!$D:$AM, 17, FALSE) / VLOOKUP("LULUCF|PM25|Asthma symptoms wheeze", US_national_yearly!$D:$AM, 10, FALSE), 1)</f>
        <v>1.7141259753659943E-4</v>
      </c>
      <c r="J8" s="7">
        <f>$B8 * IFERROR(VLOOKUP("LULUCF|PM25|Asthma symptoms wheeze", US_national_yearly!$D:$AM, 18, FALSE) / VLOOKUP("LULUCF|PM25|Asthma symptoms wheeze", US_national_yearly!$D:$AM, 10, FALSE), 1)</f>
        <v>1.7141259753659943E-4</v>
      </c>
      <c r="K8" s="7">
        <f>$B8 * IFERROR(VLOOKUP("LULUCF|PM25|Asthma symptoms wheeze", US_national_yearly!$D:$AM, 19, FALSE) / VLOOKUP("LULUCF|PM25|Asthma symptoms wheeze", US_national_yearly!$D:$AM, 10, FALSE), 1)</f>
        <v>1.7141259753659943E-4</v>
      </c>
      <c r="L8" s="7">
        <f>$B8 * IFERROR(VLOOKUP("LULUCF|PM25|Asthma symptoms wheeze", US_national_yearly!$D:$AM, 20, FALSE) / VLOOKUP("LULUCF|PM25|Asthma symptoms wheeze", US_national_yearly!$D:$AM, 10, FALSE), 1)</f>
        <v>1.7141259753659943E-4</v>
      </c>
      <c r="M8" s="7">
        <f>$B8 * IFERROR(VLOOKUP("LULUCF|PM25|Asthma symptoms wheeze", US_national_yearly!$D:$AM, 21, FALSE) / VLOOKUP("LULUCF|PM25|Asthma symptoms wheeze", US_national_yearly!$D:$AM, 10, FALSE), 1)</f>
        <v>1.7141259753659943E-4</v>
      </c>
      <c r="N8" s="7">
        <f>$B8 * IFERROR(VLOOKUP("LULUCF|PM25|Asthma symptoms wheeze", US_national_yearly!$D:$AM, 22, FALSE) / VLOOKUP("LULUCF|PM25|Asthma symptoms wheeze", US_national_yearly!$D:$AM, 10, FALSE), 1)</f>
        <v>1.7141259753659943E-4</v>
      </c>
      <c r="O8" s="7">
        <f>$B8 * IFERROR(VLOOKUP("LULUCF|PM25|Asthma symptoms wheeze", US_national_yearly!$D:$AM, 23, FALSE) / VLOOKUP("LULUCF|PM25|Asthma symptoms wheeze", US_national_yearly!$D:$AM, 10, FALSE), 1)</f>
        <v>1.7141259753659943E-4</v>
      </c>
      <c r="P8" s="7">
        <f>$B8 * IFERROR(VLOOKUP("LULUCF|PM25|Asthma symptoms wheeze", US_national_yearly!$D:$AM, 24, FALSE) / VLOOKUP("LULUCF|PM25|Asthma symptoms wheeze", US_national_yearly!$D:$AM, 10, FALSE), 1)</f>
        <v>1.7141259753659943E-4</v>
      </c>
      <c r="Q8" s="7">
        <f>$B8 * IFERROR(VLOOKUP("LULUCF|PM25|Asthma symptoms wheeze", US_national_yearly!$D:$AM, 25, FALSE) / VLOOKUP("LULUCF|PM25|Asthma symptoms wheeze", US_national_yearly!$D:$AM, 10, FALSE), 1)</f>
        <v>1.7141259753659943E-4</v>
      </c>
      <c r="R8" s="7">
        <f>$B8 * IFERROR(VLOOKUP("LULUCF|PM25|Asthma symptoms wheeze", US_national_yearly!$D:$AM, 26, FALSE) / VLOOKUP("LULUCF|PM25|Asthma symptoms wheeze", US_national_yearly!$D:$AM, 10, FALSE), 1)</f>
        <v>1.7141259753659943E-4</v>
      </c>
      <c r="S8" s="7">
        <f>$B8 * IFERROR(VLOOKUP("LULUCF|PM25|Asthma symptoms wheeze", US_national_yearly!$D:$AM, 27, FALSE) / VLOOKUP("LULUCF|PM25|Asthma symptoms wheeze", US_national_yearly!$D:$AM, 10, FALSE), 1)</f>
        <v>1.7141259753659943E-4</v>
      </c>
      <c r="T8" s="7">
        <f>$B8 * IFERROR(VLOOKUP("LULUCF|PM25|Asthma symptoms wheeze", US_national_yearly!$D:$AM, 28, FALSE) / VLOOKUP("LULUCF|PM25|Asthma symptoms wheeze", US_national_yearly!$D:$AM, 10, FALSE), 1)</f>
        <v>1.7141259753659943E-4</v>
      </c>
      <c r="U8" s="7">
        <f>$B8 * IFERROR(VLOOKUP("LULUCF|PM25|Asthma symptoms wheeze", US_national_yearly!$D:$AM, 29, FALSE) / VLOOKUP("LULUCF|PM25|Asthma symptoms wheeze", US_national_yearly!$D:$AM, 10, FALSE), 1)</f>
        <v>1.7141259753659943E-4</v>
      </c>
      <c r="V8" s="7">
        <f>$B8 * IFERROR(VLOOKUP("LULUCF|PM25|Asthma symptoms wheeze", US_national_yearly!$D:$AM, 30, FALSE) / VLOOKUP("LULUCF|PM25|Asthma symptoms wheeze", US_national_yearly!$D:$AM, 10, FALSE), 1)</f>
        <v>1.7141259753659943E-4</v>
      </c>
      <c r="W8" s="7">
        <f>$B8 * IFERROR(VLOOKUP("LULUCF|PM25|Asthma symptoms wheeze", US_national_yearly!$D:$AM, 31, FALSE) / VLOOKUP("LULUCF|PM25|Asthma symptoms wheeze", US_national_yearly!$D:$AM, 10, FALSE), 1)</f>
        <v>1.7141259753659943E-4</v>
      </c>
      <c r="X8" s="7">
        <f>$B8 * IFERROR(VLOOKUP("LULUCF|PM25|Asthma symptoms wheeze", US_national_yearly!$D:$AM, 32, FALSE) / VLOOKUP("LULUCF|PM25|Asthma symptoms wheeze", US_national_yearly!$D:$AM, 10, FALSE), 1)</f>
        <v>1.7141259753659943E-4</v>
      </c>
      <c r="Y8" s="7">
        <f>$B8 * IFERROR(VLOOKUP("LULUCF|PM25|Asthma symptoms wheeze", US_national_yearly!$D:$AM, 33, FALSE) / VLOOKUP("LULUCF|PM25|Asthma symptoms wheeze", US_national_yearly!$D:$AM, 10, FALSE), 1)</f>
        <v>1.7141259753659943E-4</v>
      </c>
      <c r="Z8" s="7">
        <f>$B8 * IFERROR(VLOOKUP("LULUCF|PM25|Asthma symptoms wheeze", US_national_yearly!$D:$AM, 34, FALSE) / VLOOKUP("LULUCF|PM25|Asthma symptoms wheeze", US_national_yearly!$D:$AM, 10, FALSE), 1)</f>
        <v>1.7141259753659943E-4</v>
      </c>
      <c r="AA8" s="7">
        <f>$B8 * IFERROR(VLOOKUP("LULUCF|PM25|Asthma symptoms wheeze", US_national_yearly!$D:$AM, 35, FALSE) / VLOOKUP("LULUCF|PM25|Asthma symptoms wheeze", US_national_yearly!$D:$AM, 10, FALSE), 1)</f>
        <v>1.7141259753659943E-4</v>
      </c>
      <c r="AB8" s="7">
        <f>$B8 * IFERROR(VLOOKUP("LULUCF|PM25|Asthma symptoms wheeze", US_national_yearly!$D:$AM, 36, FALSE) / VLOOKUP("LULUCF|PM25|Asthma symptoms wheeze", US_national_yearly!$D:$AM, 10, FALSE), 1)</f>
        <v>1.7141259753659943E-4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1.7756883488570846E-6</v>
      </c>
      <c r="C12" s="7">
        <f>$B12 * IFERROR(VLOOKUP("LULUCF|PM25|Respiratory hospital admissions", US_national_yearly!$D:$AM, 11, FALSE) / VLOOKUP("LULUCF|PM25|Respiratory hospital admissions", US_national_yearly!$D:$AM, 10, FALSE), 1)</f>
        <v>1.7858658787691991E-6</v>
      </c>
      <c r="D12" s="7">
        <f>$B12 * IFERROR(VLOOKUP("LULUCF|PM25|Respiratory hospital admissions", US_national_yearly!$D:$AM, 12, FALSE) / VLOOKUP("LULUCF|PM25|Respiratory hospital admissions", US_national_yearly!$D:$AM, 10, FALSE), 1)</f>
        <v>1.7960434086813132E-6</v>
      </c>
      <c r="E12" s="7">
        <f>$B12 * IFERROR(VLOOKUP("LULUCF|PM25|Respiratory hospital admissions", US_national_yearly!$D:$AM, 13, FALSE) / VLOOKUP("LULUCF|PM25|Respiratory hospital admissions", US_national_yearly!$D:$AM, 10, FALSE), 1)</f>
        <v>1.8062209385934276E-6</v>
      </c>
      <c r="F12" s="7">
        <f>$B12 * IFERROR(VLOOKUP("LULUCF|PM25|Respiratory hospital admissions", US_national_yearly!$D:$AM, 14, FALSE) / VLOOKUP("LULUCF|PM25|Respiratory hospital admissions", US_national_yearly!$D:$AM, 10, FALSE), 1)</f>
        <v>1.8163984685055417E-6</v>
      </c>
      <c r="G12" s="7">
        <f>$B12 * IFERROR(VLOOKUP("LULUCF|PM25|Respiratory hospital admissions", US_national_yearly!$D:$AM, 15, FALSE) / VLOOKUP("LULUCF|PM25|Respiratory hospital admissions", US_national_yearly!$D:$AM, 10, FALSE), 1)</f>
        <v>1.8273906349359693E-6</v>
      </c>
      <c r="H12" s="7">
        <f>$B12 * IFERROR(VLOOKUP("LULUCF|PM25|Respiratory hospital admissions", US_national_yearly!$D:$AM, 16, FALSE) / VLOOKUP("LULUCF|PM25|Respiratory hospital admissions", US_national_yearly!$D:$AM, 10, FALSE), 1)</f>
        <v>1.8383828013663968E-6</v>
      </c>
      <c r="I12" s="7">
        <f>$B12 * IFERROR(VLOOKUP("LULUCF|PM25|Respiratory hospital admissions", US_national_yearly!$D:$AM, 17, FALSE) / VLOOKUP("LULUCF|PM25|Respiratory hospital admissions", US_national_yearly!$D:$AM, 10, FALSE), 1)</f>
        <v>1.8488853987596634E-6</v>
      </c>
      <c r="J12" s="7">
        <f>$B12 * IFERROR(VLOOKUP("LULUCF|PM25|Respiratory hospital admissions", US_national_yearly!$D:$AM, 18, FALSE) / VLOOKUP("LULUCF|PM25|Respiratory hospital admissions", US_national_yearly!$D:$AM, 10, FALSE), 1)</f>
        <v>1.8593879961529308E-6</v>
      </c>
      <c r="K12" s="7">
        <f>$B12 * IFERROR(VLOOKUP("LULUCF|PM25|Respiratory hospital admissions", US_national_yearly!$D:$AM, 19, FALSE) / VLOOKUP("LULUCF|PM25|Respiratory hospital admissions", US_national_yearly!$D:$AM, 10, FALSE), 1)</f>
        <v>1.8698905935461977E-6</v>
      </c>
      <c r="L12" s="7">
        <f>$B12 * IFERROR(VLOOKUP("LULUCF|PM25|Respiratory hospital admissions", US_national_yearly!$D:$AM, 20, FALSE) / VLOOKUP("LULUCF|PM25|Respiratory hospital admissions", US_national_yearly!$D:$AM, 10, FALSE), 1)</f>
        <v>1.8803931909394651E-6</v>
      </c>
      <c r="M12" s="7">
        <f>$B12 * IFERROR(VLOOKUP("LULUCF|PM25|Respiratory hospital admissions", US_national_yearly!$D:$AM, 21, FALSE) / VLOOKUP("LULUCF|PM25|Respiratory hospital admissions", US_national_yearly!$D:$AM, 10, FALSE), 1)</f>
        <v>1.8908957883327316E-6</v>
      </c>
      <c r="N12" s="7">
        <f>$B12 * IFERROR(VLOOKUP("LULUCF|PM25|Respiratory hospital admissions", US_national_yearly!$D:$AM, 22, FALSE) / VLOOKUP("LULUCF|PM25|Respiratory hospital admissions", US_national_yearly!$D:$AM, 10, FALSE), 1)</f>
        <v>1.8984338089668808E-6</v>
      </c>
      <c r="O12" s="7">
        <f>$B12 * IFERROR(VLOOKUP("LULUCF|PM25|Respiratory hospital admissions", US_national_yearly!$D:$AM, 23, FALSE) / VLOOKUP("LULUCF|PM25|Respiratory hospital admissions", US_national_yearly!$D:$AM, 10, FALSE), 1)</f>
        <v>1.9059718296010296E-6</v>
      </c>
      <c r="P12" s="7">
        <f>$B12 * IFERROR(VLOOKUP("LULUCF|PM25|Respiratory hospital admissions", US_national_yearly!$D:$AM, 24, FALSE) / VLOOKUP("LULUCF|PM25|Respiratory hospital admissions", US_national_yearly!$D:$AM, 10, FALSE), 1)</f>
        <v>1.9135098502351778E-6</v>
      </c>
      <c r="Q12" s="7">
        <f>$B12 * IFERROR(VLOOKUP("LULUCF|PM25|Respiratory hospital admissions", US_national_yearly!$D:$AM, 25, FALSE) / VLOOKUP("LULUCF|PM25|Respiratory hospital admissions", US_national_yearly!$D:$AM, 10, FALSE), 1)</f>
        <v>1.9210478708693266E-6</v>
      </c>
      <c r="R12" s="7">
        <f>$B12 * IFERROR(VLOOKUP("LULUCF|PM25|Respiratory hospital admissions", US_national_yearly!$D:$AM, 26, FALSE) / VLOOKUP("LULUCF|PM25|Respiratory hospital admissions", US_national_yearly!$D:$AM, 10, FALSE), 1)</f>
        <v>1.9285858915034758E-6</v>
      </c>
      <c r="S12" s="7">
        <f>$B12 * IFERROR(VLOOKUP("LULUCF|PM25|Respiratory hospital admissions", US_national_yearly!$D:$AM, 27, FALSE) / VLOOKUP("LULUCF|PM25|Respiratory hospital admissions", US_national_yearly!$D:$AM, 10, FALSE), 1)</f>
        <v>1.9357630804161092E-6</v>
      </c>
      <c r="T12" s="7">
        <f>$B12 * IFERROR(VLOOKUP("LULUCF|PM25|Respiratory hospital admissions", US_national_yearly!$D:$AM, 28, FALSE) / VLOOKUP("LULUCF|PM25|Respiratory hospital admissions", US_national_yearly!$D:$AM, 10, FALSE), 1)</f>
        <v>1.9429402693287432E-6</v>
      </c>
      <c r="U12" s="7">
        <f>$B12 * IFERROR(VLOOKUP("LULUCF|PM25|Respiratory hospital admissions", US_national_yearly!$D:$AM, 29, FALSE) / VLOOKUP("LULUCF|PM25|Respiratory hospital admissions", US_national_yearly!$D:$AM, 10, FALSE), 1)</f>
        <v>1.9501174582413766E-6</v>
      </c>
      <c r="V12" s="7">
        <f>$B12 * IFERROR(VLOOKUP("LULUCF|PM25|Respiratory hospital admissions", US_national_yearly!$D:$AM, 30, FALSE) / VLOOKUP("LULUCF|PM25|Respiratory hospital admissions", US_national_yearly!$D:$AM, 10, FALSE), 1)</f>
        <v>1.9572946471540101E-6</v>
      </c>
      <c r="W12" s="7">
        <f>$B12 * IFERROR(VLOOKUP("LULUCF|PM25|Respiratory hospital admissions", US_national_yearly!$D:$AM, 31, FALSE) / VLOOKUP("LULUCF|PM25|Respiratory hospital admissions", US_national_yearly!$D:$AM, 10, FALSE), 1)</f>
        <v>1.9644718360666432E-6</v>
      </c>
      <c r="X12" s="7">
        <f>$B12 * IFERROR(VLOOKUP("LULUCF|PM25|Respiratory hospital admissions", US_national_yearly!$D:$AM, 32, FALSE) / VLOOKUP("LULUCF|PM25|Respiratory hospital admissions", US_national_yearly!$D:$AM, 10, FALSE), 1)</f>
        <v>1.9713763833540402E-6</v>
      </c>
      <c r="Y12" s="7">
        <f>$B12 * IFERROR(VLOOKUP("LULUCF|PM25|Respiratory hospital admissions", US_national_yearly!$D:$AM, 33, FALSE) / VLOOKUP("LULUCF|PM25|Respiratory hospital admissions", US_national_yearly!$D:$AM, 10, FALSE), 1)</f>
        <v>1.9782809306414359E-6</v>
      </c>
      <c r="Z12" s="7">
        <f>$B12 * IFERROR(VLOOKUP("LULUCF|PM25|Respiratory hospital admissions", US_national_yearly!$D:$AM, 34, FALSE) / VLOOKUP("LULUCF|PM25|Respiratory hospital admissions", US_national_yearly!$D:$AM, 10, FALSE), 1)</f>
        <v>1.985185477928832E-6</v>
      </c>
      <c r="AA12" s="7">
        <f>$B12 * IFERROR(VLOOKUP("LULUCF|PM25|Respiratory hospital admissions", US_national_yearly!$D:$AM, 35, FALSE) / VLOOKUP("LULUCF|PM25|Respiratory hospital admissions", US_national_yearly!$D:$AM, 10, FALSE), 1)</f>
        <v>1.9920900252162277E-6</v>
      </c>
      <c r="AB12" s="7">
        <f>$B12 * IFERROR(VLOOKUP("LULUCF|PM25|Respiratory hospital admissions", US_national_yearly!$D:$AM, 36, FALSE) / VLOOKUP("LULUCF|PM25|Respiratory hospital admissions", US_national_yearly!$D:$AM, 10, FALSE), 1)</f>
        <v>1.9989945725036242E-6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9.6112158700423226E-6</v>
      </c>
      <c r="C13" s="7">
        <f>$B13 * IFERROR(VLOOKUP("LULUCF|PM25|Non-fatal heart attacks", US_national_yearly!$D:$AM, 11, FALSE) / VLOOKUP("LULUCF|PM25|Non-fatal heart attacks", US_national_yearly!$D:$AM, 10, FALSE), 1)</f>
        <v>9.8906394206322975E-6</v>
      </c>
      <c r="D13" s="7">
        <f>$B13 * IFERROR(VLOOKUP("LULUCF|PM25|Non-fatal heart attacks", US_national_yearly!$D:$AM, 12, FALSE) / VLOOKUP("LULUCF|PM25|Non-fatal heart attacks", US_national_yearly!$D:$AM, 10, FALSE), 1)</f>
        <v>1.0170062971222274E-5</v>
      </c>
      <c r="E13" s="7">
        <f>$B13 * IFERROR(VLOOKUP("LULUCF|PM25|Non-fatal heart attacks", US_national_yearly!$D:$AM, 13, FALSE) / VLOOKUP("LULUCF|PM25|Non-fatal heart attacks", US_national_yearly!$D:$AM, 10, FALSE), 1)</f>
        <v>1.0449486521812247E-5</v>
      </c>
      <c r="F13" s="7">
        <f>$B13 * IFERROR(VLOOKUP("LULUCF|PM25|Non-fatal heart attacks", US_national_yearly!$D:$AM, 14, FALSE) / VLOOKUP("LULUCF|PM25|Non-fatal heart attacks", US_national_yearly!$D:$AM, 10, FALSE), 1)</f>
        <v>1.0728910072402225E-5</v>
      </c>
      <c r="G13" s="7">
        <f>$B13 * IFERROR(VLOOKUP("LULUCF|PM25|Non-fatal heart attacks", US_national_yearly!$D:$AM, 15, FALSE) / VLOOKUP("LULUCF|PM25|Non-fatal heart attacks", US_national_yearly!$D:$AM, 10, FALSE), 1)</f>
        <v>1.0992424145422971E-5</v>
      </c>
      <c r="H13" s="7">
        <f>$B13 * IFERROR(VLOOKUP("LULUCF|PM25|Non-fatal heart attacks", US_national_yearly!$D:$AM, 16, FALSE) / VLOOKUP("LULUCF|PM25|Non-fatal heart attacks", US_national_yearly!$D:$AM, 10, FALSE), 1)</f>
        <v>1.1255938218443713E-5</v>
      </c>
      <c r="I13" s="7">
        <f>$B13 * IFERROR(VLOOKUP("LULUCF|PM25|Non-fatal heart attacks", US_national_yearly!$D:$AM, 17, FALSE) / VLOOKUP("LULUCF|PM25|Non-fatal heart attacks", US_national_yearly!$D:$AM, 10, FALSE), 1)</f>
        <v>1.1467715847525549E-5</v>
      </c>
      <c r="J13" s="7">
        <f>$B13 * IFERROR(VLOOKUP("LULUCF|PM25|Non-fatal heart attacks", US_national_yearly!$D:$AM, 18, FALSE) / VLOOKUP("LULUCF|PM25|Non-fatal heart attacks", US_national_yearly!$D:$AM, 10, FALSE), 1)</f>
        <v>1.1679493476607387E-5</v>
      </c>
      <c r="K13" s="7">
        <f>$B13 * IFERROR(VLOOKUP("LULUCF|PM25|Non-fatal heart attacks", US_national_yearly!$D:$AM, 19, FALSE) / VLOOKUP("LULUCF|PM25|Non-fatal heart attacks", US_national_yearly!$D:$AM, 10, FALSE), 1)</f>
        <v>1.1891271105689225E-5</v>
      </c>
      <c r="L13" s="7">
        <f>$B13 * IFERROR(VLOOKUP("LULUCF|PM25|Non-fatal heart attacks", US_national_yearly!$D:$AM, 20, FALSE) / VLOOKUP("LULUCF|PM25|Non-fatal heart attacks", US_national_yearly!$D:$AM, 10, FALSE), 1)</f>
        <v>1.2103048734771062E-5</v>
      </c>
      <c r="M13" s="7">
        <f>$B13 * IFERROR(VLOOKUP("LULUCF|PM25|Non-fatal heart attacks", US_national_yearly!$D:$AM, 21, FALSE) / VLOOKUP("LULUCF|PM25|Non-fatal heart attacks", US_national_yearly!$D:$AM, 10, FALSE), 1)</f>
        <v>1.2314826363852901E-5</v>
      </c>
      <c r="N13" s="7">
        <f>$B13 * IFERROR(VLOOKUP("LULUCF|PM25|Non-fatal heart attacks", US_national_yearly!$D:$AM, 22, FALSE) / VLOOKUP("LULUCF|PM25|Non-fatal heart attacks", US_national_yearly!$D:$AM, 10, FALSE), 1)</f>
        <v>1.2451402022527117E-5</v>
      </c>
      <c r="O13" s="7">
        <f>$B13 * IFERROR(VLOOKUP("LULUCF|PM25|Non-fatal heart attacks", US_national_yearly!$D:$AM, 23, FALSE) / VLOOKUP("LULUCF|PM25|Non-fatal heart attacks", US_national_yearly!$D:$AM, 10, FALSE), 1)</f>
        <v>1.2587977681201336E-5</v>
      </c>
      <c r="P13" s="7">
        <f>$B13 * IFERROR(VLOOKUP("LULUCF|PM25|Non-fatal heart attacks", US_national_yearly!$D:$AM, 24, FALSE) / VLOOKUP("LULUCF|PM25|Non-fatal heart attacks", US_national_yearly!$D:$AM, 10, FALSE), 1)</f>
        <v>1.2724553339875555E-5</v>
      </c>
      <c r="Q13" s="7">
        <f>$B13 * IFERROR(VLOOKUP("LULUCF|PM25|Non-fatal heart attacks", US_national_yearly!$D:$AM, 25, FALSE) / VLOOKUP("LULUCF|PM25|Non-fatal heart attacks", US_national_yearly!$D:$AM, 10, FALSE), 1)</f>
        <v>1.2861128998549772E-5</v>
      </c>
      <c r="R13" s="7">
        <f>$B13 * IFERROR(VLOOKUP("LULUCF|PM25|Non-fatal heart attacks", US_national_yearly!$D:$AM, 26, FALSE) / VLOOKUP("LULUCF|PM25|Non-fatal heart attacks", US_national_yearly!$D:$AM, 10, FALSE), 1)</f>
        <v>1.2997704657223991E-5</v>
      </c>
      <c r="S13" s="7">
        <f>$B13 * IFERROR(VLOOKUP("LULUCF|PM25|Non-fatal heart attacks", US_national_yearly!$D:$AM, 27, FALSE) / VLOOKUP("LULUCF|PM25|Non-fatal heart attacks", US_national_yearly!$D:$AM, 10, FALSE), 1)</f>
        <v>1.3069629301018622E-5</v>
      </c>
      <c r="T13" s="7">
        <f>$B13 * IFERROR(VLOOKUP("LULUCF|PM25|Non-fatal heart attacks", US_national_yearly!$D:$AM, 28, FALSE) / VLOOKUP("LULUCF|PM25|Non-fatal heart attacks", US_national_yearly!$D:$AM, 10, FALSE), 1)</f>
        <v>1.3141553944813258E-5</v>
      </c>
      <c r="U13" s="7">
        <f>$B13 * IFERROR(VLOOKUP("LULUCF|PM25|Non-fatal heart attacks", US_national_yearly!$D:$AM, 29, FALSE) / VLOOKUP("LULUCF|PM25|Non-fatal heart attacks", US_national_yearly!$D:$AM, 10, FALSE), 1)</f>
        <v>1.3213478588607896E-5</v>
      </c>
      <c r="V13" s="7">
        <f>$B13 * IFERROR(VLOOKUP("LULUCF|PM25|Non-fatal heart attacks", US_national_yearly!$D:$AM, 30, FALSE) / VLOOKUP("LULUCF|PM25|Non-fatal heart attacks", US_national_yearly!$D:$AM, 10, FALSE), 1)</f>
        <v>1.3285403232402528E-5</v>
      </c>
      <c r="W13" s="7">
        <f>$B13 * IFERROR(VLOOKUP("LULUCF|PM25|Non-fatal heart attacks", US_national_yearly!$D:$AM, 31, FALSE) / VLOOKUP("LULUCF|PM25|Non-fatal heart attacks", US_national_yearly!$D:$AM, 10, FALSE), 1)</f>
        <v>1.3357327876197163E-5</v>
      </c>
      <c r="X13" s="7">
        <f>$B13 * IFERROR(VLOOKUP("LULUCF|PM25|Non-fatal heart attacks", US_national_yearly!$D:$AM, 32, FALSE) / VLOOKUP("LULUCF|PM25|Non-fatal heart attacks", US_national_yearly!$D:$AM, 10, FALSE), 1)</f>
        <v>1.3411929080927041E-5</v>
      </c>
      <c r="Y13" s="7">
        <f>$B13 * IFERROR(VLOOKUP("LULUCF|PM25|Non-fatal heart attacks", US_national_yearly!$D:$AM, 33, FALSE) / VLOOKUP("LULUCF|PM25|Non-fatal heart attacks", US_national_yearly!$D:$AM, 10, FALSE), 1)</f>
        <v>1.3466530285656921E-5</v>
      </c>
      <c r="Z13" s="7">
        <f>$B13 * IFERROR(VLOOKUP("LULUCF|PM25|Non-fatal heart attacks", US_national_yearly!$D:$AM, 34, FALSE) / VLOOKUP("LULUCF|PM25|Non-fatal heart attacks", US_national_yearly!$D:$AM, 10, FALSE), 1)</f>
        <v>1.3521131490386799E-5</v>
      </c>
      <c r="AA13" s="7">
        <f>$B13 * IFERROR(VLOOKUP("LULUCF|PM25|Non-fatal heart attacks", US_national_yearly!$D:$AM, 35, FALSE) / VLOOKUP("LULUCF|PM25|Non-fatal heart attacks", US_national_yearly!$D:$AM, 10, FALSE), 1)</f>
        <v>1.3575732695116679E-5</v>
      </c>
      <c r="AB13" s="7">
        <f>$B13 * IFERROR(VLOOKUP("LULUCF|PM25|Non-fatal heart attacks", US_national_yearly!$D:$AM, 36, FALSE) / VLOOKUP("LULUCF|PM25|Non-fatal heart attacks", US_national_yearly!$D:$AM, 10, FALSE), 1)</f>
        <v>1.3630333899846555E-5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9.2556522518516694E-3</v>
      </c>
      <c r="C14" s="7">
        <f>$B14 * IFERROR(VLOOKUP("LULUCF|PM25|Minor restricted activity days", US_national_yearly!$D:$AM, 11, FALSE) / VLOOKUP("LULUCF|PM25|Minor restricted activity days", US_national_yearly!$D:$AM, 10, FALSE), 1)</f>
        <v>9.2782556522866717E-3</v>
      </c>
      <c r="D14" s="7">
        <f>$B14 * IFERROR(VLOOKUP("LULUCF|PM25|Minor restricted activity days", US_national_yearly!$D:$AM, 12, FALSE) / VLOOKUP("LULUCF|PM25|Minor restricted activity days", US_national_yearly!$D:$AM, 10, FALSE), 1)</f>
        <v>9.3008590527216741E-3</v>
      </c>
      <c r="E14" s="7">
        <f>$B14 * IFERROR(VLOOKUP("LULUCF|PM25|Minor restricted activity days", US_national_yearly!$D:$AM, 13, FALSE) / VLOOKUP("LULUCF|PM25|Minor restricted activity days", US_national_yearly!$D:$AM, 10, FALSE), 1)</f>
        <v>9.32346245315668E-3</v>
      </c>
      <c r="F14" s="7">
        <f>$B14 * IFERROR(VLOOKUP("LULUCF|PM25|Minor restricted activity days", US_national_yearly!$D:$AM, 14, FALSE) / VLOOKUP("LULUCF|PM25|Minor restricted activity days", US_national_yearly!$D:$AM, 10, FALSE), 1)</f>
        <v>9.3460658535916806E-3</v>
      </c>
      <c r="G14" s="7">
        <f>$B14 * IFERROR(VLOOKUP("LULUCF|PM25|Minor restricted activity days", US_national_yearly!$D:$AM, 15, FALSE) / VLOOKUP("LULUCF|PM25|Minor restricted activity days", US_national_yearly!$D:$AM, 10, FALSE), 1)</f>
        <v>9.3794164944723726E-3</v>
      </c>
      <c r="H14" s="7">
        <f>$B14 * IFERROR(VLOOKUP("LULUCF|PM25|Minor restricted activity days", US_national_yearly!$D:$AM, 16, FALSE) / VLOOKUP("LULUCF|PM25|Minor restricted activity days", US_national_yearly!$D:$AM, 10, FALSE), 1)</f>
        <v>9.4127671353530645E-3</v>
      </c>
      <c r="I14" s="7">
        <f>$B14 * IFERROR(VLOOKUP("LULUCF|PM25|Minor restricted activity days", US_national_yearly!$D:$AM, 17, FALSE) / VLOOKUP("LULUCF|PM25|Minor restricted activity days", US_national_yearly!$D:$AM, 10, FALSE), 1)</f>
        <v>9.4697814590277776E-3</v>
      </c>
      <c r="J14" s="7">
        <f>$B14 * IFERROR(VLOOKUP("LULUCF|PM25|Minor restricted activity days", US_national_yearly!$D:$AM, 18, FALSE) / VLOOKUP("LULUCF|PM25|Minor restricted activity days", US_national_yearly!$D:$AM, 10, FALSE), 1)</f>
        <v>9.5267957827024855E-3</v>
      </c>
      <c r="K14" s="7">
        <f>$B14 * IFERROR(VLOOKUP("LULUCF|PM25|Minor restricted activity days", US_national_yearly!$D:$AM, 19, FALSE) / VLOOKUP("LULUCF|PM25|Minor restricted activity days", US_national_yearly!$D:$AM, 10, FALSE), 1)</f>
        <v>9.5838101063771969E-3</v>
      </c>
      <c r="L14" s="7">
        <f>$B14 * IFERROR(VLOOKUP("LULUCF|PM25|Minor restricted activity days", US_national_yearly!$D:$AM, 20, FALSE) / VLOOKUP("LULUCF|PM25|Minor restricted activity days", US_national_yearly!$D:$AM, 10, FALSE), 1)</f>
        <v>9.6408244300519065E-3</v>
      </c>
      <c r="M14" s="7">
        <f>$B14 * IFERROR(VLOOKUP("LULUCF|PM25|Minor restricted activity days", US_national_yearly!$D:$AM, 21, FALSE) / VLOOKUP("LULUCF|PM25|Minor restricted activity days", US_national_yearly!$D:$AM, 10, FALSE), 1)</f>
        <v>9.6978387537266161E-3</v>
      </c>
      <c r="N14" s="7">
        <f>$B14 * IFERROR(VLOOKUP("LULUCF|PM25|Minor restricted activity days", US_national_yearly!$D:$AM, 22, FALSE) / VLOOKUP("LULUCF|PM25|Minor restricted activity days", US_national_yearly!$D:$AM, 10, FALSE), 1)</f>
        <v>9.7755036141032262E-3</v>
      </c>
      <c r="O14" s="7">
        <f>$B14 * IFERROR(VLOOKUP("LULUCF|PM25|Minor restricted activity days", US_national_yearly!$D:$AM, 23, FALSE) / VLOOKUP("LULUCF|PM25|Minor restricted activity days", US_national_yearly!$D:$AM, 10, FALSE), 1)</f>
        <v>9.8531684744798363E-3</v>
      </c>
      <c r="P14" s="7">
        <f>$B14 * IFERROR(VLOOKUP("LULUCF|PM25|Minor restricted activity days", US_national_yearly!$D:$AM, 24, FALSE) / VLOOKUP("LULUCF|PM25|Minor restricted activity days", US_national_yearly!$D:$AM, 10, FALSE), 1)</f>
        <v>9.9308333348564481E-3</v>
      </c>
      <c r="Q14" s="7">
        <f>$B14 * IFERROR(VLOOKUP("LULUCF|PM25|Minor restricted activity days", US_national_yearly!$D:$AM, 25, FALSE) / VLOOKUP("LULUCF|PM25|Minor restricted activity days", US_national_yearly!$D:$AM, 10, FALSE), 1)</f>
        <v>1.0008498195233057E-2</v>
      </c>
      <c r="R14" s="7">
        <f>$B14 * IFERROR(VLOOKUP("LULUCF|PM25|Minor restricted activity days", US_national_yearly!$D:$AM, 26, FALSE) / VLOOKUP("LULUCF|PM25|Minor restricted activity days", US_national_yearly!$D:$AM, 10, FALSE), 1)</f>
        <v>1.0086163055609665E-2</v>
      </c>
      <c r="S14" s="7">
        <f>$B14 * IFERROR(VLOOKUP("LULUCF|PM25|Minor restricted activity days", US_national_yearly!$D:$AM, 27, FALSE) / VLOOKUP("LULUCF|PM25|Minor restricted activity days", US_national_yearly!$D:$AM, 10, FALSE), 1)</f>
        <v>1.0164362768430515E-2</v>
      </c>
      <c r="T14" s="7">
        <f>$B14 * IFERROR(VLOOKUP("LULUCF|PM25|Minor restricted activity days", US_national_yearly!$D:$AM, 28, FALSE) / VLOOKUP("LULUCF|PM25|Minor restricted activity days", US_national_yearly!$D:$AM, 10, FALSE), 1)</f>
        <v>1.0242562481251364E-2</v>
      </c>
      <c r="U14" s="7">
        <f>$B14 * IFERROR(VLOOKUP("LULUCF|PM25|Minor restricted activity days", US_national_yearly!$D:$AM, 29, FALSE) / VLOOKUP("LULUCF|PM25|Minor restricted activity days", US_national_yearly!$D:$AM, 10, FALSE), 1)</f>
        <v>1.0320762194072214E-2</v>
      </c>
      <c r="V14" s="7">
        <f>$B14 * IFERROR(VLOOKUP("LULUCF|PM25|Minor restricted activity days", US_national_yearly!$D:$AM, 30, FALSE) / VLOOKUP("LULUCF|PM25|Minor restricted activity days", US_national_yearly!$D:$AM, 10, FALSE), 1)</f>
        <v>1.0398961906893062E-2</v>
      </c>
      <c r="W14" s="7">
        <f>$B14 * IFERROR(VLOOKUP("LULUCF|PM25|Minor restricted activity days", US_national_yearly!$D:$AM, 31, FALSE) / VLOOKUP("LULUCF|PM25|Minor restricted activity days", US_national_yearly!$D:$AM, 10, FALSE), 1)</f>
        <v>1.0477161619713913E-2</v>
      </c>
      <c r="X14" s="7">
        <f>$B14 * IFERROR(VLOOKUP("LULUCF|PM25|Minor restricted activity days", US_national_yearly!$D:$AM, 32, FALSE) / VLOOKUP("LULUCF|PM25|Minor restricted activity days", US_national_yearly!$D:$AM, 10, FALSE), 1)</f>
        <v>1.0545046837483198E-2</v>
      </c>
      <c r="Y14" s="7">
        <f>$B14 * IFERROR(VLOOKUP("LULUCF|PM25|Minor restricted activity days", US_national_yearly!$D:$AM, 33, FALSE) / VLOOKUP("LULUCF|PM25|Minor restricted activity days", US_national_yearly!$D:$AM, 10, FALSE), 1)</f>
        <v>1.0612932055252485E-2</v>
      </c>
      <c r="Z14" s="7">
        <f>$B14 * IFERROR(VLOOKUP("LULUCF|PM25|Minor restricted activity days", US_national_yearly!$D:$AM, 34, FALSE) / VLOOKUP("LULUCF|PM25|Minor restricted activity days", US_national_yearly!$D:$AM, 10, FALSE), 1)</f>
        <v>1.0680817273021771E-2</v>
      </c>
      <c r="AA14" s="7">
        <f>$B14 * IFERROR(VLOOKUP("LULUCF|PM25|Minor restricted activity days", US_national_yearly!$D:$AM, 35, FALSE) / VLOOKUP("LULUCF|PM25|Minor restricted activity days", US_national_yearly!$D:$AM, 10, FALSE), 1)</f>
        <v>1.0748702490791056E-2</v>
      </c>
      <c r="AB14" s="7">
        <f>$B14 * IFERROR(VLOOKUP("LULUCF|PM25|Minor restricted activity days", US_national_yearly!$D:$AM, 36, FALSE) / VLOOKUP("LULUCF|PM25|Minor restricted activity days", US_national_yearly!$D:$AM, 10, FALSE), 1)</f>
        <v>1.0816587708560341E-2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1.5698178997529569E-3</v>
      </c>
      <c r="C15" s="7">
        <f>$B15 * IFERROR(VLOOKUP("LULUCF|PM25|Work loss days", US_national_yearly!$D:$AM, 11, FALSE) / VLOOKUP("LULUCF|PM25|Work loss days", US_national_yearly!$D:$AM, 10, FALSE), 1)</f>
        <v>1.5746837698396297E-3</v>
      </c>
      <c r="D15" s="7">
        <f>$B15 * IFERROR(VLOOKUP("LULUCF|PM25|Work loss days", US_national_yearly!$D:$AM, 12, FALSE) / VLOOKUP("LULUCF|PM25|Work loss days", US_national_yearly!$D:$AM, 10, FALSE), 1)</f>
        <v>1.5795496399263027E-3</v>
      </c>
      <c r="E15" s="7">
        <f>$B15 * IFERROR(VLOOKUP("LULUCF|PM25|Work loss days", US_national_yearly!$D:$AM, 13, FALSE) / VLOOKUP("LULUCF|PM25|Work loss days", US_national_yearly!$D:$AM, 10, FALSE), 1)</f>
        <v>1.5844155100129755E-3</v>
      </c>
      <c r="F15" s="7">
        <f>$B15 * IFERROR(VLOOKUP("LULUCF|PM25|Work loss days", US_national_yearly!$D:$AM, 14, FALSE) / VLOOKUP("LULUCF|PM25|Work loss days", US_national_yearly!$D:$AM, 10, FALSE), 1)</f>
        <v>1.5892813800996481E-3</v>
      </c>
      <c r="G15" s="7">
        <f>$B15 * IFERROR(VLOOKUP("LULUCF|PM25|Work loss days", US_national_yearly!$D:$AM, 15, FALSE) / VLOOKUP("LULUCF|PM25|Work loss days", US_national_yearly!$D:$AM, 10, FALSE), 1)</f>
        <v>1.5956608462791132E-3</v>
      </c>
      <c r="H15" s="7">
        <f>$B15 * IFERROR(VLOOKUP("LULUCF|PM25|Work loss days", US_national_yearly!$D:$AM, 16, FALSE) / VLOOKUP("LULUCF|PM25|Work loss days", US_national_yearly!$D:$AM, 10, FALSE), 1)</f>
        <v>1.6020403124585786E-3</v>
      </c>
      <c r="I15" s="7">
        <f>$B15 * IFERROR(VLOOKUP("LULUCF|PM25|Work loss days", US_national_yearly!$D:$AM, 17, FALSE) / VLOOKUP("LULUCF|PM25|Work loss days", US_national_yearly!$D:$AM, 10, FALSE), 1)</f>
        <v>1.611434778052841E-3</v>
      </c>
      <c r="J15" s="7">
        <f>$B15 * IFERROR(VLOOKUP("LULUCF|PM25|Work loss days", US_national_yearly!$D:$AM, 18, FALSE) / VLOOKUP("LULUCF|PM25|Work loss days", US_national_yearly!$D:$AM, 10, FALSE), 1)</f>
        <v>1.6208292436471036E-3</v>
      </c>
      <c r="K15" s="7">
        <f>$B15 * IFERROR(VLOOKUP("LULUCF|PM25|Work loss days", US_national_yearly!$D:$AM, 19, FALSE) / VLOOKUP("LULUCF|PM25|Work loss days", US_national_yearly!$D:$AM, 10, FALSE), 1)</f>
        <v>1.6302237092413662E-3</v>
      </c>
      <c r="L15" s="7">
        <f>$B15 * IFERROR(VLOOKUP("LULUCF|PM25|Work loss days", US_national_yearly!$D:$AM, 20, FALSE) / VLOOKUP("LULUCF|PM25|Work loss days", US_national_yearly!$D:$AM, 10, FALSE), 1)</f>
        <v>1.6396181748356286E-3</v>
      </c>
      <c r="M15" s="7">
        <f>$B15 * IFERROR(VLOOKUP("LULUCF|PM25|Work loss days", US_national_yearly!$D:$AM, 21, FALSE) / VLOOKUP("LULUCF|PM25|Work loss days", US_national_yearly!$D:$AM, 10, FALSE), 1)</f>
        <v>1.6490126404298912E-3</v>
      </c>
      <c r="N15" s="7">
        <f>$B15 * IFERROR(VLOOKUP("LULUCF|PM25|Work loss days", US_national_yearly!$D:$AM, 22, FALSE) / VLOOKUP("LULUCF|PM25|Work loss days", US_national_yearly!$D:$AM, 10, FALSE), 1)</f>
        <v>1.6608362864361083E-3</v>
      </c>
      <c r="O15" s="7">
        <f>$B15 * IFERROR(VLOOKUP("LULUCF|PM25|Work loss days", US_national_yearly!$D:$AM, 23, FALSE) / VLOOKUP("LULUCF|PM25|Work loss days", US_national_yearly!$D:$AM, 10, FALSE), 1)</f>
        <v>1.6726599324423249E-3</v>
      </c>
      <c r="P15" s="7">
        <f>$B15 * IFERROR(VLOOKUP("LULUCF|PM25|Work loss days", US_national_yearly!$D:$AM, 24, FALSE) / VLOOKUP("LULUCF|PM25|Work loss days", US_national_yearly!$D:$AM, 10, FALSE), 1)</f>
        <v>1.684483578448542E-3</v>
      </c>
      <c r="Q15" s="7">
        <f>$B15 * IFERROR(VLOOKUP("LULUCF|PM25|Work loss days", US_national_yearly!$D:$AM, 25, FALSE) / VLOOKUP("LULUCF|PM25|Work loss days", US_national_yearly!$D:$AM, 10, FALSE), 1)</f>
        <v>1.6963072244547588E-3</v>
      </c>
      <c r="R15" s="7">
        <f>$B15 * IFERROR(VLOOKUP("LULUCF|PM25|Work loss days", US_national_yearly!$D:$AM, 26, FALSE) / VLOOKUP("LULUCF|PM25|Work loss days", US_national_yearly!$D:$AM, 10, FALSE), 1)</f>
        <v>1.7081308704609758E-3</v>
      </c>
      <c r="S15" s="7">
        <f>$B15 * IFERROR(VLOOKUP("LULUCF|PM25|Work loss days", US_national_yearly!$D:$AM, 27, FALSE) / VLOOKUP("LULUCF|PM25|Work loss days", US_national_yearly!$D:$AM, 10, FALSE), 1)</f>
        <v>1.7212083277361278E-3</v>
      </c>
      <c r="T15" s="7">
        <f>$B15 * IFERROR(VLOOKUP("LULUCF|PM25|Work loss days", US_national_yearly!$D:$AM, 28, FALSE) / VLOOKUP("LULUCF|PM25|Work loss days", US_national_yearly!$D:$AM, 10, FALSE), 1)</f>
        <v>1.7342857850112803E-3</v>
      </c>
      <c r="U15" s="7">
        <f>$B15 * IFERROR(VLOOKUP("LULUCF|PM25|Work loss days", US_national_yearly!$D:$AM, 29, FALSE) / VLOOKUP("LULUCF|PM25|Work loss days", US_national_yearly!$D:$AM, 10, FALSE), 1)</f>
        <v>1.7473632422864318E-3</v>
      </c>
      <c r="V15" s="7">
        <f>$B15 * IFERROR(VLOOKUP("LULUCF|PM25|Work loss days", US_national_yearly!$D:$AM, 30, FALSE) / VLOOKUP("LULUCF|PM25|Work loss days", US_national_yearly!$D:$AM, 10, FALSE), 1)</f>
        <v>1.7604406995615843E-3</v>
      </c>
      <c r="W15" s="7">
        <f>$B15 * IFERROR(VLOOKUP("LULUCF|PM25|Work loss days", US_national_yearly!$D:$AM, 31, FALSE) / VLOOKUP("LULUCF|PM25|Work loss days", US_national_yearly!$D:$AM, 10, FALSE), 1)</f>
        <v>1.7735181568367363E-3</v>
      </c>
      <c r="X15" s="7">
        <f>$B15 * IFERROR(VLOOKUP("LULUCF|PM25|Work loss days", US_national_yearly!$D:$AM, 32, FALSE) / VLOOKUP("LULUCF|PM25|Work loss days", US_national_yearly!$D:$AM, 10, FALSE), 1)</f>
        <v>1.785121388477395E-3</v>
      </c>
      <c r="Y15" s="7">
        <f>$B15 * IFERROR(VLOOKUP("LULUCF|PM25|Work loss days", US_national_yearly!$D:$AM, 33, FALSE) / VLOOKUP("LULUCF|PM25|Work loss days", US_national_yearly!$D:$AM, 10, FALSE), 1)</f>
        <v>1.7967246201180535E-3</v>
      </c>
      <c r="Z15" s="7">
        <f>$B15 * IFERROR(VLOOKUP("LULUCF|PM25|Work loss days", US_national_yearly!$D:$AM, 34, FALSE) / VLOOKUP("LULUCF|PM25|Work loss days", US_national_yearly!$D:$AM, 10, FALSE), 1)</f>
        <v>1.8083278517587124E-3</v>
      </c>
      <c r="AA15" s="7">
        <f>$B15 * IFERROR(VLOOKUP("LULUCF|PM25|Work loss days", US_national_yearly!$D:$AM, 35, FALSE) / VLOOKUP("LULUCF|PM25|Work loss days", US_national_yearly!$D:$AM, 10, FALSE), 1)</f>
        <v>1.8199310833993713E-3</v>
      </c>
      <c r="AB15" s="7">
        <f>$B15 * IFERROR(VLOOKUP("LULUCF|PM25|Work loss days", US_national_yearly!$D:$AM, 36, FALSE) / VLOOKUP("LULUCF|PM25|Work loss days", US_national_yearly!$D:$AM, 10, FALSE), 1)</f>
        <v>1.83153431504003E-3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1.9780126540792369E-6</v>
      </c>
      <c r="C17" s="7">
        <f>$B17 * IFERROR(VLOOKUP("LULUCF|PM25|Cardiovascular hospital admissions", US_national_yearly!$D:$AM, 11, FALSE) / VLOOKUP("LULUCF|PM25|Cardiovascular hospital admissions", US_national_yearly!$D:$AM, 10, FALSE), 1)</f>
        <v>2.0371170514846897E-6</v>
      </c>
      <c r="D17" s="7">
        <f>$B17 * IFERROR(VLOOKUP("LULUCF|PM25|Cardiovascular hospital admissions", US_national_yearly!$D:$AM, 12, FALSE) / VLOOKUP("LULUCF|PM25|Cardiovascular hospital admissions", US_national_yearly!$D:$AM, 10, FALSE), 1)</f>
        <v>2.0962214488901433E-6</v>
      </c>
      <c r="E17" s="7">
        <f>$B17 * IFERROR(VLOOKUP("LULUCF|PM25|Cardiovascular hospital admissions", US_national_yearly!$D:$AM, 13, FALSE) / VLOOKUP("LULUCF|PM25|Cardiovascular hospital admissions", US_national_yearly!$D:$AM, 10, FALSE), 1)</f>
        <v>2.1553258462955966E-6</v>
      </c>
      <c r="F17" s="7">
        <f>$B17 * IFERROR(VLOOKUP("LULUCF|PM25|Cardiovascular hospital admissions", US_national_yearly!$D:$AM, 14, FALSE) / VLOOKUP("LULUCF|PM25|Cardiovascular hospital admissions", US_national_yearly!$D:$AM, 10, FALSE), 1)</f>
        <v>2.2144302437010503E-6</v>
      </c>
      <c r="G17" s="7">
        <f>$B17 * IFERROR(VLOOKUP("LULUCF|PM25|Cardiovascular hospital admissions", US_national_yearly!$D:$AM, 15, FALSE) / VLOOKUP("LULUCF|PM25|Cardiovascular hospital admissions", US_national_yearly!$D:$AM, 10, FALSE), 1)</f>
        <v>2.2710416987890245E-6</v>
      </c>
      <c r="H17" s="7">
        <f>$B17 * IFERROR(VLOOKUP("LULUCF|PM25|Cardiovascular hospital admissions", US_national_yearly!$D:$AM, 16, FALSE) / VLOOKUP("LULUCF|PM25|Cardiovascular hospital admissions", US_national_yearly!$D:$AM, 10, FALSE), 1)</f>
        <v>2.3276531538770001E-6</v>
      </c>
      <c r="I17" s="7">
        <f>$B17 * IFERROR(VLOOKUP("LULUCF|PM25|Cardiovascular hospital admissions", US_national_yearly!$D:$AM, 17, FALSE) / VLOOKUP("LULUCF|PM25|Cardiovascular hospital admissions", US_national_yearly!$D:$AM, 10, FALSE), 1)</f>
        <v>2.3760703783617147E-6</v>
      </c>
      <c r="J17" s="7">
        <f>$B17 * IFERROR(VLOOKUP("LULUCF|PM25|Cardiovascular hospital admissions", US_national_yearly!$D:$AM, 18, FALSE) / VLOOKUP("LULUCF|PM25|Cardiovascular hospital admissions", US_national_yearly!$D:$AM, 10, FALSE), 1)</f>
        <v>2.424487602846429E-6</v>
      </c>
      <c r="K17" s="7">
        <f>$B17 * IFERROR(VLOOKUP("LULUCF|PM25|Cardiovascular hospital admissions", US_national_yearly!$D:$AM, 19, FALSE) / VLOOKUP("LULUCF|PM25|Cardiovascular hospital admissions", US_national_yearly!$D:$AM, 10, FALSE), 1)</f>
        <v>2.4729048273311432E-6</v>
      </c>
      <c r="L17" s="7">
        <f>$B17 * IFERROR(VLOOKUP("LULUCF|PM25|Cardiovascular hospital admissions", US_national_yearly!$D:$AM, 20, FALSE) / VLOOKUP("LULUCF|PM25|Cardiovascular hospital admissions", US_national_yearly!$D:$AM, 10, FALSE), 1)</f>
        <v>2.5213220518158583E-6</v>
      </c>
      <c r="M17" s="7">
        <f>$B17 * IFERROR(VLOOKUP("LULUCF|PM25|Cardiovascular hospital admissions", US_national_yearly!$D:$AM, 21, FALSE) / VLOOKUP("LULUCF|PM25|Cardiovascular hospital admissions", US_national_yearly!$D:$AM, 10, FALSE), 1)</f>
        <v>2.5697392763005721E-6</v>
      </c>
      <c r="N17" s="7">
        <f>$B17 * IFERROR(VLOOKUP("LULUCF|PM25|Cardiovascular hospital admissions", US_national_yearly!$D:$AM, 22, FALSE) / VLOOKUP("LULUCF|PM25|Cardiovascular hospital admissions", US_national_yearly!$D:$AM, 10, FALSE), 1)</f>
        <v>2.6020201452943126E-6</v>
      </c>
      <c r="O17" s="7">
        <f>$B17 * IFERROR(VLOOKUP("LULUCF|PM25|Cardiovascular hospital admissions", US_national_yearly!$D:$AM, 23, FALSE) / VLOOKUP("LULUCF|PM25|Cardiovascular hospital admissions", US_national_yearly!$D:$AM, 10, FALSE), 1)</f>
        <v>2.6343010142880535E-6</v>
      </c>
      <c r="P17" s="7">
        <f>$B17 * IFERROR(VLOOKUP("LULUCF|PM25|Cardiovascular hospital admissions", US_national_yearly!$D:$AM, 24, FALSE) / VLOOKUP("LULUCF|PM25|Cardiovascular hospital admissions", US_national_yearly!$D:$AM, 10, FALSE), 1)</f>
        <v>2.6665818832817939E-6</v>
      </c>
      <c r="Q17" s="7">
        <f>$B17 * IFERROR(VLOOKUP("LULUCF|PM25|Cardiovascular hospital admissions", US_national_yearly!$D:$AM, 25, FALSE) / VLOOKUP("LULUCF|PM25|Cardiovascular hospital admissions", US_national_yearly!$D:$AM, 10, FALSE), 1)</f>
        <v>2.6988627522755348E-6</v>
      </c>
      <c r="R17" s="7">
        <f>$B17 * IFERROR(VLOOKUP("LULUCF|PM25|Cardiovascular hospital admissions", US_national_yearly!$D:$AM, 26, FALSE) / VLOOKUP("LULUCF|PM25|Cardiovascular hospital admissions", US_national_yearly!$D:$AM, 10, FALSE), 1)</f>
        <v>2.7311436212692749E-6</v>
      </c>
      <c r="S17" s="7">
        <f>$B17 * IFERROR(VLOOKUP("LULUCF|PM25|Cardiovascular hospital admissions", US_national_yearly!$D:$AM, 27, FALSE) / VLOOKUP("LULUCF|PM25|Cardiovascular hospital admissions", US_national_yearly!$D:$AM, 10, FALSE), 1)</f>
        <v>2.7482232147433933E-6</v>
      </c>
      <c r="T17" s="7">
        <f>$B17 * IFERROR(VLOOKUP("LULUCF|PM25|Cardiovascular hospital admissions", US_national_yearly!$D:$AM, 28, FALSE) / VLOOKUP("LULUCF|PM25|Cardiovascular hospital admissions", US_national_yearly!$D:$AM, 10, FALSE), 1)</f>
        <v>2.7653028082175109E-6</v>
      </c>
      <c r="U17" s="7">
        <f>$B17 * IFERROR(VLOOKUP("LULUCF|PM25|Cardiovascular hospital admissions", US_national_yearly!$D:$AM, 29, FALSE) / VLOOKUP("LULUCF|PM25|Cardiovascular hospital admissions", US_national_yearly!$D:$AM, 10, FALSE), 1)</f>
        <v>2.7823824016916281E-6</v>
      </c>
      <c r="V17" s="7">
        <f>$B17 * IFERROR(VLOOKUP("LULUCF|PM25|Cardiovascular hospital admissions", US_national_yearly!$D:$AM, 30, FALSE) / VLOOKUP("LULUCF|PM25|Cardiovascular hospital admissions", US_national_yearly!$D:$AM, 10, FALSE), 1)</f>
        <v>2.7994619951657461E-6</v>
      </c>
      <c r="W17" s="7">
        <f>$B17 * IFERROR(VLOOKUP("LULUCF|PM25|Cardiovascular hospital admissions", US_national_yearly!$D:$AM, 31, FALSE) / VLOOKUP("LULUCF|PM25|Cardiovascular hospital admissions", US_national_yearly!$D:$AM, 10, FALSE), 1)</f>
        <v>2.8165415886398637E-6</v>
      </c>
      <c r="X17" s="7">
        <f>$B17 * IFERROR(VLOOKUP("LULUCF|PM25|Cardiovascular hospital admissions", US_national_yearly!$D:$AM, 32, FALSE) / VLOOKUP("LULUCF|PM25|Cardiovascular hospital admissions", US_national_yearly!$D:$AM, 10, FALSE), 1)</f>
        <v>2.8280397956311021E-6</v>
      </c>
      <c r="Y17" s="7">
        <f>$B17 * IFERROR(VLOOKUP("LULUCF|PM25|Cardiovascular hospital admissions", US_national_yearly!$D:$AM, 33, FALSE) / VLOOKUP("LULUCF|PM25|Cardiovascular hospital admissions", US_national_yearly!$D:$AM, 10, FALSE), 1)</f>
        <v>2.8395380026223402E-6</v>
      </c>
      <c r="Z17" s="7">
        <f>$B17 * IFERROR(VLOOKUP("LULUCF|PM25|Cardiovascular hospital admissions", US_national_yearly!$D:$AM, 34, FALSE) / VLOOKUP("LULUCF|PM25|Cardiovascular hospital admissions", US_national_yearly!$D:$AM, 10, FALSE), 1)</f>
        <v>2.8510362096135787E-6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2.8625344166048167E-6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2.8740326235960552E-6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2.6974489480226058E-5</v>
      </c>
      <c r="C2" s="7">
        <f>$B2 * IFERROR(VLOOKUP("LULUCF|NOx|Premature mortality", US_national_yearly!$D:$AM, 11, FALSE) / VLOOKUP("LULUCF|NOx|Premature mortality", US_national_yearly!$D:$AM, 10, FALSE), 1)</f>
        <v>2.7370699136971454E-5</v>
      </c>
      <c r="D2" s="7">
        <f>$B2 * IFERROR(VLOOKUP("LULUCF|NOx|Premature mortality", US_national_yearly!$D:$AM, 12, FALSE) / VLOOKUP("LULUCF|NOx|Premature mortality", US_national_yearly!$D:$AM, 10, FALSE), 1)</f>
        <v>2.776690879371684E-5</v>
      </c>
      <c r="E2" s="7">
        <f>$B2 * IFERROR(VLOOKUP("LULUCF|NOx|Premature mortality", US_national_yearly!$D:$AM, 13, FALSE) / VLOOKUP("LULUCF|NOx|Premature mortality", US_national_yearly!$D:$AM, 10, FALSE), 1)</f>
        <v>2.8163118450462236E-5</v>
      </c>
      <c r="F2" s="7">
        <f>$B2 * IFERROR(VLOOKUP("LULUCF|NOx|Premature mortality", US_national_yearly!$D:$AM, 14, FALSE) / VLOOKUP("LULUCF|NOx|Premature mortality", US_national_yearly!$D:$AM, 10, FALSE), 1)</f>
        <v>2.8559328107207631E-5</v>
      </c>
      <c r="G2" s="7">
        <f>$B2 * IFERROR(VLOOKUP("LULUCF|NOx|Premature mortality", US_national_yearly!$D:$AM, 15, FALSE) / VLOOKUP("LULUCF|NOx|Premature mortality", US_national_yearly!$D:$AM, 10, FALSE), 1)</f>
        <v>2.9271014324275196E-5</v>
      </c>
      <c r="H2" s="7">
        <f>$B2 * IFERROR(VLOOKUP("LULUCF|NOx|Premature mortality", US_national_yearly!$D:$AM, 16, FALSE) / VLOOKUP("LULUCF|NOx|Premature mortality", US_national_yearly!$D:$AM, 10, FALSE), 1)</f>
        <v>2.9982700541342778E-5</v>
      </c>
      <c r="I2" s="7">
        <f>$B2 * IFERROR(VLOOKUP("LULUCF|NOx|Premature mortality", US_national_yearly!$D:$AM, 17, FALSE) / VLOOKUP("LULUCF|NOx|Premature mortality", US_national_yearly!$D:$AM, 10, FALSE), 1)</f>
        <v>3.0442107494175976E-5</v>
      </c>
      <c r="J2" s="7">
        <f>$B2 * IFERROR(VLOOKUP("LULUCF|NOx|Premature mortality", US_national_yearly!$D:$AM, 18, FALSE) / VLOOKUP("LULUCF|NOx|Premature mortality", US_national_yearly!$D:$AM, 10, FALSE), 1)</f>
        <v>3.0901514447009184E-5</v>
      </c>
      <c r="K2" s="7">
        <f>$B2 * IFERROR(VLOOKUP("LULUCF|NOx|Premature mortality", US_national_yearly!$D:$AM, 19, FALSE) / VLOOKUP("LULUCF|NOx|Premature mortality", US_national_yearly!$D:$AM, 10, FALSE), 1)</f>
        <v>3.1360921399842381E-5</v>
      </c>
      <c r="L2" s="7">
        <f>$B2 * IFERROR(VLOOKUP("LULUCF|NOx|Premature mortality", US_national_yearly!$D:$AM, 20, FALSE) / VLOOKUP("LULUCF|NOx|Premature mortality", US_national_yearly!$D:$AM, 10, FALSE), 1)</f>
        <v>3.1820328352675579E-5</v>
      </c>
      <c r="M2" s="7">
        <f>$B2 * IFERROR(VLOOKUP("LULUCF|NOx|Premature mortality", US_national_yearly!$D:$AM, 21, FALSE) / VLOOKUP("LULUCF|NOx|Premature mortality", US_national_yearly!$D:$AM, 10, FALSE), 1)</f>
        <v>3.2279735305508783E-5</v>
      </c>
      <c r="N2" s="7">
        <f>$B2 * IFERROR(VLOOKUP("LULUCF|NOx|Premature mortality", US_national_yearly!$D:$AM, 22, FALSE) / VLOOKUP("LULUCF|NOx|Premature mortality", US_national_yearly!$D:$AM, 10, FALSE), 1)</f>
        <v>3.2620062190203009E-5</v>
      </c>
      <c r="O2" s="7">
        <f>$B2 * IFERROR(VLOOKUP("LULUCF|NOx|Premature mortality", US_national_yearly!$D:$AM, 23, FALSE) / VLOOKUP("LULUCF|NOx|Premature mortality", US_national_yearly!$D:$AM, 10, FALSE), 1)</f>
        <v>3.2960389074897242E-5</v>
      </c>
      <c r="P2" s="7">
        <f>$B2 * IFERROR(VLOOKUP("LULUCF|NOx|Premature mortality", US_national_yearly!$D:$AM, 24, FALSE) / VLOOKUP("LULUCF|NOx|Premature mortality", US_national_yearly!$D:$AM, 10, FALSE), 1)</f>
        <v>3.3300715959591475E-5</v>
      </c>
      <c r="Q2" s="7">
        <f>$B2 * IFERROR(VLOOKUP("LULUCF|NOx|Premature mortality", US_national_yearly!$D:$AM, 25, FALSE) / VLOOKUP("LULUCF|NOx|Premature mortality", US_national_yearly!$D:$AM, 10, FALSE), 1)</f>
        <v>3.3641042844285708E-5</v>
      </c>
      <c r="R2" s="7">
        <f>$B2 * IFERROR(VLOOKUP("LULUCF|NOx|Premature mortality", US_national_yearly!$D:$AM, 26, FALSE) / VLOOKUP("LULUCF|NOx|Premature mortality", US_national_yearly!$D:$AM, 10, FALSE), 1)</f>
        <v>3.3981369728979934E-5</v>
      </c>
      <c r="S2" s="7">
        <f>$B2 * IFERROR(VLOOKUP("LULUCF|NOx|Premature mortality", US_national_yearly!$D:$AM, 27, FALSE) / VLOOKUP("LULUCF|NOx|Premature mortality", US_national_yearly!$D:$AM, 10, FALSE), 1)</f>
        <v>3.413605172511965E-5</v>
      </c>
      <c r="T2" s="7">
        <f>$B2 * IFERROR(VLOOKUP("LULUCF|NOx|Premature mortality", US_national_yearly!$D:$AM, 28, FALSE) / VLOOKUP("LULUCF|NOx|Premature mortality", US_national_yearly!$D:$AM, 10, FALSE), 1)</f>
        <v>3.4290733721259373E-5</v>
      </c>
      <c r="U2" s="7">
        <f>$B2 * IFERROR(VLOOKUP("LULUCF|NOx|Premature mortality", US_national_yearly!$D:$AM, 29, FALSE) / VLOOKUP("LULUCF|NOx|Premature mortality", US_national_yearly!$D:$AM, 10, FALSE), 1)</f>
        <v>3.4445415717399083E-5</v>
      </c>
      <c r="V2" s="7">
        <f>$B2 * IFERROR(VLOOKUP("LULUCF|NOx|Premature mortality", US_national_yearly!$D:$AM, 30, FALSE) / VLOOKUP("LULUCF|NOx|Premature mortality", US_national_yearly!$D:$AM, 10, FALSE), 1)</f>
        <v>3.4600097713538799E-5</v>
      </c>
      <c r="W2" s="7">
        <f>$B2 * IFERROR(VLOOKUP("LULUCF|NOx|Premature mortality", US_national_yearly!$D:$AM, 31, FALSE) / VLOOKUP("LULUCF|NOx|Premature mortality", US_national_yearly!$D:$AM, 10, FALSE), 1)</f>
        <v>3.4754779709678515E-5</v>
      </c>
      <c r="X2" s="7">
        <f>$B2 * IFERROR(VLOOKUP("LULUCF|NOx|Premature mortality", US_national_yearly!$D:$AM, 32, FALSE) / VLOOKUP("LULUCF|NOx|Premature mortality", US_national_yearly!$D:$AM, 10, FALSE), 1)</f>
        <v>3.4760137805236622E-5</v>
      </c>
      <c r="Y2" s="7">
        <f>$B2 * IFERROR(VLOOKUP("LULUCF|NOx|Premature mortality", US_national_yearly!$D:$AM, 33, FALSE) / VLOOKUP("LULUCF|NOx|Premature mortality", US_national_yearly!$D:$AM, 10, FALSE), 1)</f>
        <v>3.4765495900794722E-5</v>
      </c>
      <c r="Z2" s="7">
        <f>$B2 * IFERROR(VLOOKUP("LULUCF|NOx|Premature mortality", US_national_yearly!$D:$AM, 34, FALSE) / VLOOKUP("LULUCF|NOx|Premature mortality", US_national_yearly!$D:$AM, 10, FALSE), 1)</f>
        <v>3.4770853996352822E-5</v>
      </c>
      <c r="AA2" s="7">
        <f>$B2 * IFERROR(VLOOKUP("LULUCF|NOx|Premature mortality", US_national_yearly!$D:$AM, 35, FALSE) / VLOOKUP("LULUCF|NOx|Premature mortality", US_national_yearly!$D:$AM, 10, FALSE), 1)</f>
        <v>3.4776212091910936E-5</v>
      </c>
      <c r="AB2" s="7">
        <f>$B2 * IFERROR(VLOOKUP("LULUCF|NOx|Premature mortality", US_national_yearly!$D:$AM, 36, FALSE) / VLOOKUP("LULUCF|NOx|Premature mortality", US_national_yearly!$D:$AM, 10, FALSE), 1)</f>
        <v>3.4781570187469036E-5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7.1558603852889692E-8</v>
      </c>
      <c r="C3" s="7">
        <f>$B3 * IFERROR(VLOOKUP("LULUCF|NOx|Infant mortality", US_national_yearly!$D:$AM, 11, FALSE) / VLOOKUP("LULUCF|NOx|Infant mortality", US_national_yearly!$D:$AM, 10, FALSE), 1)</f>
        <v>7.0876825808239811E-8</v>
      </c>
      <c r="D3" s="7">
        <f>$B3 * IFERROR(VLOOKUP("LULUCF|NOx|Infant mortality", US_national_yearly!$D:$AM, 12, FALSE) / VLOOKUP("LULUCF|NOx|Infant mortality", US_national_yearly!$D:$AM, 10, FALSE), 1)</f>
        <v>7.0195047763589918E-8</v>
      </c>
      <c r="E3" s="7">
        <f>$B3 * IFERROR(VLOOKUP("LULUCF|NOx|Infant mortality", US_national_yearly!$D:$AM, 13, FALSE) / VLOOKUP("LULUCF|NOx|Infant mortality", US_national_yearly!$D:$AM, 10, FALSE), 1)</f>
        <v>6.9513269718940051E-8</v>
      </c>
      <c r="F3" s="7">
        <f>$B3 * IFERROR(VLOOKUP("LULUCF|NOx|Infant mortality", US_national_yearly!$D:$AM, 14, FALSE) / VLOOKUP("LULUCF|NOx|Infant mortality", US_national_yearly!$D:$AM, 10, FALSE), 1)</f>
        <v>6.883149167429017E-8</v>
      </c>
      <c r="G3" s="7">
        <f>$B3 * IFERROR(VLOOKUP("LULUCF|NOx|Infant mortality", US_national_yearly!$D:$AM, 15, FALSE) / VLOOKUP("LULUCF|NOx|Infant mortality", US_national_yearly!$D:$AM, 10, FALSE), 1)</f>
        <v>4.5693743140089541E-8</v>
      </c>
      <c r="H3" s="7">
        <f>$B3 * IFERROR(VLOOKUP("LULUCF|NOx|Infant mortality", US_national_yearly!$D:$AM, 16, FALSE) / VLOOKUP("LULUCF|NOx|Infant mortality", US_national_yearly!$D:$AM, 10, FALSE), 1)</f>
        <v>2.2555994605888926E-8</v>
      </c>
      <c r="I3" s="7">
        <f>$B3 * IFERROR(VLOOKUP("LULUCF|NOx|Infant mortality", US_national_yearly!$D:$AM, 17, FALSE) / VLOOKUP("LULUCF|NOx|Infant mortality", US_national_yearly!$D:$AM, 10, FALSE), 1)</f>
        <v>2.239650218747388E-8</v>
      </c>
      <c r="J3" s="7">
        <f>$B3 * IFERROR(VLOOKUP("LULUCF|NOx|Infant mortality", US_national_yearly!$D:$AM, 18, FALSE) / VLOOKUP("LULUCF|NOx|Infant mortality", US_national_yearly!$D:$AM, 10, FALSE), 1)</f>
        <v>2.2237009769058832E-8</v>
      </c>
      <c r="K3" s="7">
        <f>$B3 * IFERROR(VLOOKUP("LULUCF|NOx|Infant mortality", US_national_yearly!$D:$AM, 19, FALSE) / VLOOKUP("LULUCF|NOx|Infant mortality", US_national_yearly!$D:$AM, 10, FALSE), 1)</f>
        <v>2.2077517350643786E-8</v>
      </c>
      <c r="L3" s="7">
        <f>$B3 * IFERROR(VLOOKUP("LULUCF|NOx|Infant mortality", US_national_yearly!$D:$AM, 20, FALSE) / VLOOKUP("LULUCF|NOx|Infant mortality", US_national_yearly!$D:$AM, 10, FALSE), 1)</f>
        <v>2.1918024932228741E-8</v>
      </c>
      <c r="M3" s="7">
        <f>$B3 * IFERROR(VLOOKUP("LULUCF|NOx|Infant mortality", US_national_yearly!$D:$AM, 21, FALSE) / VLOOKUP("LULUCF|NOx|Infant mortality", US_national_yearly!$D:$AM, 10, FALSE), 1)</f>
        <v>2.1758532513813693E-8</v>
      </c>
      <c r="N3" s="7">
        <f>$B3 * IFERROR(VLOOKUP("LULUCF|NOx|Infant mortality", US_national_yearly!$D:$AM, 22, FALSE) / VLOOKUP("LULUCF|NOx|Infant mortality", US_national_yearly!$D:$AM, 10, FALSE), 1)</f>
        <v>2.1652668115244079E-8</v>
      </c>
      <c r="O3" s="7">
        <f>$B3 * IFERROR(VLOOKUP("LULUCF|NOx|Infant mortality", US_national_yearly!$D:$AM, 23, FALSE) / VLOOKUP("LULUCF|NOx|Infant mortality", US_national_yearly!$D:$AM, 10, FALSE), 1)</f>
        <v>2.1546803716674462E-8</v>
      </c>
      <c r="P3" s="7">
        <f>$B3 * IFERROR(VLOOKUP("LULUCF|NOx|Infant mortality", US_national_yearly!$D:$AM, 24, FALSE) / VLOOKUP("LULUCF|NOx|Infant mortality", US_national_yearly!$D:$AM, 10, FALSE), 1)</f>
        <v>2.1440939318104848E-8</v>
      </c>
      <c r="Q3" s="7">
        <f>$B3 * IFERROR(VLOOKUP("LULUCF|NOx|Infant mortality", US_national_yearly!$D:$AM, 25, FALSE) / VLOOKUP("LULUCF|NOx|Infant mortality", US_national_yearly!$D:$AM, 10, FALSE), 1)</f>
        <v>2.1335074919535235E-8</v>
      </c>
      <c r="R3" s="7">
        <f>$B3 * IFERROR(VLOOKUP("LULUCF|NOx|Infant mortality", US_national_yearly!$D:$AM, 26, FALSE) / VLOOKUP("LULUCF|NOx|Infant mortality", US_national_yearly!$D:$AM, 10, FALSE), 1)</f>
        <v>2.1229210520965618E-8</v>
      </c>
      <c r="S3" s="7">
        <f>$B3 * IFERROR(VLOOKUP("LULUCF|NOx|Infant mortality", US_national_yearly!$D:$AM, 27, FALSE) / VLOOKUP("LULUCF|NOx|Infant mortality", US_national_yearly!$D:$AM, 10, FALSE), 1)</f>
        <v>2.1101944678923269E-8</v>
      </c>
      <c r="T3" s="7">
        <f>$B3 * IFERROR(VLOOKUP("LULUCF|NOx|Infant mortality", US_national_yearly!$D:$AM, 28, FALSE) / VLOOKUP("LULUCF|NOx|Infant mortality", US_national_yearly!$D:$AM, 10, FALSE), 1)</f>
        <v>2.0974678836880924E-8</v>
      </c>
      <c r="U3" s="7">
        <f>$B3 * IFERROR(VLOOKUP("LULUCF|NOx|Infant mortality", US_national_yearly!$D:$AM, 29, FALSE) / VLOOKUP("LULUCF|NOx|Infant mortality", US_national_yearly!$D:$AM, 10, FALSE), 1)</f>
        <v>2.0847412994838576E-8</v>
      </c>
      <c r="V3" s="7">
        <f>$B3 * IFERROR(VLOOKUP("LULUCF|NOx|Infant mortality", US_national_yearly!$D:$AM, 30, FALSE) / VLOOKUP("LULUCF|NOx|Infant mortality", US_national_yearly!$D:$AM, 10, FALSE), 1)</f>
        <v>2.0720147152796227E-8</v>
      </c>
      <c r="W3" s="7">
        <f>$B3 * IFERROR(VLOOKUP("LULUCF|NOx|Infant mortality", US_national_yearly!$D:$AM, 31, FALSE) / VLOOKUP("LULUCF|NOx|Infant mortality", US_national_yearly!$D:$AM, 10, FALSE), 1)</f>
        <v>2.0592881310753879E-8</v>
      </c>
      <c r="X3" s="7">
        <f>$B3 * IFERROR(VLOOKUP("LULUCF|NOx|Infant mortality", US_national_yearly!$D:$AM, 32, FALSE) / VLOOKUP("LULUCF|NOx|Infant mortality", US_national_yearly!$D:$AM, 10, FALSE), 1)</f>
        <v>2.0458100629706097E-8</v>
      </c>
      <c r="Y3" s="7">
        <f>$B3 * IFERROR(VLOOKUP("LULUCF|NOx|Infant mortality", US_national_yearly!$D:$AM, 33, FALSE) / VLOOKUP("LULUCF|NOx|Infant mortality", US_national_yearly!$D:$AM, 10, FALSE), 1)</f>
        <v>2.0323319948658314E-8</v>
      </c>
      <c r="Z3" s="7">
        <f>$B3 * IFERROR(VLOOKUP("LULUCF|NOx|Infant mortality", US_national_yearly!$D:$AM, 34, FALSE) / VLOOKUP("LULUCF|NOx|Infant mortality", US_national_yearly!$D:$AM, 10, FALSE), 1)</f>
        <v>2.0188539267610529E-8</v>
      </c>
      <c r="AA3" s="7">
        <f>$B3 * IFERROR(VLOOKUP("LULUCF|NOx|Infant mortality", US_national_yearly!$D:$AM, 35, FALSE) / VLOOKUP("LULUCF|NOx|Infant mortality", US_national_yearly!$D:$AM, 10, FALSE), 1)</f>
        <v>2.0053758586562743E-8</v>
      </c>
      <c r="AB3" s="7">
        <f>$B3 * IFERROR(VLOOKUP("LULUCF|NOx|Infant mortality", US_national_yearly!$D:$AM, 36, FALSE) / VLOOKUP("LULUCF|NOx|Infant mortality", US_national_yearly!$D:$AM, 10, FALSE), 1)</f>
        <v>1.9918977905514961E-8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8.3313411810228245E-5</v>
      </c>
      <c r="C6" s="7">
        <f>$B6 * IFERROR(VLOOKUP("LULUCF|NOx|Asthma symptoms cough", US_national_yearly!$D:$AM, 11, FALSE) / VLOOKUP("LULUCF|NOx|Asthma symptoms cough", US_national_yearly!$D:$AM, 10, FALSE), 1)</f>
        <v>8.4452442361710464E-5</v>
      </c>
      <c r="D6" s="7">
        <f>$B6 * IFERROR(VLOOKUP("LULUCF|NOx|Asthma symptoms cough", US_national_yearly!$D:$AM, 12, FALSE) / VLOOKUP("LULUCF|NOx|Asthma symptoms cough", US_national_yearly!$D:$AM, 10, FALSE), 1)</f>
        <v>8.5591472913192697E-5</v>
      </c>
      <c r="E6" s="7">
        <f>$B6 * IFERROR(VLOOKUP("LULUCF|NOx|Asthma symptoms cough", US_national_yearly!$D:$AM, 13, FALSE) / VLOOKUP("LULUCF|NOx|Asthma symptoms cough", US_national_yearly!$D:$AM, 10, FALSE), 1)</f>
        <v>8.6730503464674917E-5</v>
      </c>
      <c r="F6" s="7">
        <f>$B6 * IFERROR(VLOOKUP("LULUCF|NOx|Asthma symptoms cough", US_national_yearly!$D:$AM, 14, FALSE) / VLOOKUP("LULUCF|NOx|Asthma symptoms cough", US_national_yearly!$D:$AM, 10, FALSE), 1)</f>
        <v>8.7869534016157149E-5</v>
      </c>
      <c r="G6" s="7">
        <f>$B6 * IFERROR(VLOOKUP("LULUCF|NOx|Asthma symptoms cough", US_national_yearly!$D:$AM, 15, FALSE) / VLOOKUP("LULUCF|NOx|Asthma symptoms cough", US_national_yearly!$D:$AM, 10, FALSE), 1)</f>
        <v>8.8778890742749507E-5</v>
      </c>
      <c r="H6" s="7">
        <f>$B6 * IFERROR(VLOOKUP("LULUCF|NOx|Asthma symptoms cough", US_national_yearly!$D:$AM, 16, FALSE) / VLOOKUP("LULUCF|NOx|Asthma symptoms cough", US_national_yearly!$D:$AM, 10, FALSE), 1)</f>
        <v>8.9688247469341893E-5</v>
      </c>
      <c r="I6" s="7">
        <f>$B6 * IFERROR(VLOOKUP("LULUCF|NOx|Asthma symptoms cough", US_national_yearly!$D:$AM, 17, FALSE) / VLOOKUP("LULUCF|NOx|Asthma symptoms cough", US_national_yearly!$D:$AM, 10, FALSE), 1)</f>
        <v>9.0001235054697367E-5</v>
      </c>
      <c r="J6" s="7">
        <f>$B6 * IFERROR(VLOOKUP("LULUCF|NOx|Asthma symptoms cough", US_national_yearly!$D:$AM, 18, FALSE) / VLOOKUP("LULUCF|NOx|Asthma symptoms cough", US_national_yearly!$D:$AM, 10, FALSE), 1)</f>
        <v>9.0314222640052854E-5</v>
      </c>
      <c r="K6" s="7">
        <f>$B6 * IFERROR(VLOOKUP("LULUCF|NOx|Asthma symptoms cough", US_national_yearly!$D:$AM, 19, FALSE) / VLOOKUP("LULUCF|NOx|Asthma symptoms cough", US_national_yearly!$D:$AM, 10, FALSE), 1)</f>
        <v>9.0627210225408328E-5</v>
      </c>
      <c r="L6" s="7">
        <f>$B6 * IFERROR(VLOOKUP("LULUCF|NOx|Asthma symptoms cough", US_national_yearly!$D:$AM, 20, FALSE) / VLOOKUP("LULUCF|NOx|Asthma symptoms cough", US_national_yearly!$D:$AM, 10, FALSE), 1)</f>
        <v>9.0940197810763802E-5</v>
      </c>
      <c r="M6" s="7">
        <f>$B6 * IFERROR(VLOOKUP("LULUCF|NOx|Asthma symptoms cough", US_national_yearly!$D:$AM, 21, FALSE) / VLOOKUP("LULUCF|NOx|Asthma symptoms cough", US_national_yearly!$D:$AM, 10, FALSE), 1)</f>
        <v>9.1253185396119303E-5</v>
      </c>
      <c r="N6" s="7">
        <f>$B6 * IFERROR(VLOOKUP("LULUCF|NOx|Asthma symptoms cough", US_national_yearly!$D:$AM, 22, FALSE) / VLOOKUP("LULUCF|NOx|Asthma symptoms cough", US_national_yearly!$D:$AM, 10, FALSE), 1)</f>
        <v>9.1616117808669882E-5</v>
      </c>
      <c r="O6" s="7">
        <f>$B6 * IFERROR(VLOOKUP("LULUCF|NOx|Asthma symptoms cough", US_national_yearly!$D:$AM, 23, FALSE) / VLOOKUP("LULUCF|NOx|Asthma symptoms cough", US_national_yearly!$D:$AM, 10, FALSE), 1)</f>
        <v>9.197905022122046E-5</v>
      </c>
      <c r="P6" s="7">
        <f>$B6 * IFERROR(VLOOKUP("LULUCF|NOx|Asthma symptoms cough", US_national_yearly!$D:$AM, 24, FALSE) / VLOOKUP("LULUCF|NOx|Asthma symptoms cough", US_national_yearly!$D:$AM, 10, FALSE), 1)</f>
        <v>9.2341982633771053E-5</v>
      </c>
      <c r="Q6" s="7">
        <f>$B6 * IFERROR(VLOOKUP("LULUCF|NOx|Asthma symptoms cough", US_national_yearly!$D:$AM, 25, FALSE) / VLOOKUP("LULUCF|NOx|Asthma symptoms cough", US_national_yearly!$D:$AM, 10, FALSE), 1)</f>
        <v>9.2704915046321645E-5</v>
      </c>
      <c r="R6" s="7">
        <f>$B6 * IFERROR(VLOOKUP("LULUCF|NOx|Asthma symptoms cough", US_national_yearly!$D:$AM, 26, FALSE) / VLOOKUP("LULUCF|NOx|Asthma symptoms cough", US_national_yearly!$D:$AM, 10, FALSE), 1)</f>
        <v>9.3067847458872238E-5</v>
      </c>
      <c r="S6" s="7">
        <f>$B6 * IFERROR(VLOOKUP("LULUCF|NOx|Asthma symptoms cough", US_national_yearly!$D:$AM, 27, FALSE) / VLOOKUP("LULUCF|NOx|Asthma symptoms cough", US_national_yearly!$D:$AM, 10, FALSE), 1)</f>
        <v>9.3541952782780154E-5</v>
      </c>
      <c r="T6" s="7">
        <f>$B6 * IFERROR(VLOOKUP("LULUCF|NOx|Asthma symptoms cough", US_national_yearly!$D:$AM, 28, FALSE) / VLOOKUP("LULUCF|NOx|Asthma symptoms cough", US_national_yearly!$D:$AM, 10, FALSE), 1)</f>
        <v>9.401605810668807E-5</v>
      </c>
      <c r="U6" s="7">
        <f>$B6 * IFERROR(VLOOKUP("LULUCF|NOx|Asthma symptoms cough", US_national_yearly!$D:$AM, 29, FALSE) / VLOOKUP("LULUCF|NOx|Asthma symptoms cough", US_national_yearly!$D:$AM, 10, FALSE), 1)</f>
        <v>9.4490163430595959E-5</v>
      </c>
      <c r="V6" s="7">
        <f>$B6 * IFERROR(VLOOKUP("LULUCF|NOx|Asthma symptoms cough", US_national_yearly!$D:$AM, 30, FALSE) / VLOOKUP("LULUCF|NOx|Asthma symptoms cough", US_national_yearly!$D:$AM, 10, FALSE), 1)</f>
        <v>9.4964268754503875E-5</v>
      </c>
      <c r="W6" s="7">
        <f>$B6 * IFERROR(VLOOKUP("LULUCF|NOx|Asthma symptoms cough", US_national_yearly!$D:$AM, 31, FALSE) / VLOOKUP("LULUCF|NOx|Asthma symptoms cough", US_national_yearly!$D:$AM, 10, FALSE), 1)</f>
        <v>9.5438374078411791E-5</v>
      </c>
      <c r="X6" s="7">
        <f>$B6 * IFERROR(VLOOKUP("LULUCF|NOx|Asthma symptoms cough", US_national_yearly!$D:$AM, 32, FALSE) / VLOOKUP("LULUCF|NOx|Asthma symptoms cough", US_national_yearly!$D:$AM, 10, FALSE), 1)</f>
        <v>9.587888604640536E-5</v>
      </c>
      <c r="Y6" s="7">
        <f>$B6 * IFERROR(VLOOKUP("LULUCF|NOx|Asthma symptoms cough", US_national_yearly!$D:$AM, 33, FALSE) / VLOOKUP("LULUCF|NOx|Asthma symptoms cough", US_national_yearly!$D:$AM, 10, FALSE), 1)</f>
        <v>9.6319398014398943E-5</v>
      </c>
      <c r="Z6" s="7">
        <f>$B6 * IFERROR(VLOOKUP("LULUCF|NOx|Asthma symptoms cough", US_national_yearly!$D:$AM, 34, FALSE) / VLOOKUP("LULUCF|NOx|Asthma symptoms cough", US_national_yearly!$D:$AM, 10, FALSE), 1)</f>
        <v>9.6759909982392525E-5</v>
      </c>
      <c r="AA6" s="7">
        <f>$B6 * IFERROR(VLOOKUP("LULUCF|NOx|Asthma symptoms cough", US_national_yearly!$D:$AM, 35, FALSE) / VLOOKUP("LULUCF|NOx|Asthma symptoms cough", US_national_yearly!$D:$AM, 10, FALSE), 1)</f>
        <v>9.7200421950386094E-5</v>
      </c>
      <c r="AB6" s="7">
        <f>$B6 * IFERROR(VLOOKUP("LULUCF|NOx|Asthma symptoms cough", US_national_yearly!$D:$AM, 36, FALSE) / VLOOKUP("LULUCF|NOx|Asthma symptoms cough", US_national_yearly!$D:$AM, 10, FALSE), 1)</f>
        <v>9.7640933918379704E-5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1.121936990282917E-4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1.1372757032224541E-4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1.1526144161619909E-4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1.1679531291015281E-4</v>
      </c>
      <c r="F7" s="7">
        <f>$B7 * IFERROR(VLOOKUP("LULUCF|NOx|Asthma symptoms shortness of breath", US_national_yearly!$D:$AM, 14, FALSE) / VLOOKUP("LULUCF|NOx|Asthma symptoms shortness of breath", US_national_yearly!$D:$AM, 10, FALSE), 1)</f>
        <v>1.1832918420410652E-4</v>
      </c>
      <c r="G7" s="7">
        <f>$B7 * IFERROR(VLOOKUP("LULUCF|NOx|Asthma symptoms shortness of breath", US_national_yearly!$D:$AM, 15, FALSE) / VLOOKUP("LULUCF|NOx|Asthma symptoms shortness of breath", US_national_yearly!$D:$AM, 10, FALSE), 1)</f>
        <v>1.1955376608723233E-4</v>
      </c>
      <c r="H7" s="7">
        <f>$B7 * IFERROR(VLOOKUP("LULUCF|NOx|Asthma symptoms shortness of breath", US_national_yearly!$D:$AM, 16, FALSE) / VLOOKUP("LULUCF|NOx|Asthma symptoms shortness of breath", US_national_yearly!$D:$AM, 10, FALSE), 1)</f>
        <v>1.2077834797035814E-4</v>
      </c>
      <c r="I7" s="7">
        <f>$B7 * IFERROR(VLOOKUP("LULUCF|NOx|Asthma symptoms shortness of breath", US_national_yearly!$D:$AM, 17, FALSE) / VLOOKUP("LULUCF|NOx|Asthma symptoms shortness of breath", US_national_yearly!$D:$AM, 10, FALSE), 1)</f>
        <v>1.2119983154611349E-4</v>
      </c>
      <c r="J7" s="7">
        <f>$B7 * IFERROR(VLOOKUP("LULUCF|NOx|Asthma symptoms shortness of breath", US_national_yearly!$D:$AM, 18, FALSE) / VLOOKUP("LULUCF|NOx|Asthma symptoms shortness of breath", US_national_yearly!$D:$AM, 10, FALSE), 1)</f>
        <v>1.2162131512186883E-4</v>
      </c>
      <c r="K7" s="7">
        <f>$B7 * IFERROR(VLOOKUP("LULUCF|NOx|Asthma symptoms shortness of breath", US_national_yearly!$D:$AM, 19, FALSE) / VLOOKUP("LULUCF|NOx|Asthma symptoms shortness of breath", US_national_yearly!$D:$AM, 10, FALSE), 1)</f>
        <v>1.2204279869762417E-4</v>
      </c>
      <c r="L7" s="7">
        <f>$B7 * IFERROR(VLOOKUP("LULUCF|NOx|Asthma symptoms shortness of breath", US_national_yearly!$D:$AM, 20, FALSE) / VLOOKUP("LULUCF|NOx|Asthma symptoms shortness of breath", US_national_yearly!$D:$AM, 10, FALSE), 1)</f>
        <v>1.2246428227337953E-4</v>
      </c>
      <c r="M7" s="7">
        <f>$B7 * IFERROR(VLOOKUP("LULUCF|NOx|Asthma symptoms shortness of breath", US_national_yearly!$D:$AM, 21, FALSE) / VLOOKUP("LULUCF|NOx|Asthma symptoms shortness of breath", US_national_yearly!$D:$AM, 10, FALSE), 1)</f>
        <v>1.2288576584913486E-4</v>
      </c>
      <c r="N7" s="7">
        <f>$B7 * IFERROR(VLOOKUP("LULUCF|NOx|Asthma symptoms shortness of breath", US_national_yearly!$D:$AM, 22, FALSE) / VLOOKUP("LULUCF|NOx|Asthma symptoms shortness of breath", US_national_yearly!$D:$AM, 10, FALSE), 1)</f>
        <v>1.2337450744360871E-4</v>
      </c>
      <c r="O7" s="7">
        <f>$B7 * IFERROR(VLOOKUP("LULUCF|NOx|Asthma symptoms shortness of breath", US_national_yearly!$D:$AM, 23, FALSE) / VLOOKUP("LULUCF|NOx|Asthma symptoms shortness of breath", US_national_yearly!$D:$AM, 10, FALSE), 1)</f>
        <v>1.2386324903808257E-4</v>
      </c>
      <c r="P7" s="7">
        <f>$B7 * IFERROR(VLOOKUP("LULUCF|NOx|Asthma symptoms shortness of breath", US_national_yearly!$D:$AM, 24, FALSE) / VLOOKUP("LULUCF|NOx|Asthma symptoms shortness of breath", US_national_yearly!$D:$AM, 10, FALSE), 1)</f>
        <v>1.2435199063255638E-4</v>
      </c>
      <c r="Q7" s="7">
        <f>$B7 * IFERROR(VLOOKUP("LULUCF|NOx|Asthma symptoms shortness of breath", US_national_yearly!$D:$AM, 25, FALSE) / VLOOKUP("LULUCF|NOx|Asthma symptoms shortness of breath", US_national_yearly!$D:$AM, 10, FALSE), 1)</f>
        <v>1.2484073222703023E-4</v>
      </c>
      <c r="R7" s="7">
        <f>$B7 * IFERROR(VLOOKUP("LULUCF|NOx|Asthma symptoms shortness of breath", US_national_yearly!$D:$AM, 26, FALSE) / VLOOKUP("LULUCF|NOx|Asthma symptoms shortness of breath", US_national_yearly!$D:$AM, 10, FALSE), 1)</f>
        <v>1.2532947382150409E-4</v>
      </c>
      <c r="S7" s="7">
        <f>$B7 * IFERROR(VLOOKUP("LULUCF|NOx|Asthma symptoms shortness of breath", US_national_yearly!$D:$AM, 27, FALSE) / VLOOKUP("LULUCF|NOx|Asthma symptoms shortness of breath", US_national_yearly!$D:$AM, 10, FALSE), 1)</f>
        <v>1.2596792600872052E-4</v>
      </c>
      <c r="T7" s="7">
        <f>$B7 * IFERROR(VLOOKUP("LULUCF|NOx|Asthma symptoms shortness of breath", US_national_yearly!$D:$AM, 28, FALSE) / VLOOKUP("LULUCF|NOx|Asthma symptoms shortness of breath", US_national_yearly!$D:$AM, 10, FALSE), 1)</f>
        <v>1.2660637819593694E-4</v>
      </c>
      <c r="U7" s="7">
        <f>$B7 * IFERROR(VLOOKUP("LULUCF|NOx|Asthma symptoms shortness of breath", US_national_yearly!$D:$AM, 29, FALSE) / VLOOKUP("LULUCF|NOx|Asthma symptoms shortness of breath", US_national_yearly!$D:$AM, 10, FALSE), 1)</f>
        <v>1.2724483038315337E-4</v>
      </c>
      <c r="V7" s="7">
        <f>$B7 * IFERROR(VLOOKUP("LULUCF|NOx|Asthma symptoms shortness of breath", US_national_yearly!$D:$AM, 30, FALSE) / VLOOKUP("LULUCF|NOx|Asthma symptoms shortness of breath", US_national_yearly!$D:$AM, 10, FALSE), 1)</f>
        <v>1.2788328257036977E-4</v>
      </c>
      <c r="W7" s="7">
        <f>$B7 * IFERROR(VLOOKUP("LULUCF|NOx|Asthma symptoms shortness of breath", US_national_yearly!$D:$AM, 31, FALSE) / VLOOKUP("LULUCF|NOx|Asthma symptoms shortness of breath", US_national_yearly!$D:$AM, 10, FALSE), 1)</f>
        <v>1.2852173475758619E-4</v>
      </c>
      <c r="X7" s="7">
        <f>$B7 * IFERROR(VLOOKUP("LULUCF|NOx|Asthma symptoms shortness of breath", US_national_yearly!$D:$AM, 32, FALSE) / VLOOKUP("LULUCF|NOx|Asthma symptoms shortness of breath", US_national_yearly!$D:$AM, 10, FALSE), 1)</f>
        <v>1.2911494857547156E-4</v>
      </c>
      <c r="Y7" s="7">
        <f>$B7 * IFERROR(VLOOKUP("LULUCF|NOx|Asthma symptoms shortness of breath", US_national_yearly!$D:$AM, 33, FALSE) / VLOOKUP("LULUCF|NOx|Asthma symptoms shortness of breath", US_national_yearly!$D:$AM, 10, FALSE), 1)</f>
        <v>1.2970816239335693E-4</v>
      </c>
      <c r="Z7" s="7">
        <f>$B7 * IFERROR(VLOOKUP("LULUCF|NOx|Asthma symptoms shortness of breath", US_national_yearly!$D:$AM, 34, FALSE) / VLOOKUP("LULUCF|NOx|Asthma symptoms shortness of breath", US_national_yearly!$D:$AM, 10, FALSE), 1)</f>
        <v>1.3030137621124232E-4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1.3089459002912771E-4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1.3148780384701308E-4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1.7141259753659943E-4</v>
      </c>
      <c r="C8" s="7">
        <f>$B8 * IFERROR(VLOOKUP("LULUCF|NOx|Asthma symptoms wheeze", US_national_yearly!$D:$AM, 11, FALSE) / VLOOKUP("LULUCF|NOx|Asthma symptoms wheeze", US_national_yearly!$D:$AM, 10, FALSE), 1)</f>
        <v>1.7375608799665972E-4</v>
      </c>
      <c r="D8" s="7">
        <f>$B8 * IFERROR(VLOOKUP("LULUCF|NOx|Asthma symptoms wheeze", US_national_yearly!$D:$AM, 12, FALSE) / VLOOKUP("LULUCF|NOx|Asthma symptoms wheeze", US_national_yearly!$D:$AM, 10, FALSE), 1)</f>
        <v>1.7609957845672011E-4</v>
      </c>
      <c r="E8" s="7">
        <f>$B8 * IFERROR(VLOOKUP("LULUCF|NOx|Asthma symptoms wheeze", US_national_yearly!$D:$AM, 13, FALSE) / VLOOKUP("LULUCF|NOx|Asthma symptoms wheeze", US_national_yearly!$D:$AM, 10, FALSE), 1)</f>
        <v>1.784430689167804E-4</v>
      </c>
      <c r="F8" s="7">
        <f>$B8 * IFERROR(VLOOKUP("LULUCF|NOx|Asthma symptoms wheeze", US_national_yearly!$D:$AM, 14, FALSE) / VLOOKUP("LULUCF|NOx|Asthma symptoms wheeze", US_national_yearly!$D:$AM, 10, FALSE), 1)</f>
        <v>1.8078655937684072E-4</v>
      </c>
      <c r="G8" s="7">
        <f>$B8 * IFERROR(VLOOKUP("LULUCF|NOx|Asthma symptoms wheeze", US_national_yearly!$D:$AM, 15, FALSE) / VLOOKUP("LULUCF|NOx|Asthma symptoms wheeze", US_national_yearly!$D:$AM, 10, FALSE), 1)</f>
        <v>1.8265750902992536E-4</v>
      </c>
      <c r="H8" s="7">
        <f>$B8 * IFERROR(VLOOKUP("LULUCF|NOx|Asthma symptoms wheeze", US_national_yearly!$D:$AM, 16, FALSE) / VLOOKUP("LULUCF|NOx|Asthma symptoms wheeze", US_national_yearly!$D:$AM, 10, FALSE), 1)</f>
        <v>1.8452845868301002E-4</v>
      </c>
      <c r="I8" s="7">
        <f>$B8 * IFERROR(VLOOKUP("LULUCF|NOx|Asthma symptoms wheeze", US_national_yearly!$D:$AM, 17, FALSE) / VLOOKUP("LULUCF|NOx|Asthma symptoms wheeze", US_national_yearly!$D:$AM, 10, FALSE), 1)</f>
        <v>1.8517241280934912E-4</v>
      </c>
      <c r="J8" s="7">
        <f>$B8 * IFERROR(VLOOKUP("LULUCF|NOx|Asthma symptoms wheeze", US_national_yearly!$D:$AM, 18, FALSE) / VLOOKUP("LULUCF|NOx|Asthma symptoms wheeze", US_national_yearly!$D:$AM, 10, FALSE), 1)</f>
        <v>1.8581636693568824E-4</v>
      </c>
      <c r="K8" s="7">
        <f>$B8 * IFERROR(VLOOKUP("LULUCF|NOx|Asthma symptoms wheeze", US_national_yearly!$D:$AM, 19, FALSE) / VLOOKUP("LULUCF|NOx|Asthma symptoms wheeze", US_national_yearly!$D:$AM, 10, FALSE), 1)</f>
        <v>1.8646032106202728E-4</v>
      </c>
      <c r="L8" s="7">
        <f>$B8 * IFERROR(VLOOKUP("LULUCF|NOx|Asthma symptoms wheeze", US_national_yearly!$D:$AM, 20, FALSE) / VLOOKUP("LULUCF|NOx|Asthma symptoms wheeze", US_national_yearly!$D:$AM, 10, FALSE), 1)</f>
        <v>1.871042751883664E-4</v>
      </c>
      <c r="M8" s="7">
        <f>$B8 * IFERROR(VLOOKUP("LULUCF|NOx|Asthma symptoms wheeze", US_national_yearly!$D:$AM, 21, FALSE) / VLOOKUP("LULUCF|NOx|Asthma symptoms wheeze", US_national_yearly!$D:$AM, 10, FALSE), 1)</f>
        <v>1.8774822931470549E-4</v>
      </c>
      <c r="N8" s="7">
        <f>$B8 * IFERROR(VLOOKUP("LULUCF|NOx|Asthma symptoms wheeze", US_national_yearly!$D:$AM, 22, FALSE) / VLOOKUP("LULUCF|NOx|Asthma symptoms wheeze", US_national_yearly!$D:$AM, 10, FALSE), 1)</f>
        <v>1.8849494207799915E-4</v>
      </c>
      <c r="O8" s="7">
        <f>$B8 * IFERROR(VLOOKUP("LULUCF|NOx|Asthma symptoms wheeze", US_national_yearly!$D:$AM, 23, FALSE) / VLOOKUP("LULUCF|NOx|Asthma symptoms wheeze", US_national_yearly!$D:$AM, 10, FALSE), 1)</f>
        <v>1.8924165484129286E-4</v>
      </c>
      <c r="P8" s="7">
        <f>$B8 * IFERROR(VLOOKUP("LULUCF|NOx|Asthma symptoms wheeze", US_national_yearly!$D:$AM, 24, FALSE) / VLOOKUP("LULUCF|NOx|Asthma symptoms wheeze", US_national_yearly!$D:$AM, 10, FALSE), 1)</f>
        <v>1.8998836760458651E-4</v>
      </c>
      <c r="Q8" s="7">
        <f>$B8 * IFERROR(VLOOKUP("LULUCF|NOx|Asthma symptoms wheeze", US_national_yearly!$D:$AM, 25, FALSE) / VLOOKUP("LULUCF|NOx|Asthma symptoms wheeze", US_national_yearly!$D:$AM, 10, FALSE), 1)</f>
        <v>1.9073508036788019E-4</v>
      </c>
      <c r="R8" s="7">
        <f>$B8 * IFERROR(VLOOKUP("LULUCF|NOx|Asthma symptoms wheeze", US_national_yearly!$D:$AM, 26, FALSE) / VLOOKUP("LULUCF|NOx|Asthma symptoms wheeze", US_national_yearly!$D:$AM, 10, FALSE), 1)</f>
        <v>1.9148179313117385E-4</v>
      </c>
      <c r="S8" s="7">
        <f>$B8 * IFERROR(VLOOKUP("LULUCF|NOx|Asthma symptoms wheeze", US_national_yearly!$D:$AM, 27, FALSE) / VLOOKUP("LULUCF|NOx|Asthma symptoms wheeze", US_national_yearly!$D:$AM, 10, FALSE), 1)</f>
        <v>1.9245723782571037E-4</v>
      </c>
      <c r="T8" s="7">
        <f>$B8 * IFERROR(VLOOKUP("LULUCF|NOx|Asthma symptoms wheeze", US_national_yearly!$D:$AM, 28, FALSE) / VLOOKUP("LULUCF|NOx|Asthma symptoms wheeze", US_national_yearly!$D:$AM, 10, FALSE), 1)</f>
        <v>1.9343268252024689E-4</v>
      </c>
      <c r="U8" s="7">
        <f>$B8 * IFERROR(VLOOKUP("LULUCF|NOx|Asthma symptoms wheeze", US_national_yearly!$D:$AM, 29, FALSE) / VLOOKUP("LULUCF|NOx|Asthma symptoms wheeze", US_national_yearly!$D:$AM, 10, FALSE), 1)</f>
        <v>1.9440812721478341E-4</v>
      </c>
      <c r="V8" s="7">
        <f>$B8 * IFERROR(VLOOKUP("LULUCF|NOx|Asthma symptoms wheeze", US_national_yearly!$D:$AM, 30, FALSE) / VLOOKUP("LULUCF|NOx|Asthma symptoms wheeze", US_national_yearly!$D:$AM, 10, FALSE), 1)</f>
        <v>1.9538357190931996E-4</v>
      </c>
      <c r="W8" s="7">
        <f>$B8 * IFERROR(VLOOKUP("LULUCF|NOx|Asthma symptoms wheeze", US_national_yearly!$D:$AM, 31, FALSE) / VLOOKUP("LULUCF|NOx|Asthma symptoms wheeze", US_national_yearly!$D:$AM, 10, FALSE), 1)</f>
        <v>1.9635901660385643E-4</v>
      </c>
      <c r="X8" s="7">
        <f>$B8 * IFERROR(VLOOKUP("LULUCF|NOx|Asthma symptoms wheeze", US_national_yearly!$D:$AM, 32, FALSE) / VLOOKUP("LULUCF|NOx|Asthma symptoms wheeze", US_national_yearly!$D:$AM, 10, FALSE), 1)</f>
        <v>1.9726534488207813E-4</v>
      </c>
      <c r="Y8" s="7">
        <f>$B8 * IFERROR(VLOOKUP("LULUCF|NOx|Asthma symptoms wheeze", US_national_yearly!$D:$AM, 33, FALSE) / VLOOKUP("LULUCF|NOx|Asthma symptoms wheeze", US_national_yearly!$D:$AM, 10, FALSE), 1)</f>
        <v>1.9817167316029974E-4</v>
      </c>
      <c r="Z8" s="7">
        <f>$B8 * IFERROR(VLOOKUP("LULUCF|NOx|Asthma symptoms wheeze", US_national_yearly!$D:$AM, 34, FALSE) / VLOOKUP("LULUCF|NOx|Asthma symptoms wheeze", US_national_yearly!$D:$AM, 10, FALSE), 1)</f>
        <v>1.9907800143852141E-4</v>
      </c>
      <c r="AA8" s="7">
        <f>$B8 * IFERROR(VLOOKUP("LULUCF|NOx|Asthma symptoms wheeze", US_national_yearly!$D:$AM, 35, FALSE) / VLOOKUP("LULUCF|NOx|Asthma symptoms wheeze", US_national_yearly!$D:$AM, 10, FALSE), 1)</f>
        <v>1.9998432971674306E-4</v>
      </c>
      <c r="AB8" s="7">
        <f>$B8 * IFERROR(VLOOKUP("LULUCF|NOx|Asthma symptoms wheeze", US_national_yearly!$D:$AM, 36, FALSE) / VLOOKUP("LULUCF|NOx|Asthma symptoms wheeze", US_national_yearly!$D:$AM, 10, FALSE), 1)</f>
        <v>2.0089065799496473E-4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1.7756883488570846E-6</v>
      </c>
      <c r="C12" s="7">
        <f>$B12 * IFERROR(VLOOKUP("LULUCF|NOx|Respiratory hospital admissions", US_national_yearly!$D:$AM, 11, FALSE) / VLOOKUP("LULUCF|NOx|Respiratory hospital admissions", US_national_yearly!$D:$AM, 10, FALSE), 1)</f>
        <v>1.8199822993356245E-6</v>
      </c>
      <c r="D12" s="7">
        <f>$B12 * IFERROR(VLOOKUP("LULUCF|NOx|Respiratory hospital admissions", US_national_yearly!$D:$AM, 12, FALSE) / VLOOKUP("LULUCF|NOx|Respiratory hospital admissions", US_national_yearly!$D:$AM, 10, FALSE), 1)</f>
        <v>1.8642762498141647E-6</v>
      </c>
      <c r="E12" s="7">
        <f>$B12 * IFERROR(VLOOKUP("LULUCF|NOx|Respiratory hospital admissions", US_national_yearly!$D:$AM, 13, FALSE) / VLOOKUP("LULUCF|NOx|Respiratory hospital admissions", US_national_yearly!$D:$AM, 10, FALSE), 1)</f>
        <v>1.9085702002927051E-6</v>
      </c>
      <c r="F12" s="7">
        <f>$B12 * IFERROR(VLOOKUP("LULUCF|NOx|Respiratory hospital admissions", US_national_yearly!$D:$AM, 14, FALSE) / VLOOKUP("LULUCF|NOx|Respiratory hospital admissions", US_national_yearly!$D:$AM, 10, FALSE), 1)</f>
        <v>1.9528641507712453E-6</v>
      </c>
      <c r="G12" s="7">
        <f>$B12 * IFERROR(VLOOKUP("LULUCF|NOx|Respiratory hospital admissions", US_national_yearly!$D:$AM, 15, FALSE) / VLOOKUP("LULUCF|NOx|Respiratory hospital admissions", US_national_yearly!$D:$AM, 10, FALSE), 1)</f>
        <v>1.9952106750153477E-6</v>
      </c>
      <c r="H12" s="7">
        <f>$B12 * IFERROR(VLOOKUP("LULUCF|NOx|Respiratory hospital admissions", US_national_yearly!$D:$AM, 16, FALSE) / VLOOKUP("LULUCF|NOx|Respiratory hospital admissions", US_national_yearly!$D:$AM, 10, FALSE), 1)</f>
        <v>2.0375571992594505E-6</v>
      </c>
      <c r="I12" s="7">
        <f>$B12 * IFERROR(VLOOKUP("LULUCF|NOx|Respiratory hospital admissions", US_national_yearly!$D:$AM, 17, FALSE) / VLOOKUP("LULUCF|NOx|Respiratory hospital admissions", US_national_yearly!$D:$AM, 10, FALSE), 1)</f>
        <v>2.0735102688991311E-6</v>
      </c>
      <c r="J12" s="7">
        <f>$B12 * IFERROR(VLOOKUP("LULUCF|NOx|Respiratory hospital admissions", US_national_yearly!$D:$AM, 18, FALSE) / VLOOKUP("LULUCF|NOx|Respiratory hospital admissions", US_national_yearly!$D:$AM, 10, FALSE), 1)</f>
        <v>2.1094633385388113E-6</v>
      </c>
      <c r="K12" s="7">
        <f>$B12 * IFERROR(VLOOKUP("LULUCF|NOx|Respiratory hospital admissions", US_national_yearly!$D:$AM, 19, FALSE) / VLOOKUP("LULUCF|NOx|Respiratory hospital admissions", US_national_yearly!$D:$AM, 10, FALSE), 1)</f>
        <v>2.1454164081784919E-6</v>
      </c>
      <c r="L12" s="7">
        <f>$B12 * IFERROR(VLOOKUP("LULUCF|NOx|Respiratory hospital admissions", US_national_yearly!$D:$AM, 20, FALSE) / VLOOKUP("LULUCF|NOx|Respiratory hospital admissions", US_national_yearly!$D:$AM, 10, FALSE), 1)</f>
        <v>2.1813694778181725E-6</v>
      </c>
      <c r="M12" s="7">
        <f>$B12 * IFERROR(VLOOKUP("LULUCF|NOx|Respiratory hospital admissions", US_national_yearly!$D:$AM, 21, FALSE) / VLOOKUP("LULUCF|NOx|Respiratory hospital admissions", US_national_yearly!$D:$AM, 10, FALSE), 1)</f>
        <v>2.2173225474578532E-6</v>
      </c>
      <c r="N12" s="7">
        <f>$B12 * IFERROR(VLOOKUP("LULUCF|NOx|Respiratory hospital admissions", US_national_yearly!$D:$AM, 22, FALSE) / VLOOKUP("LULUCF|NOx|Respiratory hospital admissions", US_national_yearly!$D:$AM, 10, FALSE), 1)</f>
        <v>2.2413578218311554E-6</v>
      </c>
      <c r="O12" s="7">
        <f>$B12 * IFERROR(VLOOKUP("LULUCF|NOx|Respiratory hospital admissions", US_national_yearly!$D:$AM, 23, FALSE) / VLOOKUP("LULUCF|NOx|Respiratory hospital admissions", US_national_yearly!$D:$AM, 10, FALSE), 1)</f>
        <v>2.2653930962044588E-6</v>
      </c>
      <c r="P12" s="7">
        <f>$B12 * IFERROR(VLOOKUP("LULUCF|NOx|Respiratory hospital admissions", US_national_yearly!$D:$AM, 24, FALSE) / VLOOKUP("LULUCF|NOx|Respiratory hospital admissions", US_national_yearly!$D:$AM, 10, FALSE), 1)</f>
        <v>2.2894283705777619E-6</v>
      </c>
      <c r="Q12" s="7">
        <f>$B12 * IFERROR(VLOOKUP("LULUCF|NOx|Respiratory hospital admissions", US_national_yearly!$D:$AM, 25, FALSE) / VLOOKUP("LULUCF|NOx|Respiratory hospital admissions", US_national_yearly!$D:$AM, 10, FALSE), 1)</f>
        <v>2.3134636449510649E-6</v>
      </c>
      <c r="R12" s="7">
        <f>$B12 * IFERROR(VLOOKUP("LULUCF|NOx|Respiratory hospital admissions", US_national_yearly!$D:$AM, 26, FALSE) / VLOOKUP("LULUCF|NOx|Respiratory hospital admissions", US_national_yearly!$D:$AM, 10, FALSE), 1)</f>
        <v>2.3374989193243679E-6</v>
      </c>
      <c r="S12" s="7">
        <f>$B12 * IFERROR(VLOOKUP("LULUCF|NOx|Respiratory hospital admissions", US_national_yearly!$D:$AM, 27, FALSE) / VLOOKUP("LULUCF|NOx|Respiratory hospital admissions", US_national_yearly!$D:$AM, 10, FALSE), 1)</f>
        <v>2.350376368053088E-6</v>
      </c>
      <c r="T12" s="7">
        <f>$B12 * IFERROR(VLOOKUP("LULUCF|NOx|Respiratory hospital admissions", US_national_yearly!$D:$AM, 28, FALSE) / VLOOKUP("LULUCF|NOx|Respiratory hospital admissions", US_national_yearly!$D:$AM, 10, FALSE), 1)</f>
        <v>2.3632538167818081E-6</v>
      </c>
      <c r="U12" s="7">
        <f>$B12 * IFERROR(VLOOKUP("LULUCF|NOx|Respiratory hospital admissions", US_national_yearly!$D:$AM, 29, FALSE) / VLOOKUP("LULUCF|NOx|Respiratory hospital admissions", US_national_yearly!$D:$AM, 10, FALSE), 1)</f>
        <v>2.3761312655105286E-6</v>
      </c>
      <c r="V12" s="7">
        <f>$B12 * IFERROR(VLOOKUP("LULUCF|NOx|Respiratory hospital admissions", US_national_yearly!$D:$AM, 30, FALSE) / VLOOKUP("LULUCF|NOx|Respiratory hospital admissions", US_national_yearly!$D:$AM, 10, FALSE), 1)</f>
        <v>2.3890087142392482E-6</v>
      </c>
      <c r="W12" s="7">
        <f>$B12 * IFERROR(VLOOKUP("LULUCF|NOx|Respiratory hospital admissions", US_national_yearly!$D:$AM, 31, FALSE) / VLOOKUP("LULUCF|NOx|Respiratory hospital admissions", US_national_yearly!$D:$AM, 10, FALSE), 1)</f>
        <v>2.4018861629679687E-6</v>
      </c>
      <c r="X12" s="7">
        <f>$B12 * IFERROR(VLOOKUP("LULUCF|NOx|Respiratory hospital admissions", US_national_yearly!$D:$AM, 32, FALSE) / VLOOKUP("LULUCF|NOx|Respiratory hospital admissions", US_national_yearly!$D:$AM, 10, FALSE), 1)</f>
        <v>2.4106862261811747E-6</v>
      </c>
      <c r="Y12" s="7">
        <f>$B12 * IFERROR(VLOOKUP("LULUCF|NOx|Respiratory hospital admissions", US_national_yearly!$D:$AM, 33, FALSE) / VLOOKUP("LULUCF|NOx|Respiratory hospital admissions", US_national_yearly!$D:$AM, 10, FALSE), 1)</f>
        <v>2.4194862893943811E-6</v>
      </c>
      <c r="Z12" s="7">
        <f>$B12 * IFERROR(VLOOKUP("LULUCF|NOx|Respiratory hospital admissions", US_national_yearly!$D:$AM, 34, FALSE) / VLOOKUP("LULUCF|NOx|Respiratory hospital admissions", US_national_yearly!$D:$AM, 10, FALSE), 1)</f>
        <v>2.4282863526075871E-6</v>
      </c>
      <c r="AA12" s="7">
        <f>$B12 * IFERROR(VLOOKUP("LULUCF|NOx|Respiratory hospital admissions", US_national_yearly!$D:$AM, 35, FALSE) / VLOOKUP("LULUCF|NOx|Respiratory hospital admissions", US_national_yearly!$D:$AM, 10, FALSE), 1)</f>
        <v>2.4370864158207934E-6</v>
      </c>
      <c r="AB12" s="7">
        <f>$B12 * IFERROR(VLOOKUP("LULUCF|NOx|Respiratory hospital admissions", US_national_yearly!$D:$AM, 36, FALSE) / VLOOKUP("LULUCF|NOx|Respiratory hospital admissions", US_national_yearly!$D:$AM, 10, FALSE), 1)</f>
        <v>2.4458864790339994E-6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9.6112158700423226E-6</v>
      </c>
      <c r="C13" s="7">
        <f>$B13 * IFERROR(VLOOKUP("LULUCF|NOx|Non-fatal heart attacks", US_national_yearly!$D:$AM, 11, FALSE) / VLOOKUP("LULUCF|NOx|Non-fatal heart attacks", US_national_yearly!$D:$AM, 10, FALSE), 1)</f>
        <v>9.8859920637453716E-6</v>
      </c>
      <c r="D13" s="7">
        <f>$B13 * IFERROR(VLOOKUP("LULUCF|NOx|Non-fatal heart attacks", US_national_yearly!$D:$AM, 12, FALSE) / VLOOKUP("LULUCF|NOx|Non-fatal heart attacks", US_national_yearly!$D:$AM, 10, FALSE), 1)</f>
        <v>1.0160768257448421E-5</v>
      </c>
      <c r="E13" s="7">
        <f>$B13 * IFERROR(VLOOKUP("LULUCF|NOx|Non-fatal heart attacks", US_national_yearly!$D:$AM, 13, FALSE) / VLOOKUP("LULUCF|NOx|Non-fatal heart attacks", US_national_yearly!$D:$AM, 10, FALSE), 1)</f>
        <v>1.0435544451151468E-5</v>
      </c>
      <c r="F13" s="7">
        <f>$B13 * IFERROR(VLOOKUP("LULUCF|NOx|Non-fatal heart attacks", US_national_yearly!$D:$AM, 14, FALSE) / VLOOKUP("LULUCF|NOx|Non-fatal heart attacks", US_national_yearly!$D:$AM, 10, FALSE), 1)</f>
        <v>1.0710320644854517E-5</v>
      </c>
      <c r="G13" s="7">
        <f>$B13 * IFERROR(VLOOKUP("LULUCF|NOx|Non-fatal heart attacks", US_national_yearly!$D:$AM, 15, FALSE) / VLOOKUP("LULUCF|NOx|Non-fatal heart attacks", US_national_yearly!$D:$AM, 10, FALSE), 1)</f>
        <v>1.0967098426789707E-5</v>
      </c>
      <c r="H13" s="7">
        <f>$B13 * IFERROR(VLOOKUP("LULUCF|NOx|Non-fatal heart attacks", US_national_yearly!$D:$AM, 16, FALSE) / VLOOKUP("LULUCF|NOx|Non-fatal heart attacks", US_national_yearly!$D:$AM, 10, FALSE), 1)</f>
        <v>1.1223876208724895E-5</v>
      </c>
      <c r="I13" s="7">
        <f>$B13 * IFERROR(VLOOKUP("LULUCF|NOx|Non-fatal heart attacks", US_national_yearly!$D:$AM, 17, FALSE) / VLOOKUP("LULUCF|NOx|Non-fatal heart attacks", US_national_yearly!$D:$AM, 10, FALSE), 1)</f>
        <v>1.1426316137277701E-5</v>
      </c>
      <c r="J13" s="7">
        <f>$B13 * IFERROR(VLOOKUP("LULUCF|NOx|Non-fatal heart attacks", US_national_yearly!$D:$AM, 18, FALSE) / VLOOKUP("LULUCF|NOx|Non-fatal heart attacks", US_national_yearly!$D:$AM, 10, FALSE), 1)</f>
        <v>1.1628756065830509E-5</v>
      </c>
      <c r="K13" s="7">
        <f>$B13 * IFERROR(VLOOKUP("LULUCF|NOx|Non-fatal heart attacks", US_national_yearly!$D:$AM, 19, FALSE) / VLOOKUP("LULUCF|NOx|Non-fatal heart attacks", US_national_yearly!$D:$AM, 10, FALSE), 1)</f>
        <v>1.1831195994383308E-5</v>
      </c>
      <c r="L13" s="7">
        <f>$B13 * IFERROR(VLOOKUP("LULUCF|NOx|Non-fatal heart attacks", US_national_yearly!$D:$AM, 20, FALSE) / VLOOKUP("LULUCF|NOx|Non-fatal heart attacks", US_national_yearly!$D:$AM, 10, FALSE), 1)</f>
        <v>1.203363592293612E-5</v>
      </c>
      <c r="M13" s="7">
        <f>$B13 * IFERROR(VLOOKUP("LULUCF|NOx|Non-fatal heart attacks", US_national_yearly!$D:$AM, 21, FALSE) / VLOOKUP("LULUCF|NOx|Non-fatal heart attacks", US_national_yearly!$D:$AM, 10, FALSE), 1)</f>
        <v>1.2236075851488925E-5</v>
      </c>
      <c r="N13" s="7">
        <f>$B13 * IFERROR(VLOOKUP("LULUCF|NOx|Non-fatal heart attacks", US_national_yearly!$D:$AM, 22, FALSE) / VLOOKUP("LULUCF|NOx|Non-fatal heart attacks", US_national_yearly!$D:$AM, 10, FALSE), 1)</f>
        <v>1.2357869851816523E-5</v>
      </c>
      <c r="O13" s="7">
        <f>$B13 * IFERROR(VLOOKUP("LULUCF|NOx|Non-fatal heart attacks", US_national_yearly!$D:$AM, 23, FALSE) / VLOOKUP("LULUCF|NOx|Non-fatal heart attacks", US_national_yearly!$D:$AM, 10, FALSE), 1)</f>
        <v>1.2479663852144121E-5</v>
      </c>
      <c r="P13" s="7">
        <f>$B13 * IFERROR(VLOOKUP("LULUCF|NOx|Non-fatal heart attacks", US_national_yearly!$D:$AM, 24, FALSE) / VLOOKUP("LULUCF|NOx|Non-fatal heart attacks", US_national_yearly!$D:$AM, 10, FALSE), 1)</f>
        <v>1.2601457852471717E-5</v>
      </c>
      <c r="Q13" s="7">
        <f>$B13 * IFERROR(VLOOKUP("LULUCF|NOx|Non-fatal heart attacks", US_national_yearly!$D:$AM, 25, FALSE) / VLOOKUP("LULUCF|NOx|Non-fatal heart attacks", US_national_yearly!$D:$AM, 10, FALSE), 1)</f>
        <v>1.2723251852799317E-5</v>
      </c>
      <c r="R13" s="7">
        <f>$B13 * IFERROR(VLOOKUP("LULUCF|NOx|Non-fatal heart attacks", US_national_yearly!$D:$AM, 26, FALSE) / VLOOKUP("LULUCF|NOx|Non-fatal heart attacks", US_national_yearly!$D:$AM, 10, FALSE), 1)</f>
        <v>1.2845045853126915E-5</v>
      </c>
      <c r="S13" s="7">
        <f>$B13 * IFERROR(VLOOKUP("LULUCF|NOx|Non-fatal heart attacks", US_national_yearly!$D:$AM, 27, FALSE) / VLOOKUP("LULUCF|NOx|Non-fatal heart attacks", US_national_yearly!$D:$AM, 10, FALSE), 1)</f>
        <v>1.2900292454048129E-5</v>
      </c>
      <c r="T13" s="7">
        <f>$B13 * IFERROR(VLOOKUP("LULUCF|NOx|Non-fatal heart attacks", US_national_yearly!$D:$AM, 28, FALSE) / VLOOKUP("LULUCF|NOx|Non-fatal heart attacks", US_national_yearly!$D:$AM, 10, FALSE), 1)</f>
        <v>1.2955539054969343E-5</v>
      </c>
      <c r="U13" s="7">
        <f>$B13 * IFERROR(VLOOKUP("LULUCF|NOx|Non-fatal heart attacks", US_national_yearly!$D:$AM, 29, FALSE) / VLOOKUP("LULUCF|NOx|Non-fatal heart attacks", US_national_yearly!$D:$AM, 10, FALSE), 1)</f>
        <v>1.3010785655890557E-5</v>
      </c>
      <c r="V13" s="7">
        <f>$B13 * IFERROR(VLOOKUP("LULUCF|NOx|Non-fatal heart attacks", US_national_yearly!$D:$AM, 30, FALSE) / VLOOKUP("LULUCF|NOx|Non-fatal heart attacks", US_national_yearly!$D:$AM, 10, FALSE), 1)</f>
        <v>1.3066032256811771E-5</v>
      </c>
      <c r="W13" s="7">
        <f>$B13 * IFERROR(VLOOKUP("LULUCF|NOx|Non-fatal heart attacks", US_national_yearly!$D:$AM, 31, FALSE) / VLOOKUP("LULUCF|NOx|Non-fatal heart attacks", US_national_yearly!$D:$AM, 10, FALSE), 1)</f>
        <v>1.3121278857732983E-5</v>
      </c>
      <c r="X13" s="7">
        <f>$B13 * IFERROR(VLOOKUP("LULUCF|NOx|Non-fatal heart attacks", US_national_yearly!$D:$AM, 32, FALSE) / VLOOKUP("LULUCF|NOx|Non-fatal heart attacks", US_national_yearly!$D:$AM, 10, FALSE), 1)</f>
        <v>1.3158197543445816E-5</v>
      </c>
      <c r="Y13" s="7">
        <f>$B13 * IFERROR(VLOOKUP("LULUCF|NOx|Non-fatal heart attacks", US_national_yearly!$D:$AM, 33, FALSE) / VLOOKUP("LULUCF|NOx|Non-fatal heart attacks", US_national_yearly!$D:$AM, 10, FALSE), 1)</f>
        <v>1.3195116229158651E-5</v>
      </c>
      <c r="Z13" s="7">
        <f>$B13 * IFERROR(VLOOKUP("LULUCF|NOx|Non-fatal heart attacks", US_national_yearly!$D:$AM, 34, FALSE) / VLOOKUP("LULUCF|NOx|Non-fatal heart attacks", US_national_yearly!$D:$AM, 10, FALSE), 1)</f>
        <v>1.323203491487148E-5</v>
      </c>
      <c r="AA13" s="7">
        <f>$B13 * IFERROR(VLOOKUP("LULUCF|NOx|Non-fatal heart attacks", US_national_yearly!$D:$AM, 35, FALSE) / VLOOKUP("LULUCF|NOx|Non-fatal heart attacks", US_national_yearly!$D:$AM, 10, FALSE), 1)</f>
        <v>1.3268953600584311E-5</v>
      </c>
      <c r="AB13" s="7">
        <f>$B13 * IFERROR(VLOOKUP("LULUCF|NOx|Non-fatal heart attacks", US_national_yearly!$D:$AM, 36, FALSE) / VLOOKUP("LULUCF|NOx|Non-fatal heart attacks", US_national_yearly!$D:$AM, 10, FALSE), 1)</f>
        <v>1.3305872286297146E-5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9.2556522518516694E-3</v>
      </c>
      <c r="C14" s="7">
        <f>$B14 * IFERROR(VLOOKUP("LULUCF|NOx|Minor restricted activity days", US_national_yearly!$D:$AM, 11, FALSE) / VLOOKUP("LULUCF|NOx|Minor restricted activity days", US_national_yearly!$D:$AM, 10, FALSE), 1)</f>
        <v>9.2698427200245681E-3</v>
      </c>
      <c r="D14" s="7">
        <f>$B14 * IFERROR(VLOOKUP("LULUCF|NOx|Minor restricted activity days", US_national_yearly!$D:$AM, 12, FALSE) / VLOOKUP("LULUCF|NOx|Minor restricted activity days", US_national_yearly!$D:$AM, 10, FALSE), 1)</f>
        <v>9.2840331881974686E-3</v>
      </c>
      <c r="E14" s="7">
        <f>$B14 * IFERROR(VLOOKUP("LULUCF|NOx|Minor restricted activity days", US_national_yearly!$D:$AM, 13, FALSE) / VLOOKUP("LULUCF|NOx|Minor restricted activity days", US_national_yearly!$D:$AM, 10, FALSE), 1)</f>
        <v>9.2982236563703691E-3</v>
      </c>
      <c r="F14" s="7">
        <f>$B14 * IFERROR(VLOOKUP("LULUCF|NOx|Minor restricted activity days", US_national_yearly!$D:$AM, 14, FALSE) / VLOOKUP("LULUCF|NOx|Minor restricted activity days", US_national_yearly!$D:$AM, 10, FALSE), 1)</f>
        <v>9.3124141245432661E-3</v>
      </c>
      <c r="G14" s="7">
        <f>$B14 * IFERROR(VLOOKUP("LULUCF|NOx|Minor restricted activity days", US_national_yearly!$D:$AM, 15, FALSE) / VLOOKUP("LULUCF|NOx|Minor restricted activity days", US_national_yearly!$D:$AM, 10, FALSE), 1)</f>
        <v>9.338038732441864E-3</v>
      </c>
      <c r="H14" s="7">
        <f>$B14 * IFERROR(VLOOKUP("LULUCF|NOx|Minor restricted activity days", US_national_yearly!$D:$AM, 16, FALSE) / VLOOKUP("LULUCF|NOx|Minor restricted activity days", US_national_yearly!$D:$AM, 10, FALSE), 1)</f>
        <v>9.3636633403404567E-3</v>
      </c>
      <c r="I14" s="7">
        <f>$B14 * IFERROR(VLOOKUP("LULUCF|NOx|Minor restricted activity days", US_national_yearly!$D:$AM, 17, FALSE) / VLOOKUP("LULUCF|NOx|Minor restricted activity days", US_national_yearly!$D:$AM, 10, FALSE), 1)</f>
        <v>9.4137840600882622E-3</v>
      </c>
      <c r="J14" s="7">
        <f>$B14 * IFERROR(VLOOKUP("LULUCF|NOx|Minor restricted activity days", US_national_yearly!$D:$AM, 18, FALSE) / VLOOKUP("LULUCF|NOx|Minor restricted activity days", US_national_yearly!$D:$AM, 10, FALSE), 1)</f>
        <v>9.4639047798360659E-3</v>
      </c>
      <c r="K14" s="7">
        <f>$B14 * IFERROR(VLOOKUP("LULUCF|NOx|Minor restricted activity days", US_national_yearly!$D:$AM, 19, FALSE) / VLOOKUP("LULUCF|NOx|Minor restricted activity days", US_national_yearly!$D:$AM, 10, FALSE), 1)</f>
        <v>9.5140254995838731E-3</v>
      </c>
      <c r="L14" s="7">
        <f>$B14 * IFERROR(VLOOKUP("LULUCF|NOx|Minor restricted activity days", US_national_yearly!$D:$AM, 20, FALSE) / VLOOKUP("LULUCF|NOx|Minor restricted activity days", US_national_yearly!$D:$AM, 10, FALSE), 1)</f>
        <v>9.5641462193316769E-3</v>
      </c>
      <c r="M14" s="7">
        <f>$B14 * IFERROR(VLOOKUP("LULUCF|NOx|Minor restricted activity days", US_national_yearly!$D:$AM, 21, FALSE) / VLOOKUP("LULUCF|NOx|Minor restricted activity days", US_national_yearly!$D:$AM, 10, FALSE), 1)</f>
        <v>9.6142669390794824E-3</v>
      </c>
      <c r="N14" s="7">
        <f>$B14 * IFERROR(VLOOKUP("LULUCF|NOx|Minor restricted activity days", US_national_yearly!$D:$AM, 22, FALSE) / VLOOKUP("LULUCF|NOx|Minor restricted activity days", US_national_yearly!$D:$AM, 10, FALSE), 1)</f>
        <v>9.686028445131287E-3</v>
      </c>
      <c r="O14" s="7">
        <f>$B14 * IFERROR(VLOOKUP("LULUCF|NOx|Minor restricted activity days", US_national_yearly!$D:$AM, 23, FALSE) / VLOOKUP("LULUCF|NOx|Minor restricted activity days", US_national_yearly!$D:$AM, 10, FALSE), 1)</f>
        <v>9.7577899511830934E-3</v>
      </c>
      <c r="P14" s="7">
        <f>$B14 * IFERROR(VLOOKUP("LULUCF|NOx|Minor restricted activity days", US_national_yearly!$D:$AM, 24, FALSE) / VLOOKUP("LULUCF|NOx|Minor restricted activity days", US_national_yearly!$D:$AM, 10, FALSE), 1)</f>
        <v>9.8295514572348981E-3</v>
      </c>
      <c r="Q14" s="7">
        <f>$B14 * IFERROR(VLOOKUP("LULUCF|NOx|Minor restricted activity days", US_national_yearly!$D:$AM, 25, FALSE) / VLOOKUP("LULUCF|NOx|Minor restricted activity days", US_national_yearly!$D:$AM, 10, FALSE), 1)</f>
        <v>9.9013129632867045E-3</v>
      </c>
      <c r="R14" s="7">
        <f>$B14 * IFERROR(VLOOKUP("LULUCF|NOx|Minor restricted activity days", US_national_yearly!$D:$AM, 26, FALSE) / VLOOKUP("LULUCF|NOx|Minor restricted activity days", US_national_yearly!$D:$AM, 10, FALSE), 1)</f>
        <v>9.9730744693385109E-3</v>
      </c>
      <c r="S14" s="7">
        <f>$B14 * IFERROR(VLOOKUP("LULUCF|NOx|Minor restricted activity days", US_national_yearly!$D:$AM, 27, FALSE) / VLOOKUP("LULUCF|NOx|Minor restricted activity days", US_national_yearly!$D:$AM, 10, FALSE), 1)</f>
        <v>1.0044820887687263E-2</v>
      </c>
      <c r="T14" s="7">
        <f>$B14 * IFERROR(VLOOKUP("LULUCF|NOx|Minor restricted activity days", US_national_yearly!$D:$AM, 28, FALSE) / VLOOKUP("LULUCF|NOx|Minor restricted activity days", US_national_yearly!$D:$AM, 10, FALSE), 1)</f>
        <v>1.0116567306036014E-2</v>
      </c>
      <c r="U14" s="7">
        <f>$B14 * IFERROR(VLOOKUP("LULUCF|NOx|Minor restricted activity days", US_national_yearly!$D:$AM, 29, FALSE) / VLOOKUP("LULUCF|NOx|Minor restricted activity days", US_national_yearly!$D:$AM, 10, FALSE), 1)</f>
        <v>1.0188313724384767E-2</v>
      </c>
      <c r="V14" s="7">
        <f>$B14 * IFERROR(VLOOKUP("LULUCF|NOx|Minor restricted activity days", US_national_yearly!$D:$AM, 30, FALSE) / VLOOKUP("LULUCF|NOx|Minor restricted activity days", US_national_yearly!$D:$AM, 10, FALSE), 1)</f>
        <v>1.0260060142733519E-2</v>
      </c>
      <c r="W14" s="7">
        <f>$B14 * IFERROR(VLOOKUP("LULUCF|NOx|Minor restricted activity days", US_national_yearly!$D:$AM, 31, FALSE) / VLOOKUP("LULUCF|NOx|Minor restricted activity days", US_national_yearly!$D:$AM, 10, FALSE), 1)</f>
        <v>1.033180656108227E-2</v>
      </c>
      <c r="X14" s="7">
        <f>$B14 * IFERROR(VLOOKUP("LULUCF|NOx|Minor restricted activity days", US_national_yearly!$D:$AM, 32, FALSE) / VLOOKUP("LULUCF|NOx|Minor restricted activity days", US_national_yearly!$D:$AM, 10, FALSE), 1)</f>
        <v>1.0392465424556793E-2</v>
      </c>
      <c r="Y14" s="7">
        <f>$B14 * IFERROR(VLOOKUP("LULUCF|NOx|Minor restricted activity days", US_national_yearly!$D:$AM, 33, FALSE) / VLOOKUP("LULUCF|NOx|Minor restricted activity days", US_national_yearly!$D:$AM, 10, FALSE), 1)</f>
        <v>1.0453124288031315E-2</v>
      </c>
      <c r="Z14" s="7">
        <f>$B14 * IFERROR(VLOOKUP("LULUCF|NOx|Minor restricted activity days", US_national_yearly!$D:$AM, 34, FALSE) / VLOOKUP("LULUCF|NOx|Minor restricted activity days", US_national_yearly!$D:$AM, 10, FALSE), 1)</f>
        <v>1.0513783151505838E-2</v>
      </c>
      <c r="AA14" s="7">
        <f>$B14 * IFERROR(VLOOKUP("LULUCF|NOx|Minor restricted activity days", US_national_yearly!$D:$AM, 35, FALSE) / VLOOKUP("LULUCF|NOx|Minor restricted activity days", US_national_yearly!$D:$AM, 10, FALSE), 1)</f>
        <v>1.0574442014980361E-2</v>
      </c>
      <c r="AB14" s="7">
        <f>$B14 * IFERROR(VLOOKUP("LULUCF|NOx|Minor restricted activity days", US_national_yearly!$D:$AM, 36, FALSE) / VLOOKUP("LULUCF|NOx|Minor restricted activity days", US_national_yearly!$D:$AM, 10, FALSE), 1)</f>
        <v>1.0635100878454883E-2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1.5698178997529569E-3</v>
      </c>
      <c r="C15" s="7">
        <f>$B15 * IFERROR(VLOOKUP("LULUCF|NOx|Work loss days", US_national_yearly!$D:$AM, 11, FALSE) / VLOOKUP("LULUCF|NOx|Work loss days", US_national_yearly!$D:$AM, 10, FALSE), 1)</f>
        <v>1.5733098752200888E-3</v>
      </c>
      <c r="D15" s="7">
        <f>$B15 * IFERROR(VLOOKUP("LULUCF|NOx|Work loss days", US_national_yearly!$D:$AM, 12, FALSE) / VLOOKUP("LULUCF|NOx|Work loss days", US_national_yearly!$D:$AM, 10, FALSE), 1)</f>
        <v>1.5768018506872213E-3</v>
      </c>
      <c r="E15" s="7">
        <f>$B15 * IFERROR(VLOOKUP("LULUCF|NOx|Work loss days", US_national_yearly!$D:$AM, 13, FALSE) / VLOOKUP("LULUCF|NOx|Work loss days", US_national_yearly!$D:$AM, 10, FALSE), 1)</f>
        <v>1.5802938261543535E-3</v>
      </c>
      <c r="F15" s="7">
        <f>$B15 * IFERROR(VLOOKUP("LULUCF|NOx|Work loss days", US_national_yearly!$D:$AM, 14, FALSE) / VLOOKUP("LULUCF|NOx|Work loss days", US_national_yearly!$D:$AM, 10, FALSE), 1)</f>
        <v>1.5837858016214859E-3</v>
      </c>
      <c r="G15" s="7">
        <f>$B15 * IFERROR(VLOOKUP("LULUCF|NOx|Work loss days", US_national_yearly!$D:$AM, 15, FALSE) / VLOOKUP("LULUCF|NOx|Work loss days", US_national_yearly!$D:$AM, 10, FALSE), 1)</f>
        <v>1.5888841155915999E-3</v>
      </c>
      <c r="H15" s="7">
        <f>$B15 * IFERROR(VLOOKUP("LULUCF|NOx|Work loss days", US_national_yearly!$D:$AM, 16, FALSE) / VLOOKUP("LULUCF|NOx|Work loss days", US_national_yearly!$D:$AM, 10, FALSE), 1)</f>
        <v>1.5939824295617144E-3</v>
      </c>
      <c r="I15" s="7">
        <f>$B15 * IFERROR(VLOOKUP("LULUCF|NOx|Work loss days", US_national_yearly!$D:$AM, 17, FALSE) / VLOOKUP("LULUCF|NOx|Work loss days", US_national_yearly!$D:$AM, 10, FALSE), 1)</f>
        <v>1.6022414218839706E-3</v>
      </c>
      <c r="J15" s="7">
        <f>$B15 * IFERROR(VLOOKUP("LULUCF|NOx|Work loss days", US_national_yearly!$D:$AM, 18, FALSE) / VLOOKUP("LULUCF|NOx|Work loss days", US_national_yearly!$D:$AM, 10, FALSE), 1)</f>
        <v>1.6105004142062272E-3</v>
      </c>
      <c r="K15" s="7">
        <f>$B15 * IFERROR(VLOOKUP("LULUCF|NOx|Work loss days", US_national_yearly!$D:$AM, 19, FALSE) / VLOOKUP("LULUCF|NOx|Work loss days", US_national_yearly!$D:$AM, 10, FALSE), 1)</f>
        <v>1.6187594065284836E-3</v>
      </c>
      <c r="L15" s="7">
        <f>$B15 * IFERROR(VLOOKUP("LULUCF|NOx|Work loss days", US_national_yearly!$D:$AM, 20, FALSE) / VLOOKUP("LULUCF|NOx|Work loss days", US_national_yearly!$D:$AM, 10, FALSE), 1)</f>
        <v>1.6270183988507398E-3</v>
      </c>
      <c r="M15" s="7">
        <f>$B15 * IFERROR(VLOOKUP("LULUCF|NOx|Work loss days", US_national_yearly!$D:$AM, 21, FALSE) / VLOOKUP("LULUCF|NOx|Work loss days", US_national_yearly!$D:$AM, 10, FALSE), 1)</f>
        <v>1.6352773911729964E-3</v>
      </c>
      <c r="N15" s="7">
        <f>$B15 * IFERROR(VLOOKUP("LULUCF|NOx|Work loss days", US_national_yearly!$D:$AM, 22, FALSE) / VLOOKUP("LULUCF|NOx|Work loss days", US_national_yearly!$D:$AM, 10, FALSE), 1)</f>
        <v>1.6460259628860699E-3</v>
      </c>
      <c r="O15" s="7">
        <f>$B15 * IFERROR(VLOOKUP("LULUCF|NOx|Work loss days", US_national_yearly!$D:$AM, 23, FALSE) / VLOOKUP("LULUCF|NOx|Work loss days", US_national_yearly!$D:$AM, 10, FALSE), 1)</f>
        <v>1.6567745345991436E-3</v>
      </c>
      <c r="P15" s="7">
        <f>$B15 * IFERROR(VLOOKUP("LULUCF|NOx|Work loss days", US_national_yearly!$D:$AM, 24, FALSE) / VLOOKUP("LULUCF|NOx|Work loss days", US_national_yearly!$D:$AM, 10, FALSE), 1)</f>
        <v>1.667523106312217E-3</v>
      </c>
      <c r="Q15" s="7">
        <f>$B15 * IFERROR(VLOOKUP("LULUCF|NOx|Work loss days", US_national_yearly!$D:$AM, 25, FALSE) / VLOOKUP("LULUCF|NOx|Work loss days", US_national_yearly!$D:$AM, 10, FALSE), 1)</f>
        <v>1.6782716780252903E-3</v>
      </c>
      <c r="R15" s="7">
        <f>$B15 * IFERROR(VLOOKUP("LULUCF|NOx|Work loss days", US_national_yearly!$D:$AM, 26, FALSE) / VLOOKUP("LULUCF|NOx|Work loss days", US_national_yearly!$D:$AM, 10, FALSE), 1)</f>
        <v>1.6890202497383642E-3</v>
      </c>
      <c r="S15" s="7">
        <f>$B15 * IFERROR(VLOOKUP("LULUCF|NOx|Work loss days", US_national_yearly!$D:$AM, 27, FALSE) / VLOOKUP("LULUCF|NOx|Work loss days", US_national_yearly!$D:$AM, 10, FALSE), 1)</f>
        <v>1.7010035328645144E-3</v>
      </c>
      <c r="T15" s="7">
        <f>$B15 * IFERROR(VLOOKUP("LULUCF|NOx|Work loss days", US_national_yearly!$D:$AM, 28, FALSE) / VLOOKUP("LULUCF|NOx|Work loss days", US_national_yearly!$D:$AM, 10, FALSE), 1)</f>
        <v>1.7129868159906645E-3</v>
      </c>
      <c r="U15" s="7">
        <f>$B15 * IFERROR(VLOOKUP("LULUCF|NOx|Work loss days", US_national_yearly!$D:$AM, 29, FALSE) / VLOOKUP("LULUCF|NOx|Work loss days", US_national_yearly!$D:$AM, 10, FALSE), 1)</f>
        <v>1.7249700991168145E-3</v>
      </c>
      <c r="V15" s="7">
        <f>$B15 * IFERROR(VLOOKUP("LULUCF|NOx|Work loss days", US_national_yearly!$D:$AM, 30, FALSE) / VLOOKUP("LULUCF|NOx|Work loss days", US_national_yearly!$D:$AM, 10, FALSE), 1)</f>
        <v>1.7369533822429648E-3</v>
      </c>
      <c r="W15" s="7">
        <f>$B15 * IFERROR(VLOOKUP("LULUCF|NOx|Work loss days", US_national_yearly!$D:$AM, 31, FALSE) / VLOOKUP("LULUCF|NOx|Work loss days", US_national_yearly!$D:$AM, 10, FALSE), 1)</f>
        <v>1.748936665369115E-3</v>
      </c>
      <c r="X15" s="7">
        <f>$B15 * IFERROR(VLOOKUP("LULUCF|NOx|Work loss days", US_national_yearly!$D:$AM, 32, FALSE) / VLOOKUP("LULUCF|NOx|Work loss days", US_national_yearly!$D:$AM, 10, FALSE), 1)</f>
        <v>1.7593375162130156E-3</v>
      </c>
      <c r="Y15" s="7">
        <f>$B15 * IFERROR(VLOOKUP("LULUCF|NOx|Work loss days", US_national_yearly!$D:$AM, 33, FALSE) / VLOOKUP("LULUCF|NOx|Work loss days", US_national_yearly!$D:$AM, 10, FALSE), 1)</f>
        <v>1.7697383670569164E-3</v>
      </c>
      <c r="Z15" s="7">
        <f>$B15 * IFERROR(VLOOKUP("LULUCF|NOx|Work loss days", US_national_yearly!$D:$AM, 34, FALSE) / VLOOKUP("LULUCF|NOx|Work loss days", US_national_yearly!$D:$AM, 10, FALSE), 1)</f>
        <v>1.780139217900817E-3</v>
      </c>
      <c r="AA15" s="7">
        <f>$B15 * IFERROR(VLOOKUP("LULUCF|NOx|Work loss days", US_national_yearly!$D:$AM, 35, FALSE) / VLOOKUP("LULUCF|NOx|Work loss days", US_national_yearly!$D:$AM, 10, FALSE), 1)</f>
        <v>1.7905400687447178E-3</v>
      </c>
      <c r="AB15" s="7">
        <f>$B15 * IFERROR(VLOOKUP("LULUCF|NOx|Work loss days", US_national_yearly!$D:$AM, 36, FALSE) / VLOOKUP("LULUCF|NOx|Work loss days", US_national_yearly!$D:$AM, 10, FALSE), 1)</f>
        <v>1.8009409195886184E-3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1.9780126540792369E-6</v>
      </c>
      <c r="C17" s="7">
        <f>$B17 * IFERROR(VLOOKUP("LULUCF|NOx|Cardiovascular hospital admissions", US_national_yearly!$D:$AM, 11, FALSE) / VLOOKUP("LULUCF|NOx|Cardiovascular hospital admissions", US_national_yearly!$D:$AM, 10, FALSE), 1)</f>
        <v>2.0361358274499506E-6</v>
      </c>
      <c r="D17" s="7">
        <f>$B17 * IFERROR(VLOOKUP("LULUCF|NOx|Cardiovascular hospital admissions", US_national_yearly!$D:$AM, 12, FALSE) / VLOOKUP("LULUCF|NOx|Cardiovascular hospital admissions", US_national_yearly!$D:$AM, 10, FALSE), 1)</f>
        <v>2.0942590008206639E-6</v>
      </c>
      <c r="E17" s="7">
        <f>$B17 * IFERROR(VLOOKUP("LULUCF|NOx|Cardiovascular hospital admissions", US_national_yearly!$D:$AM, 13, FALSE) / VLOOKUP("LULUCF|NOx|Cardiovascular hospital admissions", US_national_yearly!$D:$AM, 10, FALSE), 1)</f>
        <v>2.1523821741913772E-6</v>
      </c>
      <c r="F17" s="7">
        <f>$B17 * IFERROR(VLOOKUP("LULUCF|NOx|Cardiovascular hospital admissions", US_national_yearly!$D:$AM, 14, FALSE) / VLOOKUP("LULUCF|NOx|Cardiovascular hospital admissions", US_national_yearly!$D:$AM, 10, FALSE), 1)</f>
        <v>2.2105053475620909E-6</v>
      </c>
      <c r="G17" s="7">
        <f>$B17 * IFERROR(VLOOKUP("LULUCF|NOx|Cardiovascular hospital admissions", US_national_yearly!$D:$AM, 15, FALSE) / VLOOKUP("LULUCF|NOx|Cardiovascular hospital admissions", US_national_yearly!$D:$AM, 10, FALSE), 1)</f>
        <v>2.2657127501678083E-6</v>
      </c>
      <c r="H17" s="7">
        <f>$B17 * IFERROR(VLOOKUP("LULUCF|NOx|Cardiovascular hospital admissions", US_national_yearly!$D:$AM, 16, FALSE) / VLOOKUP("LULUCF|NOx|Cardiovascular hospital admissions", US_national_yearly!$D:$AM, 10, FALSE), 1)</f>
        <v>2.3209201527735265E-6</v>
      </c>
      <c r="I17" s="7">
        <f>$B17 * IFERROR(VLOOKUP("LULUCF|NOx|Cardiovascular hospital admissions", US_national_yearly!$D:$AM, 17, FALSE) / VLOOKUP("LULUCF|NOx|Cardiovascular hospital admissions", US_national_yearly!$D:$AM, 10, FALSE), 1)</f>
        <v>2.367345319354216E-6</v>
      </c>
      <c r="J17" s="7">
        <f>$B17 * IFERROR(VLOOKUP("LULUCF|NOx|Cardiovascular hospital admissions", US_national_yearly!$D:$AM, 18, FALSE) / VLOOKUP("LULUCF|NOx|Cardiovascular hospital admissions", US_national_yearly!$D:$AM, 10, FALSE), 1)</f>
        <v>2.4137704859349059E-6</v>
      </c>
      <c r="K17" s="7">
        <f>$B17 * IFERROR(VLOOKUP("LULUCF|NOx|Cardiovascular hospital admissions", US_national_yearly!$D:$AM, 19, FALSE) / VLOOKUP("LULUCF|NOx|Cardiovascular hospital admissions", US_national_yearly!$D:$AM, 10, FALSE), 1)</f>
        <v>2.4601956525155954E-6</v>
      </c>
      <c r="L17" s="7">
        <f>$B17 * IFERROR(VLOOKUP("LULUCF|NOx|Cardiovascular hospital admissions", US_national_yearly!$D:$AM, 20, FALSE) / VLOOKUP("LULUCF|NOx|Cardiovascular hospital admissions", US_national_yearly!$D:$AM, 10, FALSE), 1)</f>
        <v>2.5066208190962853E-6</v>
      </c>
      <c r="M17" s="7">
        <f>$B17 * IFERROR(VLOOKUP("LULUCF|NOx|Cardiovascular hospital admissions", US_national_yearly!$D:$AM, 21, FALSE) / VLOOKUP("LULUCF|NOx|Cardiovascular hospital admissions", US_national_yearly!$D:$AM, 10, FALSE), 1)</f>
        <v>2.5530459856769752E-6</v>
      </c>
      <c r="N17" s="7">
        <f>$B17 * IFERROR(VLOOKUP("LULUCF|NOx|Cardiovascular hospital admissions", US_national_yearly!$D:$AM, 22, FALSE) / VLOOKUP("LULUCF|NOx|Cardiovascular hospital admissions", US_national_yearly!$D:$AM, 10, FALSE), 1)</f>
        <v>2.5820771806278319E-6</v>
      </c>
      <c r="O17" s="7">
        <f>$B17 * IFERROR(VLOOKUP("LULUCF|NOx|Cardiovascular hospital admissions", US_national_yearly!$D:$AM, 23, FALSE) / VLOOKUP("LULUCF|NOx|Cardiovascular hospital admissions", US_national_yearly!$D:$AM, 10, FALSE), 1)</f>
        <v>2.611108375578689E-6</v>
      </c>
      <c r="P17" s="7">
        <f>$B17 * IFERROR(VLOOKUP("LULUCF|NOx|Cardiovascular hospital admissions", US_national_yearly!$D:$AM, 24, FALSE) / VLOOKUP("LULUCF|NOx|Cardiovascular hospital admissions", US_national_yearly!$D:$AM, 10, FALSE), 1)</f>
        <v>2.6401395705295456E-6</v>
      </c>
      <c r="Q17" s="7">
        <f>$B17 * IFERROR(VLOOKUP("LULUCF|NOx|Cardiovascular hospital admissions", US_national_yearly!$D:$AM, 25, FALSE) / VLOOKUP("LULUCF|NOx|Cardiovascular hospital admissions", US_national_yearly!$D:$AM, 10, FALSE), 1)</f>
        <v>2.6691707654804023E-6</v>
      </c>
      <c r="R17" s="7">
        <f>$B17 * IFERROR(VLOOKUP("LULUCF|NOx|Cardiovascular hospital admissions", US_national_yearly!$D:$AM, 26, FALSE) / VLOOKUP("LULUCF|NOx|Cardiovascular hospital admissions", US_national_yearly!$D:$AM, 10, FALSE), 1)</f>
        <v>2.698201960431259E-6</v>
      </c>
      <c r="S17" s="7">
        <f>$B17 * IFERROR(VLOOKUP("LULUCF|NOx|Cardiovascular hospital admissions", US_national_yearly!$D:$AM, 27, FALSE) / VLOOKUP("LULUCF|NOx|Cardiovascular hospital admissions", US_national_yearly!$D:$AM, 10, FALSE), 1)</f>
        <v>2.7114480974767663E-6</v>
      </c>
      <c r="T17" s="7">
        <f>$B17 * IFERROR(VLOOKUP("LULUCF|NOx|Cardiovascular hospital admissions", US_national_yearly!$D:$AM, 28, FALSE) / VLOOKUP("LULUCF|NOx|Cardiovascular hospital admissions", US_national_yearly!$D:$AM, 10, FALSE), 1)</f>
        <v>2.7246942345222737E-6</v>
      </c>
      <c r="U17" s="7">
        <f>$B17 * IFERROR(VLOOKUP("LULUCF|NOx|Cardiovascular hospital admissions", US_national_yearly!$D:$AM, 29, FALSE) / VLOOKUP("LULUCF|NOx|Cardiovascular hospital admissions", US_national_yearly!$D:$AM, 10, FALSE), 1)</f>
        <v>2.7379403715677807E-6</v>
      </c>
      <c r="V17" s="7">
        <f>$B17 * IFERROR(VLOOKUP("LULUCF|NOx|Cardiovascular hospital admissions", US_national_yearly!$D:$AM, 30, FALSE) / VLOOKUP("LULUCF|NOx|Cardiovascular hospital admissions", US_national_yearly!$D:$AM, 10, FALSE), 1)</f>
        <v>2.7511865086132881E-6</v>
      </c>
      <c r="W17" s="7">
        <f>$B17 * IFERROR(VLOOKUP("LULUCF|NOx|Cardiovascular hospital admissions", US_national_yearly!$D:$AM, 31, FALSE) / VLOOKUP("LULUCF|NOx|Cardiovascular hospital admissions", US_national_yearly!$D:$AM, 10, FALSE), 1)</f>
        <v>2.7644326456587954E-6</v>
      </c>
      <c r="X17" s="7">
        <f>$B17 * IFERROR(VLOOKUP("LULUCF|NOx|Cardiovascular hospital admissions", US_national_yearly!$D:$AM, 32, FALSE) / VLOOKUP("LULUCF|NOx|Cardiovascular hospital admissions", US_national_yearly!$D:$AM, 10, FALSE), 1)</f>
        <v>2.7718045801630898E-6</v>
      </c>
      <c r="Y17" s="7">
        <f>$B17 * IFERROR(VLOOKUP("LULUCF|NOx|Cardiovascular hospital admissions", US_national_yearly!$D:$AM, 33, FALSE) / VLOOKUP("LULUCF|NOx|Cardiovascular hospital admissions", US_national_yearly!$D:$AM, 10, FALSE), 1)</f>
        <v>2.7791765146673842E-6</v>
      </c>
      <c r="Z17" s="7">
        <f>$B17 * IFERROR(VLOOKUP("LULUCF|NOx|Cardiovascular hospital admissions", US_national_yearly!$D:$AM, 34, FALSE) / VLOOKUP("LULUCF|NOx|Cardiovascular hospital admissions", US_national_yearly!$D:$AM, 10, FALSE), 1)</f>
        <v>2.7865484491716786E-6</v>
      </c>
      <c r="AA17" s="7">
        <f>$B17 * IFERROR(VLOOKUP("LULUCF|NOx|Cardiovascular hospital admissions", US_national_yearly!$D:$AM, 35, FALSE) / VLOOKUP("LULUCF|NOx|Cardiovascular hospital admissions", US_national_yearly!$D:$AM, 10, FALSE), 1)</f>
        <v>2.7939203836759729E-6</v>
      </c>
      <c r="AB17" s="7">
        <f>$B17 * IFERROR(VLOOKUP("LULUCF|NOx|Cardiovascular hospital admissions", US_national_yearly!$D:$AM, 36, FALSE) / VLOOKUP("LULUCF|NOx|Cardiovascular hospital admissions", US_national_yearly!$D:$AM, 10, FALSE), 1)</f>
        <v>2.8012923181802673E-6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2.6974489480226058E-5</v>
      </c>
      <c r="C2" s="7">
        <f>$B2 * IFERROR(VLOOKUP("LULUCF|SO2|Premature mortality", US_national_yearly!$D:$AM, 11, FALSE) / VLOOKUP("LULUCF|SO2|Premature mortality", US_national_yearly!$D:$AM, 10, FALSE), 1)</f>
        <v>2.7316106794556323E-5</v>
      </c>
      <c r="D2" s="7">
        <f>$B2 * IFERROR(VLOOKUP("LULUCF|SO2|Premature mortality", US_national_yearly!$D:$AM, 12, FALSE) / VLOOKUP("LULUCF|SO2|Premature mortality", US_national_yearly!$D:$AM, 10, FALSE), 1)</f>
        <v>2.7657724108886594E-5</v>
      </c>
      <c r="E2" s="7">
        <f>$B2 * IFERROR(VLOOKUP("LULUCF|SO2|Premature mortality", US_national_yearly!$D:$AM, 13, FALSE) / VLOOKUP("LULUCF|SO2|Premature mortality", US_national_yearly!$D:$AM, 10, FALSE), 1)</f>
        <v>2.7999341423216855E-5</v>
      </c>
      <c r="F2" s="7">
        <f>$B2 * IFERROR(VLOOKUP("LULUCF|SO2|Premature mortality", US_national_yearly!$D:$AM, 14, FALSE) / VLOOKUP("LULUCF|SO2|Premature mortality", US_national_yearly!$D:$AM, 10, FALSE), 1)</f>
        <v>2.8340958737547119E-5</v>
      </c>
      <c r="G2" s="7">
        <f>$B2 * IFERROR(VLOOKUP("LULUCF|SO2|Premature mortality", US_national_yearly!$D:$AM, 15, FALSE) / VLOOKUP("LULUCF|SO2|Premature mortality", US_national_yearly!$D:$AM, 10, FALSE), 1)</f>
        <v>2.8999235941492514E-5</v>
      </c>
      <c r="H2" s="7">
        <f>$B2 * IFERROR(VLOOKUP("LULUCF|SO2|Premature mortality", US_national_yearly!$D:$AM, 16, FALSE) / VLOOKUP("LULUCF|SO2|Premature mortality", US_national_yearly!$D:$AM, 10, FALSE), 1)</f>
        <v>2.9657513145437899E-5</v>
      </c>
      <c r="I2" s="7">
        <f>$B2 * IFERROR(VLOOKUP("LULUCF|SO2|Premature mortality", US_national_yearly!$D:$AM, 17, FALSE) / VLOOKUP("LULUCF|SO2|Premature mortality", US_national_yearly!$D:$AM, 10, FALSE), 1)</f>
        <v>3.0092543057095199E-5</v>
      </c>
      <c r="J2" s="7">
        <f>$B2 * IFERROR(VLOOKUP("LULUCF|SO2|Premature mortality", US_national_yearly!$D:$AM, 18, FALSE) / VLOOKUP("LULUCF|SO2|Premature mortality", US_national_yearly!$D:$AM, 10, FALSE), 1)</f>
        <v>3.0527572968752496E-5</v>
      </c>
      <c r="K2" s="7">
        <f>$B2 * IFERROR(VLOOKUP("LULUCF|SO2|Premature mortality", US_national_yearly!$D:$AM, 19, FALSE) / VLOOKUP("LULUCF|SO2|Premature mortality", US_national_yearly!$D:$AM, 10, FALSE), 1)</f>
        <v>3.0962602880409785E-5</v>
      </c>
      <c r="L2" s="7">
        <f>$B2 * IFERROR(VLOOKUP("LULUCF|SO2|Premature mortality", US_national_yearly!$D:$AM, 20, FALSE) / VLOOKUP("LULUCF|SO2|Premature mortality", US_national_yearly!$D:$AM, 10, FALSE), 1)</f>
        <v>3.1397632792067089E-5</v>
      </c>
      <c r="M2" s="7">
        <f>$B2 * IFERROR(VLOOKUP("LULUCF|SO2|Premature mortality", US_national_yearly!$D:$AM, 21, FALSE) / VLOOKUP("LULUCF|SO2|Premature mortality", US_national_yearly!$D:$AM, 10, FALSE), 1)</f>
        <v>3.1832662703724385E-5</v>
      </c>
      <c r="N2" s="7">
        <f>$B2 * IFERROR(VLOOKUP("LULUCF|SO2|Premature mortality", US_national_yearly!$D:$AM, 22, FALSE) / VLOOKUP("LULUCF|SO2|Premature mortality", US_national_yearly!$D:$AM, 10, FALSE), 1)</f>
        <v>3.2172571479484784E-5</v>
      </c>
      <c r="O2" s="7">
        <f>$B2 * IFERROR(VLOOKUP("LULUCF|SO2|Premature mortality", US_national_yearly!$D:$AM, 23, FALSE) / VLOOKUP("LULUCF|SO2|Premature mortality", US_national_yearly!$D:$AM, 10, FALSE), 1)</f>
        <v>3.2512480255245175E-5</v>
      </c>
      <c r="P2" s="7">
        <f>$B2 * IFERROR(VLOOKUP("LULUCF|SO2|Premature mortality", US_national_yearly!$D:$AM, 24, FALSE) / VLOOKUP("LULUCF|SO2|Premature mortality", US_national_yearly!$D:$AM, 10, FALSE), 1)</f>
        <v>3.2852389031005574E-5</v>
      </c>
      <c r="Q2" s="7">
        <f>$B2 * IFERROR(VLOOKUP("LULUCF|SO2|Premature mortality", US_national_yearly!$D:$AM, 25, FALSE) / VLOOKUP("LULUCF|SO2|Premature mortality", US_national_yearly!$D:$AM, 10, FALSE), 1)</f>
        <v>3.3192297806765972E-5</v>
      </c>
      <c r="R2" s="7">
        <f>$B2 * IFERROR(VLOOKUP("LULUCF|SO2|Premature mortality", US_national_yearly!$D:$AM, 26, FALSE) / VLOOKUP("LULUCF|SO2|Premature mortality", US_national_yearly!$D:$AM, 10, FALSE), 1)</f>
        <v>3.3532206582526364E-5</v>
      </c>
      <c r="S2" s="7">
        <f>$B2 * IFERROR(VLOOKUP("LULUCF|SO2|Premature mortality", US_national_yearly!$D:$AM, 27, FALSE) / VLOOKUP("LULUCF|SO2|Premature mortality", US_national_yearly!$D:$AM, 10, FALSE), 1)</f>
        <v>3.3714232257899134E-5</v>
      </c>
      <c r="T2" s="7">
        <f>$B2 * IFERROR(VLOOKUP("LULUCF|SO2|Premature mortality", US_national_yearly!$D:$AM, 28, FALSE) / VLOOKUP("LULUCF|SO2|Premature mortality", US_national_yearly!$D:$AM, 10, FALSE), 1)</f>
        <v>3.3896257933271898E-5</v>
      </c>
      <c r="U2" s="7">
        <f>$B2 * IFERROR(VLOOKUP("LULUCF|SO2|Premature mortality", US_national_yearly!$D:$AM, 29, FALSE) / VLOOKUP("LULUCF|SO2|Premature mortality", US_national_yearly!$D:$AM, 10, FALSE), 1)</f>
        <v>3.4078283608644661E-5</v>
      </c>
      <c r="V2" s="7">
        <f>$B2 * IFERROR(VLOOKUP("LULUCF|SO2|Premature mortality", US_national_yearly!$D:$AM, 30, FALSE) / VLOOKUP("LULUCF|SO2|Premature mortality", US_national_yearly!$D:$AM, 10, FALSE), 1)</f>
        <v>3.4260309284017424E-5</v>
      </c>
      <c r="W2" s="7">
        <f>$B2 * IFERROR(VLOOKUP("LULUCF|SO2|Premature mortality", US_national_yearly!$D:$AM, 31, FALSE) / VLOOKUP("LULUCF|SO2|Premature mortality", US_national_yearly!$D:$AM, 10, FALSE), 1)</f>
        <v>3.4442334959390194E-5</v>
      </c>
      <c r="X2" s="7">
        <f>$B2 * IFERROR(VLOOKUP("LULUCF|SO2|Premature mortality", US_national_yearly!$D:$AM, 32, FALSE) / VLOOKUP("LULUCF|SO2|Premature mortality", US_national_yearly!$D:$AM, 10, FALSE), 1)</f>
        <v>3.4479314032116838E-5</v>
      </c>
      <c r="Y2" s="7">
        <f>$B2 * IFERROR(VLOOKUP("LULUCF|SO2|Premature mortality", US_national_yearly!$D:$AM, 33, FALSE) / VLOOKUP("LULUCF|SO2|Premature mortality", US_national_yearly!$D:$AM, 10, FALSE), 1)</f>
        <v>3.451629310484349E-5</v>
      </c>
      <c r="Z2" s="7">
        <f>$B2 * IFERROR(VLOOKUP("LULUCF|SO2|Premature mortality", US_national_yearly!$D:$AM, 34, FALSE) / VLOOKUP("LULUCF|SO2|Premature mortality", US_national_yearly!$D:$AM, 10, FALSE), 1)</f>
        <v>3.4553272177570141E-5</v>
      </c>
      <c r="AA2" s="7">
        <f>$B2 * IFERROR(VLOOKUP("LULUCF|SO2|Premature mortality", US_national_yearly!$D:$AM, 35, FALSE) / VLOOKUP("LULUCF|SO2|Premature mortality", US_national_yearly!$D:$AM, 10, FALSE), 1)</f>
        <v>3.4590251250296792E-5</v>
      </c>
      <c r="AB2" s="7">
        <f>$B2 * IFERROR(VLOOKUP("LULUCF|SO2|Premature mortality", US_national_yearly!$D:$AM, 36, FALSE) / VLOOKUP("LULUCF|SO2|Premature mortality", US_national_yearly!$D:$AM, 10, FALSE), 1)</f>
        <v>3.4627230323023436E-5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7.1558603852889692E-8</v>
      </c>
      <c r="C3" s="7">
        <f>$B3 * IFERROR(VLOOKUP("LULUCF|SO2|Infant mortality", US_national_yearly!$D:$AM, 11, FALSE) / VLOOKUP("LULUCF|SO2|Infant mortality", US_national_yearly!$D:$AM, 10, FALSE), 1)</f>
        <v>7.0943902393105375E-8</v>
      </c>
      <c r="D3" s="7">
        <f>$B3 * IFERROR(VLOOKUP("LULUCF|SO2|Infant mortality", US_national_yearly!$D:$AM, 12, FALSE) / VLOOKUP("LULUCF|SO2|Infant mortality", US_national_yearly!$D:$AM, 10, FALSE), 1)</f>
        <v>7.0329200933321072E-8</v>
      </c>
      <c r="E3" s="7">
        <f>$B3 * IFERROR(VLOOKUP("LULUCF|SO2|Infant mortality", US_national_yearly!$D:$AM, 13, FALSE) / VLOOKUP("LULUCF|SO2|Infant mortality", US_national_yearly!$D:$AM, 10, FALSE), 1)</f>
        <v>6.9714499473536742E-8</v>
      </c>
      <c r="F3" s="7">
        <f>$B3 * IFERROR(VLOOKUP("LULUCF|SO2|Infant mortality", US_national_yearly!$D:$AM, 14, FALSE) / VLOOKUP("LULUCF|SO2|Infant mortality", US_national_yearly!$D:$AM, 10, FALSE), 1)</f>
        <v>6.9099798013752439E-8</v>
      </c>
      <c r="G3" s="7">
        <f>$B3 * IFERROR(VLOOKUP("LULUCF|SO2|Infant mortality", US_national_yearly!$D:$AM, 15, FALSE) / VLOOKUP("LULUCF|SO2|Infant mortality", US_national_yearly!$D:$AM, 10, FALSE), 1)</f>
        <v>4.6026030884116573E-8</v>
      </c>
      <c r="H3" s="7">
        <f>$B3 * IFERROR(VLOOKUP("LULUCF|SO2|Infant mortality", US_national_yearly!$D:$AM, 16, FALSE) / VLOOKUP("LULUCF|SO2|Infant mortality", US_national_yearly!$D:$AM, 10, FALSE), 1)</f>
        <v>2.2952263754480751E-8</v>
      </c>
      <c r="I3" s="7">
        <f>$B3 * IFERROR(VLOOKUP("LULUCF|SO2|Infant mortality", US_national_yearly!$D:$AM, 17, FALSE) / VLOOKUP("LULUCF|SO2|Infant mortality", US_national_yearly!$D:$AM, 10, FALSE), 1)</f>
        <v>2.2808277272960315E-8</v>
      </c>
      <c r="J3" s="7">
        <f>$B3 * IFERROR(VLOOKUP("LULUCF|SO2|Infant mortality", US_national_yearly!$D:$AM, 18, FALSE) / VLOOKUP("LULUCF|SO2|Infant mortality", US_national_yearly!$D:$AM, 10, FALSE), 1)</f>
        <v>2.2664290791439879E-8</v>
      </c>
      <c r="K3" s="7">
        <f>$B3 * IFERROR(VLOOKUP("LULUCF|SO2|Infant mortality", US_national_yearly!$D:$AM, 19, FALSE) / VLOOKUP("LULUCF|SO2|Infant mortality", US_national_yearly!$D:$AM, 10, FALSE), 1)</f>
        <v>2.2520304309919446E-8</v>
      </c>
      <c r="L3" s="7">
        <f>$B3 * IFERROR(VLOOKUP("LULUCF|SO2|Infant mortality", US_national_yearly!$D:$AM, 20, FALSE) / VLOOKUP("LULUCF|SO2|Infant mortality", US_national_yearly!$D:$AM, 10, FALSE), 1)</f>
        <v>2.2376317828399013E-8</v>
      </c>
      <c r="M3" s="7">
        <f>$B3 * IFERROR(VLOOKUP("LULUCF|SO2|Infant mortality", US_national_yearly!$D:$AM, 21, FALSE) / VLOOKUP("LULUCF|SO2|Infant mortality", US_national_yearly!$D:$AM, 10, FALSE), 1)</f>
        <v>2.223233134687858E-8</v>
      </c>
      <c r="N3" s="7">
        <f>$B3 * IFERROR(VLOOKUP("LULUCF|SO2|Infant mortality", US_national_yearly!$D:$AM, 22, FALSE) / VLOOKUP("LULUCF|SO2|Infant mortality", US_national_yearly!$D:$AM, 10, FALSE), 1)</f>
        <v>2.2141952110406356E-8</v>
      </c>
      <c r="O3" s="7">
        <f>$B3 * IFERROR(VLOOKUP("LULUCF|SO2|Infant mortality", US_national_yearly!$D:$AM, 23, FALSE) / VLOOKUP("LULUCF|SO2|Infant mortality", US_national_yearly!$D:$AM, 10, FALSE), 1)</f>
        <v>2.2051572873934132E-8</v>
      </c>
      <c r="P3" s="7">
        <f>$B3 * IFERROR(VLOOKUP("LULUCF|SO2|Infant mortality", US_national_yearly!$D:$AM, 24, FALSE) / VLOOKUP("LULUCF|SO2|Infant mortality", US_national_yearly!$D:$AM, 10, FALSE), 1)</f>
        <v>2.1961193637461904E-8</v>
      </c>
      <c r="Q3" s="7">
        <f>$B3 * IFERROR(VLOOKUP("LULUCF|SO2|Infant mortality", US_national_yearly!$D:$AM, 25, FALSE) / VLOOKUP("LULUCF|SO2|Infant mortality", US_national_yearly!$D:$AM, 10, FALSE), 1)</f>
        <v>2.187081440098968E-8</v>
      </c>
      <c r="R3" s="7">
        <f>$B3 * IFERROR(VLOOKUP("LULUCF|SO2|Infant mortality", US_national_yearly!$D:$AM, 26, FALSE) / VLOOKUP("LULUCF|SO2|Infant mortality", US_national_yearly!$D:$AM, 10, FALSE), 1)</f>
        <v>2.1780435164517449E-8</v>
      </c>
      <c r="S3" s="7">
        <f>$B3 * IFERROR(VLOOKUP("LULUCF|SO2|Infant mortality", US_national_yearly!$D:$AM, 27, FALSE) / VLOOKUP("LULUCF|SO2|Infant mortality", US_national_yearly!$D:$AM, 10, FALSE), 1)</f>
        <v>2.1666958527105626E-8</v>
      </c>
      <c r="T3" s="7">
        <f>$B3 * IFERROR(VLOOKUP("LULUCF|SO2|Infant mortality", US_national_yearly!$D:$AM, 28, FALSE) / VLOOKUP("LULUCF|SO2|Infant mortality", US_national_yearly!$D:$AM, 10, FALSE), 1)</f>
        <v>2.15534818896938E-8</v>
      </c>
      <c r="U3" s="7">
        <f>$B3 * IFERROR(VLOOKUP("LULUCF|SO2|Infant mortality", US_national_yearly!$D:$AM, 29, FALSE) / VLOOKUP("LULUCF|SO2|Infant mortality", US_national_yearly!$D:$AM, 10, FALSE), 1)</f>
        <v>2.1440005252281968E-8</v>
      </c>
      <c r="V3" s="7">
        <f>$B3 * IFERROR(VLOOKUP("LULUCF|SO2|Infant mortality", US_national_yearly!$D:$AM, 30, FALSE) / VLOOKUP("LULUCF|SO2|Infant mortality", US_national_yearly!$D:$AM, 10, FALSE), 1)</f>
        <v>2.1326528614870148E-8</v>
      </c>
      <c r="W3" s="7">
        <f>$B3 * IFERROR(VLOOKUP("LULUCF|SO2|Infant mortality", US_national_yearly!$D:$AM, 31, FALSE) / VLOOKUP("LULUCF|SO2|Infant mortality", US_national_yearly!$D:$AM, 10, FALSE), 1)</f>
        <v>2.1213051977458319E-8</v>
      </c>
      <c r="X3" s="7">
        <f>$B3 * IFERROR(VLOOKUP("LULUCF|SO2|Infant mortality", US_national_yearly!$D:$AM, 32, FALSE) / VLOOKUP("LULUCF|SO2|Infant mortality", US_national_yearly!$D:$AM, 10, FALSE), 1)</f>
        <v>2.1088986985698421E-8</v>
      </c>
      <c r="Y3" s="7">
        <f>$B3 * IFERROR(VLOOKUP("LULUCF|SO2|Infant mortality", US_national_yearly!$D:$AM, 33, FALSE) / VLOOKUP("LULUCF|SO2|Infant mortality", US_national_yearly!$D:$AM, 10, FALSE), 1)</f>
        <v>2.0964921993938521E-8</v>
      </c>
      <c r="Z3" s="7">
        <f>$B3 * IFERROR(VLOOKUP("LULUCF|SO2|Infant mortality", US_national_yearly!$D:$AM, 34, FALSE) / VLOOKUP("LULUCF|SO2|Infant mortality", US_national_yearly!$D:$AM, 10, FALSE), 1)</f>
        <v>2.0840857002178624E-8</v>
      </c>
      <c r="AA3" s="7">
        <f>$B3 * IFERROR(VLOOKUP("LULUCF|SO2|Infant mortality", US_national_yearly!$D:$AM, 35, FALSE) / VLOOKUP("LULUCF|SO2|Infant mortality", US_national_yearly!$D:$AM, 10, FALSE), 1)</f>
        <v>2.0716792010418723E-8</v>
      </c>
      <c r="AB3" s="7">
        <f>$B3 * IFERROR(VLOOKUP("LULUCF|SO2|Infant mortality", US_national_yearly!$D:$AM, 36, FALSE) / VLOOKUP("LULUCF|SO2|Infant mortality", US_national_yearly!$D:$AM, 10, FALSE), 1)</f>
        <v>2.0592727018658826E-8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8.3313411810228245E-5</v>
      </c>
      <c r="C6" s="7">
        <f>$B6 * IFERROR(VLOOKUP("LULUCF|SO2|Asthma symptoms cough", US_national_yearly!$D:$AM, 11, FALSE) / VLOOKUP("LULUCF|SO2|Asthma symptoms cough", US_national_yearly!$D:$AM, 10, FALSE), 1)</f>
        <v>8.3313411810228245E-5</v>
      </c>
      <c r="D6" s="7">
        <f>$B6 * IFERROR(VLOOKUP("LULUCF|SO2|Asthma symptoms cough", US_national_yearly!$D:$AM, 12, FALSE) / VLOOKUP("LULUCF|SO2|Asthma symptoms cough", US_national_yearly!$D:$AM, 10, FALSE), 1)</f>
        <v>8.3313411810228245E-5</v>
      </c>
      <c r="E6" s="7">
        <f>$B6 * IFERROR(VLOOKUP("LULUCF|SO2|Asthma symptoms cough", US_national_yearly!$D:$AM, 13, FALSE) / VLOOKUP("LULUCF|SO2|Asthma symptoms cough", US_national_yearly!$D:$AM, 10, FALSE), 1)</f>
        <v>8.3313411810228245E-5</v>
      </c>
      <c r="F6" s="7">
        <f>$B6 * IFERROR(VLOOKUP("LULUCF|SO2|Asthma symptoms cough", US_national_yearly!$D:$AM, 14, FALSE) / VLOOKUP("LULUCF|SO2|Asthma symptoms cough", US_national_yearly!$D:$AM, 10, FALSE), 1)</f>
        <v>8.3313411810228245E-5</v>
      </c>
      <c r="G6" s="7">
        <f>$B6 * IFERROR(VLOOKUP("LULUCF|SO2|Asthma symptoms cough", US_national_yearly!$D:$AM, 15, FALSE) / VLOOKUP("LULUCF|SO2|Asthma symptoms cough", US_national_yearly!$D:$AM, 10, FALSE), 1)</f>
        <v>8.3313411810228245E-5</v>
      </c>
      <c r="H6" s="7">
        <f>$B6 * IFERROR(VLOOKUP("LULUCF|SO2|Asthma symptoms cough", US_national_yearly!$D:$AM, 16, FALSE) / VLOOKUP("LULUCF|SO2|Asthma symptoms cough", US_national_yearly!$D:$AM, 10, FALSE), 1)</f>
        <v>8.3313411810228245E-5</v>
      </c>
      <c r="I6" s="7">
        <f>$B6 * IFERROR(VLOOKUP("LULUCF|SO2|Asthma symptoms cough", US_national_yearly!$D:$AM, 17, FALSE) / VLOOKUP("LULUCF|SO2|Asthma symptoms cough", US_national_yearly!$D:$AM, 10, FALSE), 1)</f>
        <v>8.3313411810228245E-5</v>
      </c>
      <c r="J6" s="7">
        <f>$B6 * IFERROR(VLOOKUP("LULUCF|SO2|Asthma symptoms cough", US_national_yearly!$D:$AM, 18, FALSE) / VLOOKUP("LULUCF|SO2|Asthma symptoms cough", US_national_yearly!$D:$AM, 10, FALSE), 1)</f>
        <v>8.3313411810228245E-5</v>
      </c>
      <c r="K6" s="7">
        <f>$B6 * IFERROR(VLOOKUP("LULUCF|SO2|Asthma symptoms cough", US_national_yearly!$D:$AM, 19, FALSE) / VLOOKUP("LULUCF|SO2|Asthma symptoms cough", US_national_yearly!$D:$AM, 10, FALSE), 1)</f>
        <v>8.3313411810228245E-5</v>
      </c>
      <c r="L6" s="7">
        <f>$B6 * IFERROR(VLOOKUP("LULUCF|SO2|Asthma symptoms cough", US_national_yearly!$D:$AM, 20, FALSE) / VLOOKUP("LULUCF|SO2|Asthma symptoms cough", US_national_yearly!$D:$AM, 10, FALSE), 1)</f>
        <v>8.3313411810228245E-5</v>
      </c>
      <c r="M6" s="7">
        <f>$B6 * IFERROR(VLOOKUP("LULUCF|SO2|Asthma symptoms cough", US_national_yearly!$D:$AM, 21, FALSE) / VLOOKUP("LULUCF|SO2|Asthma symptoms cough", US_national_yearly!$D:$AM, 10, FALSE), 1)</f>
        <v>8.3313411810228245E-5</v>
      </c>
      <c r="N6" s="7">
        <f>$B6 * IFERROR(VLOOKUP("LULUCF|SO2|Asthma symptoms cough", US_national_yearly!$D:$AM, 22, FALSE) / VLOOKUP("LULUCF|SO2|Asthma symptoms cough", US_national_yearly!$D:$AM, 10, FALSE), 1)</f>
        <v>8.3313411810228245E-5</v>
      </c>
      <c r="O6" s="7">
        <f>$B6 * IFERROR(VLOOKUP("LULUCF|SO2|Asthma symptoms cough", US_national_yearly!$D:$AM, 23, FALSE) / VLOOKUP("LULUCF|SO2|Asthma symptoms cough", US_national_yearly!$D:$AM, 10, FALSE), 1)</f>
        <v>8.3313411810228245E-5</v>
      </c>
      <c r="P6" s="7">
        <f>$B6 * IFERROR(VLOOKUP("LULUCF|SO2|Asthma symptoms cough", US_national_yearly!$D:$AM, 24, FALSE) / VLOOKUP("LULUCF|SO2|Asthma symptoms cough", US_national_yearly!$D:$AM, 10, FALSE), 1)</f>
        <v>8.3313411810228245E-5</v>
      </c>
      <c r="Q6" s="7">
        <f>$B6 * IFERROR(VLOOKUP("LULUCF|SO2|Asthma symptoms cough", US_national_yearly!$D:$AM, 25, FALSE) / VLOOKUP("LULUCF|SO2|Asthma symptoms cough", US_national_yearly!$D:$AM, 10, FALSE), 1)</f>
        <v>8.3313411810228245E-5</v>
      </c>
      <c r="R6" s="7">
        <f>$B6 * IFERROR(VLOOKUP("LULUCF|SO2|Asthma symptoms cough", US_national_yearly!$D:$AM, 26, FALSE) / VLOOKUP("LULUCF|SO2|Asthma symptoms cough", US_national_yearly!$D:$AM, 10, FALSE), 1)</f>
        <v>8.3313411810228245E-5</v>
      </c>
      <c r="S6" s="7">
        <f>$B6 * IFERROR(VLOOKUP("LULUCF|SO2|Asthma symptoms cough", US_national_yearly!$D:$AM, 27, FALSE) / VLOOKUP("LULUCF|SO2|Asthma symptoms cough", US_national_yearly!$D:$AM, 10, FALSE), 1)</f>
        <v>8.3313411810228245E-5</v>
      </c>
      <c r="T6" s="7">
        <f>$B6 * IFERROR(VLOOKUP("LULUCF|SO2|Asthma symptoms cough", US_national_yearly!$D:$AM, 28, FALSE) / VLOOKUP("LULUCF|SO2|Asthma symptoms cough", US_national_yearly!$D:$AM, 10, FALSE), 1)</f>
        <v>8.3313411810228245E-5</v>
      </c>
      <c r="U6" s="7">
        <f>$B6 * IFERROR(VLOOKUP("LULUCF|SO2|Asthma symptoms cough", US_national_yearly!$D:$AM, 29, FALSE) / VLOOKUP("LULUCF|SO2|Asthma symptoms cough", US_national_yearly!$D:$AM, 10, FALSE), 1)</f>
        <v>8.3313411810228245E-5</v>
      </c>
      <c r="V6" s="7">
        <f>$B6 * IFERROR(VLOOKUP("LULUCF|SO2|Asthma symptoms cough", US_national_yearly!$D:$AM, 30, FALSE) / VLOOKUP("LULUCF|SO2|Asthma symptoms cough", US_national_yearly!$D:$AM, 10, FALSE), 1)</f>
        <v>8.3313411810228245E-5</v>
      </c>
      <c r="W6" s="7">
        <f>$B6 * IFERROR(VLOOKUP("LULUCF|SO2|Asthma symptoms cough", US_national_yearly!$D:$AM, 31, FALSE) / VLOOKUP("LULUCF|SO2|Asthma symptoms cough", US_national_yearly!$D:$AM, 10, FALSE), 1)</f>
        <v>8.3313411810228245E-5</v>
      </c>
      <c r="X6" s="7">
        <f>$B6 * IFERROR(VLOOKUP("LULUCF|SO2|Asthma symptoms cough", US_national_yearly!$D:$AM, 32, FALSE) / VLOOKUP("LULUCF|SO2|Asthma symptoms cough", US_national_yearly!$D:$AM, 10, FALSE), 1)</f>
        <v>8.3313411810228245E-5</v>
      </c>
      <c r="Y6" s="7">
        <f>$B6 * IFERROR(VLOOKUP("LULUCF|SO2|Asthma symptoms cough", US_national_yearly!$D:$AM, 33, FALSE) / VLOOKUP("LULUCF|SO2|Asthma symptoms cough", US_national_yearly!$D:$AM, 10, FALSE), 1)</f>
        <v>8.3313411810228245E-5</v>
      </c>
      <c r="Z6" s="7">
        <f>$B6 * IFERROR(VLOOKUP("LULUCF|SO2|Asthma symptoms cough", US_national_yearly!$D:$AM, 34, FALSE) / VLOOKUP("LULUCF|SO2|Asthma symptoms cough", US_national_yearly!$D:$AM, 10, FALSE), 1)</f>
        <v>8.3313411810228245E-5</v>
      </c>
      <c r="AA6" s="7">
        <f>$B6 * IFERROR(VLOOKUP("LULUCF|SO2|Asthma symptoms cough", US_national_yearly!$D:$AM, 35, FALSE) / VLOOKUP("LULUCF|SO2|Asthma symptoms cough", US_national_yearly!$D:$AM, 10, FALSE), 1)</f>
        <v>8.3313411810228245E-5</v>
      </c>
      <c r="AB6" s="7">
        <f>$B6 * IFERROR(VLOOKUP("LULUCF|SO2|Asthma symptoms cough", US_national_yearly!$D:$AM, 36, FALSE) / VLOOKUP("LULUCF|SO2|Asthma symptoms cough", US_national_yearly!$D:$AM, 10, FALSE), 1)</f>
        <v>8.3313411810228245E-5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1.121936990282917E-4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1.121936990282917E-4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1.121936990282917E-4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1.121936990282917E-4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1.121936990282917E-4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1.121936990282917E-4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1.121936990282917E-4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1.121936990282917E-4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1.121936990282917E-4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1.121936990282917E-4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1.121936990282917E-4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1.121936990282917E-4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1.121936990282917E-4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1.121936990282917E-4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1.121936990282917E-4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1.121936990282917E-4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1.121936990282917E-4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1.121936990282917E-4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1.121936990282917E-4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1.121936990282917E-4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1.121936990282917E-4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1.121936990282917E-4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1.121936990282917E-4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1.121936990282917E-4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1.121936990282917E-4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1.121936990282917E-4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1.121936990282917E-4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1.7141259753659943E-4</v>
      </c>
      <c r="C8" s="7">
        <f>$B8 * IFERROR(VLOOKUP("LULUCF|SO2|Asthma symptoms wheeze", US_national_yearly!$D:$AM, 11, FALSE) / VLOOKUP("LULUCF|SO2|Asthma symptoms wheeze", US_national_yearly!$D:$AM, 10, FALSE), 1)</f>
        <v>1.7141259753659943E-4</v>
      </c>
      <c r="D8" s="7">
        <f>$B8 * IFERROR(VLOOKUP("LULUCF|SO2|Asthma symptoms wheeze", US_national_yearly!$D:$AM, 12, FALSE) / VLOOKUP("LULUCF|SO2|Asthma symptoms wheeze", US_national_yearly!$D:$AM, 10, FALSE), 1)</f>
        <v>1.7141259753659943E-4</v>
      </c>
      <c r="E8" s="7">
        <f>$B8 * IFERROR(VLOOKUP("LULUCF|SO2|Asthma symptoms wheeze", US_national_yearly!$D:$AM, 13, FALSE) / VLOOKUP("LULUCF|SO2|Asthma symptoms wheeze", US_national_yearly!$D:$AM, 10, FALSE), 1)</f>
        <v>1.7141259753659943E-4</v>
      </c>
      <c r="F8" s="7">
        <f>$B8 * IFERROR(VLOOKUP("LULUCF|SO2|Asthma symptoms wheeze", US_national_yearly!$D:$AM, 14, FALSE) / VLOOKUP("LULUCF|SO2|Asthma symptoms wheeze", US_national_yearly!$D:$AM, 10, FALSE), 1)</f>
        <v>1.7141259753659943E-4</v>
      </c>
      <c r="G8" s="7">
        <f>$B8 * IFERROR(VLOOKUP("LULUCF|SO2|Asthma symptoms wheeze", US_national_yearly!$D:$AM, 15, FALSE) / VLOOKUP("LULUCF|SO2|Asthma symptoms wheeze", US_national_yearly!$D:$AM, 10, FALSE), 1)</f>
        <v>1.7141259753659943E-4</v>
      </c>
      <c r="H8" s="7">
        <f>$B8 * IFERROR(VLOOKUP("LULUCF|SO2|Asthma symptoms wheeze", US_national_yearly!$D:$AM, 16, FALSE) / VLOOKUP("LULUCF|SO2|Asthma symptoms wheeze", US_national_yearly!$D:$AM, 10, FALSE), 1)</f>
        <v>1.7141259753659943E-4</v>
      </c>
      <c r="I8" s="7">
        <f>$B8 * IFERROR(VLOOKUP("LULUCF|SO2|Asthma symptoms wheeze", US_national_yearly!$D:$AM, 17, FALSE) / VLOOKUP("LULUCF|SO2|Asthma symptoms wheeze", US_national_yearly!$D:$AM, 10, FALSE), 1)</f>
        <v>1.7141259753659943E-4</v>
      </c>
      <c r="J8" s="7">
        <f>$B8 * IFERROR(VLOOKUP("LULUCF|SO2|Asthma symptoms wheeze", US_national_yearly!$D:$AM, 18, FALSE) / VLOOKUP("LULUCF|SO2|Asthma symptoms wheeze", US_national_yearly!$D:$AM, 10, FALSE), 1)</f>
        <v>1.7141259753659943E-4</v>
      </c>
      <c r="K8" s="7">
        <f>$B8 * IFERROR(VLOOKUP("LULUCF|SO2|Asthma symptoms wheeze", US_national_yearly!$D:$AM, 19, FALSE) / VLOOKUP("LULUCF|SO2|Asthma symptoms wheeze", US_national_yearly!$D:$AM, 10, FALSE), 1)</f>
        <v>1.7141259753659943E-4</v>
      </c>
      <c r="L8" s="7">
        <f>$B8 * IFERROR(VLOOKUP("LULUCF|SO2|Asthma symptoms wheeze", US_national_yearly!$D:$AM, 20, FALSE) / VLOOKUP("LULUCF|SO2|Asthma symptoms wheeze", US_national_yearly!$D:$AM, 10, FALSE), 1)</f>
        <v>1.7141259753659943E-4</v>
      </c>
      <c r="M8" s="7">
        <f>$B8 * IFERROR(VLOOKUP("LULUCF|SO2|Asthma symptoms wheeze", US_national_yearly!$D:$AM, 21, FALSE) / VLOOKUP("LULUCF|SO2|Asthma symptoms wheeze", US_national_yearly!$D:$AM, 10, FALSE), 1)</f>
        <v>1.7141259753659943E-4</v>
      </c>
      <c r="N8" s="7">
        <f>$B8 * IFERROR(VLOOKUP("LULUCF|SO2|Asthma symptoms wheeze", US_national_yearly!$D:$AM, 22, FALSE) / VLOOKUP("LULUCF|SO2|Asthma symptoms wheeze", US_national_yearly!$D:$AM, 10, FALSE), 1)</f>
        <v>1.7141259753659943E-4</v>
      </c>
      <c r="O8" s="7">
        <f>$B8 * IFERROR(VLOOKUP("LULUCF|SO2|Asthma symptoms wheeze", US_national_yearly!$D:$AM, 23, FALSE) / VLOOKUP("LULUCF|SO2|Asthma symptoms wheeze", US_national_yearly!$D:$AM, 10, FALSE), 1)</f>
        <v>1.7141259753659943E-4</v>
      </c>
      <c r="P8" s="7">
        <f>$B8 * IFERROR(VLOOKUP("LULUCF|SO2|Asthma symptoms wheeze", US_national_yearly!$D:$AM, 24, FALSE) / VLOOKUP("LULUCF|SO2|Asthma symptoms wheeze", US_national_yearly!$D:$AM, 10, FALSE), 1)</f>
        <v>1.7141259753659943E-4</v>
      </c>
      <c r="Q8" s="7">
        <f>$B8 * IFERROR(VLOOKUP("LULUCF|SO2|Asthma symptoms wheeze", US_national_yearly!$D:$AM, 25, FALSE) / VLOOKUP("LULUCF|SO2|Asthma symptoms wheeze", US_national_yearly!$D:$AM, 10, FALSE), 1)</f>
        <v>1.7141259753659943E-4</v>
      </c>
      <c r="R8" s="7">
        <f>$B8 * IFERROR(VLOOKUP("LULUCF|SO2|Asthma symptoms wheeze", US_national_yearly!$D:$AM, 26, FALSE) / VLOOKUP("LULUCF|SO2|Asthma symptoms wheeze", US_national_yearly!$D:$AM, 10, FALSE), 1)</f>
        <v>1.7141259753659943E-4</v>
      </c>
      <c r="S8" s="7">
        <f>$B8 * IFERROR(VLOOKUP("LULUCF|SO2|Asthma symptoms wheeze", US_national_yearly!$D:$AM, 27, FALSE) / VLOOKUP("LULUCF|SO2|Asthma symptoms wheeze", US_national_yearly!$D:$AM, 10, FALSE), 1)</f>
        <v>1.7141259753659943E-4</v>
      </c>
      <c r="T8" s="7">
        <f>$B8 * IFERROR(VLOOKUP("LULUCF|SO2|Asthma symptoms wheeze", US_national_yearly!$D:$AM, 28, FALSE) / VLOOKUP("LULUCF|SO2|Asthma symptoms wheeze", US_national_yearly!$D:$AM, 10, FALSE), 1)</f>
        <v>1.7141259753659943E-4</v>
      </c>
      <c r="U8" s="7">
        <f>$B8 * IFERROR(VLOOKUP("LULUCF|SO2|Asthma symptoms wheeze", US_national_yearly!$D:$AM, 29, FALSE) / VLOOKUP("LULUCF|SO2|Asthma symptoms wheeze", US_national_yearly!$D:$AM, 10, FALSE), 1)</f>
        <v>1.7141259753659943E-4</v>
      </c>
      <c r="V8" s="7">
        <f>$B8 * IFERROR(VLOOKUP("LULUCF|SO2|Asthma symptoms wheeze", US_national_yearly!$D:$AM, 30, FALSE) / VLOOKUP("LULUCF|SO2|Asthma symptoms wheeze", US_national_yearly!$D:$AM, 10, FALSE), 1)</f>
        <v>1.7141259753659943E-4</v>
      </c>
      <c r="W8" s="7">
        <f>$B8 * IFERROR(VLOOKUP("LULUCF|SO2|Asthma symptoms wheeze", US_national_yearly!$D:$AM, 31, FALSE) / VLOOKUP("LULUCF|SO2|Asthma symptoms wheeze", US_national_yearly!$D:$AM, 10, FALSE), 1)</f>
        <v>1.7141259753659943E-4</v>
      </c>
      <c r="X8" s="7">
        <f>$B8 * IFERROR(VLOOKUP("LULUCF|SO2|Asthma symptoms wheeze", US_national_yearly!$D:$AM, 32, FALSE) / VLOOKUP("LULUCF|SO2|Asthma symptoms wheeze", US_national_yearly!$D:$AM, 10, FALSE), 1)</f>
        <v>1.7141259753659943E-4</v>
      </c>
      <c r="Y8" s="7">
        <f>$B8 * IFERROR(VLOOKUP("LULUCF|SO2|Asthma symptoms wheeze", US_national_yearly!$D:$AM, 33, FALSE) / VLOOKUP("LULUCF|SO2|Asthma symptoms wheeze", US_national_yearly!$D:$AM, 10, FALSE), 1)</f>
        <v>1.7141259753659943E-4</v>
      </c>
      <c r="Z8" s="7">
        <f>$B8 * IFERROR(VLOOKUP("LULUCF|SO2|Asthma symptoms wheeze", US_national_yearly!$D:$AM, 34, FALSE) / VLOOKUP("LULUCF|SO2|Asthma symptoms wheeze", US_national_yearly!$D:$AM, 10, FALSE), 1)</f>
        <v>1.7141259753659943E-4</v>
      </c>
      <c r="AA8" s="7">
        <f>$B8 * IFERROR(VLOOKUP("LULUCF|SO2|Asthma symptoms wheeze", US_national_yearly!$D:$AM, 35, FALSE) / VLOOKUP("LULUCF|SO2|Asthma symptoms wheeze", US_national_yearly!$D:$AM, 10, FALSE), 1)</f>
        <v>1.7141259753659943E-4</v>
      </c>
      <c r="AB8" s="7">
        <f>$B8 * IFERROR(VLOOKUP("LULUCF|SO2|Asthma symptoms wheeze", US_national_yearly!$D:$AM, 36, FALSE) / VLOOKUP("LULUCF|SO2|Asthma symptoms wheeze", US_national_yearly!$D:$AM, 10, FALSE), 1)</f>
        <v>1.7141259753659943E-4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1.7756883488570846E-6</v>
      </c>
      <c r="C12" s="7">
        <f>$B12 * IFERROR(VLOOKUP("LULUCF|SO2|Respiratory hospital admissions", US_national_yearly!$D:$AM, 11, FALSE) / VLOOKUP("LULUCF|SO2|Respiratory hospital admissions", US_national_yearly!$D:$AM, 10, FALSE), 1)</f>
        <v>1.7861614469812977E-6</v>
      </c>
      <c r="D12" s="7">
        <f>$B12 * IFERROR(VLOOKUP("LULUCF|SO2|Respiratory hospital admissions", US_national_yearly!$D:$AM, 12, FALSE) / VLOOKUP("LULUCF|SO2|Respiratory hospital admissions", US_national_yearly!$D:$AM, 10, FALSE), 1)</f>
        <v>1.7966345451055108E-6</v>
      </c>
      <c r="E12" s="7">
        <f>$B12 * IFERROR(VLOOKUP("LULUCF|SO2|Respiratory hospital admissions", US_national_yearly!$D:$AM, 13, FALSE) / VLOOKUP("LULUCF|SO2|Respiratory hospital admissions", US_national_yearly!$D:$AM, 10, FALSE), 1)</f>
        <v>1.8071076432297239E-6</v>
      </c>
      <c r="F12" s="7">
        <f>$B12 * IFERROR(VLOOKUP("LULUCF|SO2|Respiratory hospital admissions", US_national_yearly!$D:$AM, 14, FALSE) / VLOOKUP("LULUCF|SO2|Respiratory hospital admissions", US_national_yearly!$D:$AM, 10, FALSE), 1)</f>
        <v>1.817580741353937E-6</v>
      </c>
      <c r="G12" s="7">
        <f>$B12 * IFERROR(VLOOKUP("LULUCF|SO2|Respiratory hospital admissions", US_national_yearly!$D:$AM, 15, FALSE) / VLOOKUP("LULUCF|SO2|Respiratory hospital admissions", US_national_yearly!$D:$AM, 10, FALSE), 1)</f>
        <v>1.8289981848172078E-6</v>
      </c>
      <c r="H12" s="7">
        <f>$B12 * IFERROR(VLOOKUP("LULUCF|SO2|Respiratory hospital admissions", US_national_yearly!$D:$AM, 16, FALSE) / VLOOKUP("LULUCF|SO2|Respiratory hospital admissions", US_national_yearly!$D:$AM, 10, FALSE), 1)</f>
        <v>1.8404156282804786E-6</v>
      </c>
      <c r="I12" s="7">
        <f>$B12 * IFERROR(VLOOKUP("LULUCF|SO2|Respiratory hospital admissions", US_national_yearly!$D:$AM, 17, FALSE) / VLOOKUP("LULUCF|SO2|Respiratory hospital admissions", US_national_yearly!$D:$AM, 10, FALSE), 1)</f>
        <v>1.8516745869432418E-6</v>
      </c>
      <c r="J12" s="7">
        <f>$B12 * IFERROR(VLOOKUP("LULUCF|SO2|Respiratory hospital admissions", US_national_yearly!$D:$AM, 18, FALSE) / VLOOKUP("LULUCF|SO2|Respiratory hospital admissions", US_national_yearly!$D:$AM, 10, FALSE), 1)</f>
        <v>1.8629335456060055E-6</v>
      </c>
      <c r="K12" s="7">
        <f>$B12 * IFERROR(VLOOKUP("LULUCF|SO2|Respiratory hospital admissions", US_national_yearly!$D:$AM, 19, FALSE) / VLOOKUP("LULUCF|SO2|Respiratory hospital admissions", US_national_yearly!$D:$AM, 10, FALSE), 1)</f>
        <v>1.8741925042687685E-6</v>
      </c>
      <c r="L12" s="7">
        <f>$B12 * IFERROR(VLOOKUP("LULUCF|SO2|Respiratory hospital admissions", US_national_yearly!$D:$AM, 20, FALSE) / VLOOKUP("LULUCF|SO2|Respiratory hospital admissions", US_national_yearly!$D:$AM, 10, FALSE), 1)</f>
        <v>1.8854514629315322E-6</v>
      </c>
      <c r="M12" s="7">
        <f>$B12 * IFERROR(VLOOKUP("LULUCF|SO2|Respiratory hospital admissions", US_national_yearly!$D:$AM, 21, FALSE) / VLOOKUP("LULUCF|SO2|Respiratory hospital admissions", US_national_yearly!$D:$AM, 10, FALSE), 1)</f>
        <v>1.8967104215942952E-6</v>
      </c>
      <c r="N12" s="7">
        <f>$B12 * IFERROR(VLOOKUP("LULUCF|SO2|Respiratory hospital admissions", US_national_yearly!$D:$AM, 22, FALSE) / VLOOKUP("LULUCF|SO2|Respiratory hospital admissions", US_national_yearly!$D:$AM, 10, FALSE), 1)</f>
        <v>1.9049291138698476E-6</v>
      </c>
      <c r="O12" s="7">
        <f>$B12 * IFERROR(VLOOKUP("LULUCF|SO2|Respiratory hospital admissions", US_national_yearly!$D:$AM, 23, FALSE) / VLOOKUP("LULUCF|SO2|Respiratory hospital admissions", US_national_yearly!$D:$AM, 10, FALSE), 1)</f>
        <v>1.9131478061453995E-6</v>
      </c>
      <c r="P12" s="7">
        <f>$B12 * IFERROR(VLOOKUP("LULUCF|SO2|Respiratory hospital admissions", US_national_yearly!$D:$AM, 24, FALSE) / VLOOKUP("LULUCF|SO2|Respiratory hospital admissions", US_national_yearly!$D:$AM, 10, FALSE), 1)</f>
        <v>1.9213664984209514E-6</v>
      </c>
      <c r="Q12" s="7">
        <f>$B12 * IFERROR(VLOOKUP("LULUCF|SO2|Respiratory hospital admissions", US_national_yearly!$D:$AM, 25, FALSE) / VLOOKUP("LULUCF|SO2|Respiratory hospital admissions", US_national_yearly!$D:$AM, 10, FALSE), 1)</f>
        <v>1.9295851906965037E-6</v>
      </c>
      <c r="R12" s="7">
        <f>$B12 * IFERROR(VLOOKUP("LULUCF|SO2|Respiratory hospital admissions", US_national_yearly!$D:$AM, 26, FALSE) / VLOOKUP("LULUCF|SO2|Respiratory hospital admissions", US_national_yearly!$D:$AM, 10, FALSE), 1)</f>
        <v>1.9378038829720556E-6</v>
      </c>
      <c r="S12" s="7">
        <f>$B12 * IFERROR(VLOOKUP("LULUCF|SO2|Respiratory hospital admissions", US_national_yearly!$D:$AM, 27, FALSE) / VLOOKUP("LULUCF|SO2|Respiratory hospital admissions", US_national_yearly!$D:$AM, 10, FALSE), 1)</f>
        <v>1.9456438882990162E-6</v>
      </c>
      <c r="T12" s="7">
        <f>$B12 * IFERROR(VLOOKUP("LULUCF|SO2|Respiratory hospital admissions", US_national_yearly!$D:$AM, 28, FALSE) / VLOOKUP("LULUCF|SO2|Respiratory hospital admissions", US_national_yearly!$D:$AM, 10, FALSE), 1)</f>
        <v>1.9534838936259763E-6</v>
      </c>
      <c r="U12" s="7">
        <f>$B12 * IFERROR(VLOOKUP("LULUCF|SO2|Respiratory hospital admissions", US_national_yearly!$D:$AM, 29, FALSE) / VLOOKUP("LULUCF|SO2|Respiratory hospital admissions", US_national_yearly!$D:$AM, 10, FALSE), 1)</f>
        <v>1.9613238989529369E-6</v>
      </c>
      <c r="V12" s="7">
        <f>$B12 * IFERROR(VLOOKUP("LULUCF|SO2|Respiratory hospital admissions", US_national_yearly!$D:$AM, 30, FALSE) / VLOOKUP("LULUCF|SO2|Respiratory hospital admissions", US_national_yearly!$D:$AM, 10, FALSE), 1)</f>
        <v>1.9691639042798974E-6</v>
      </c>
      <c r="W12" s="7">
        <f>$B12 * IFERROR(VLOOKUP("LULUCF|SO2|Respiratory hospital admissions", US_national_yearly!$D:$AM, 31, FALSE) / VLOOKUP("LULUCF|SO2|Respiratory hospital admissions", US_national_yearly!$D:$AM, 10, FALSE), 1)</f>
        <v>1.977003909606858E-6</v>
      </c>
      <c r="X12" s="7">
        <f>$B12 * IFERROR(VLOOKUP("LULUCF|SO2|Respiratory hospital admissions", US_national_yearly!$D:$AM, 32, FALSE) / VLOOKUP("LULUCF|SO2|Respiratory hospital admissions", US_national_yearly!$D:$AM, 10, FALSE), 1)</f>
        <v>1.9844427874862362E-6</v>
      </c>
      <c r="Y12" s="7">
        <f>$B12 * IFERROR(VLOOKUP("LULUCF|SO2|Respiratory hospital admissions", US_national_yearly!$D:$AM, 33, FALSE) / VLOOKUP("LULUCF|SO2|Respiratory hospital admissions", US_national_yearly!$D:$AM, 10, FALSE), 1)</f>
        <v>1.9918816653656144E-6</v>
      </c>
      <c r="Z12" s="7">
        <f>$B12 * IFERROR(VLOOKUP("LULUCF|SO2|Respiratory hospital admissions", US_national_yearly!$D:$AM, 34, FALSE) / VLOOKUP("LULUCF|SO2|Respiratory hospital admissions", US_national_yearly!$D:$AM, 10, FALSE), 1)</f>
        <v>1.9993205432449926E-6</v>
      </c>
      <c r="AA12" s="7">
        <f>$B12 * IFERROR(VLOOKUP("LULUCF|SO2|Respiratory hospital admissions", US_national_yearly!$D:$AM, 35, FALSE) / VLOOKUP("LULUCF|SO2|Respiratory hospital admissions", US_national_yearly!$D:$AM, 10, FALSE), 1)</f>
        <v>2.0067594211243703E-6</v>
      </c>
      <c r="AB12" s="7">
        <f>$B12 * IFERROR(VLOOKUP("LULUCF|SO2|Respiratory hospital admissions", US_national_yearly!$D:$AM, 36, FALSE) / VLOOKUP("LULUCF|SO2|Respiratory hospital admissions", US_national_yearly!$D:$AM, 10, FALSE), 1)</f>
        <v>2.014198299003749E-6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9.6112158700423226E-6</v>
      </c>
      <c r="C13" s="7">
        <f>$B13 * IFERROR(VLOOKUP("LULUCF|SO2|Non-fatal heart attacks", US_national_yearly!$D:$AM, 11, FALSE) / VLOOKUP("LULUCF|SO2|Non-fatal heart attacks", US_national_yearly!$D:$AM, 10, FALSE), 1)</f>
        <v>9.8933662581365919E-6</v>
      </c>
      <c r="D13" s="7">
        <f>$B13 * IFERROR(VLOOKUP("LULUCF|SO2|Non-fatal heart attacks", US_national_yearly!$D:$AM, 12, FALSE) / VLOOKUP("LULUCF|SO2|Non-fatal heart attacks", US_national_yearly!$D:$AM, 10, FALSE), 1)</f>
        <v>1.017551664623086E-5</v>
      </c>
      <c r="E13" s="7">
        <f>$B13 * IFERROR(VLOOKUP("LULUCF|SO2|Non-fatal heart attacks", US_national_yearly!$D:$AM, 13, FALSE) / VLOOKUP("LULUCF|SO2|Non-fatal heart attacks", US_national_yearly!$D:$AM, 10, FALSE), 1)</f>
        <v>1.0457667034325129E-5</v>
      </c>
      <c r="F13" s="7">
        <f>$B13 * IFERROR(VLOOKUP("LULUCF|SO2|Non-fatal heart attacks", US_national_yearly!$D:$AM, 14, FALSE) / VLOOKUP("LULUCF|SO2|Non-fatal heart attacks", US_national_yearly!$D:$AM, 10, FALSE), 1)</f>
        <v>1.0739817422419395E-5</v>
      </c>
      <c r="G13" s="7">
        <f>$B13 * IFERROR(VLOOKUP("LULUCF|SO2|Non-fatal heart attacks", US_national_yearly!$D:$AM, 15, FALSE) / VLOOKUP("LULUCF|SO2|Non-fatal heart attacks", US_national_yearly!$D:$AM, 10, FALSE), 1)</f>
        <v>1.1005911409439571E-5</v>
      </c>
      <c r="H13" s="7">
        <f>$B13 * IFERROR(VLOOKUP("LULUCF|SO2|Non-fatal heart attacks", US_national_yearly!$D:$AM, 16, FALSE) / VLOOKUP("LULUCF|SO2|Non-fatal heart attacks", US_national_yearly!$D:$AM, 10, FALSE), 1)</f>
        <v>1.1272005396459748E-5</v>
      </c>
      <c r="I13" s="7">
        <f>$B13 * IFERROR(VLOOKUP("LULUCF|SO2|Non-fatal heart attacks", US_national_yearly!$D:$AM, 17, FALSE) / VLOOKUP("LULUCF|SO2|Non-fatal heart attacks", US_national_yearly!$D:$AM, 10, FALSE), 1)</f>
        <v>1.1486127639403997E-5</v>
      </c>
      <c r="J13" s="7">
        <f>$B13 * IFERROR(VLOOKUP("LULUCF|SO2|Non-fatal heart attacks", US_national_yearly!$D:$AM, 18, FALSE) / VLOOKUP("LULUCF|SO2|Non-fatal heart attacks", US_national_yearly!$D:$AM, 10, FALSE), 1)</f>
        <v>1.1700249882348247E-5</v>
      </c>
      <c r="K13" s="7">
        <f>$B13 * IFERROR(VLOOKUP("LULUCF|SO2|Non-fatal heart attacks", US_national_yearly!$D:$AM, 19, FALSE) / VLOOKUP("LULUCF|SO2|Non-fatal heart attacks", US_national_yearly!$D:$AM, 10, FALSE), 1)</f>
        <v>1.1914372125292496E-5</v>
      </c>
      <c r="L13" s="7">
        <f>$B13 * IFERROR(VLOOKUP("LULUCF|SO2|Non-fatal heart attacks", US_national_yearly!$D:$AM, 20, FALSE) / VLOOKUP("LULUCF|SO2|Non-fatal heart attacks", US_national_yearly!$D:$AM, 10, FALSE), 1)</f>
        <v>1.212849436823675E-5</v>
      </c>
      <c r="M13" s="7">
        <f>$B13 * IFERROR(VLOOKUP("LULUCF|SO2|Non-fatal heart attacks", US_national_yearly!$D:$AM, 21, FALSE) / VLOOKUP("LULUCF|SO2|Non-fatal heart attacks", US_national_yearly!$D:$AM, 10, FALSE), 1)</f>
        <v>1.2342616611181E-5</v>
      </c>
      <c r="N13" s="7">
        <f>$B13 * IFERROR(VLOOKUP("LULUCF|SO2|Non-fatal heart attacks", US_national_yearly!$D:$AM, 22, FALSE) / VLOOKUP("LULUCF|SO2|Non-fatal heart attacks", US_national_yearly!$D:$AM, 10, FALSE), 1)</f>
        <v>1.2481648770464617E-5</v>
      </c>
      <c r="O13" s="7">
        <f>$B13 * IFERROR(VLOOKUP("LULUCF|SO2|Non-fatal heart attacks", US_national_yearly!$D:$AM, 23, FALSE) / VLOOKUP("LULUCF|SO2|Non-fatal heart attacks", US_national_yearly!$D:$AM, 10, FALSE), 1)</f>
        <v>1.2620680929748238E-5</v>
      </c>
      <c r="P13" s="7">
        <f>$B13 * IFERROR(VLOOKUP("LULUCF|SO2|Non-fatal heart attacks", US_national_yearly!$D:$AM, 24, FALSE) / VLOOKUP("LULUCF|SO2|Non-fatal heart attacks", US_national_yearly!$D:$AM, 10, FALSE), 1)</f>
        <v>1.275971308903186E-5</v>
      </c>
      <c r="Q13" s="7">
        <f>$B13 * IFERROR(VLOOKUP("LULUCF|SO2|Non-fatal heart attacks", US_national_yearly!$D:$AM, 25, FALSE) / VLOOKUP("LULUCF|SO2|Non-fatal heart attacks", US_national_yearly!$D:$AM, 10, FALSE), 1)</f>
        <v>1.2898745248315478E-5</v>
      </c>
      <c r="R13" s="7">
        <f>$B13 * IFERROR(VLOOKUP("LULUCF|SO2|Non-fatal heart attacks", US_national_yearly!$D:$AM, 26, FALSE) / VLOOKUP("LULUCF|SO2|Non-fatal heart attacks", US_national_yearly!$D:$AM, 10, FALSE), 1)</f>
        <v>1.3037777407599096E-5</v>
      </c>
      <c r="S13" s="7">
        <f>$B13 * IFERROR(VLOOKUP("LULUCF|SO2|Non-fatal heart attacks", US_national_yearly!$D:$AM, 27, FALSE) / VLOOKUP("LULUCF|SO2|Non-fatal heart attacks", US_national_yearly!$D:$AM, 10, FALSE), 1)</f>
        <v>1.3110365315934509E-5</v>
      </c>
      <c r="T13" s="7">
        <f>$B13 * IFERROR(VLOOKUP("LULUCF|SO2|Non-fatal heart attacks", US_national_yearly!$D:$AM, 28, FALSE) / VLOOKUP("LULUCF|SO2|Non-fatal heart attacks", US_national_yearly!$D:$AM, 10, FALSE), 1)</f>
        <v>1.318295322426992E-5</v>
      </c>
      <c r="U13" s="7">
        <f>$B13 * IFERROR(VLOOKUP("LULUCF|SO2|Non-fatal heart attacks", US_national_yearly!$D:$AM, 29, FALSE) / VLOOKUP("LULUCF|SO2|Non-fatal heart attacks", US_national_yearly!$D:$AM, 10, FALSE), 1)</f>
        <v>1.325554113260533E-5</v>
      </c>
      <c r="V13" s="7">
        <f>$B13 * IFERROR(VLOOKUP("LULUCF|SO2|Non-fatal heart attacks", US_national_yearly!$D:$AM, 30, FALSE) / VLOOKUP("LULUCF|SO2|Non-fatal heart attacks", US_national_yearly!$D:$AM, 10, FALSE), 1)</f>
        <v>1.3328129040940739E-5</v>
      </c>
      <c r="W13" s="7">
        <f>$B13 * IFERROR(VLOOKUP("LULUCF|SO2|Non-fatal heart attacks", US_national_yearly!$D:$AM, 31, FALSE) / VLOOKUP("LULUCF|SO2|Non-fatal heart attacks", US_national_yearly!$D:$AM, 10, FALSE), 1)</f>
        <v>1.3400716949276152E-5</v>
      </c>
      <c r="X13" s="7">
        <f>$B13 * IFERROR(VLOOKUP("LULUCF|SO2|Non-fatal heart attacks", US_national_yearly!$D:$AM, 32, FALSE) / VLOOKUP("LULUCF|SO2|Non-fatal heart attacks", US_national_yearly!$D:$AM, 10, FALSE), 1)</f>
        <v>1.3455514470525496E-5</v>
      </c>
      <c r="Y13" s="7">
        <f>$B13 * IFERROR(VLOOKUP("LULUCF|SO2|Non-fatal heart attacks", US_national_yearly!$D:$AM, 33, FALSE) / VLOOKUP("LULUCF|SO2|Non-fatal heart attacks", US_national_yearly!$D:$AM, 10, FALSE), 1)</f>
        <v>1.351031199177484E-5</v>
      </c>
      <c r="Z13" s="7">
        <f>$B13 * IFERROR(VLOOKUP("LULUCF|SO2|Non-fatal heart attacks", US_national_yearly!$D:$AM, 34, FALSE) / VLOOKUP("LULUCF|SO2|Non-fatal heart attacks", US_national_yearly!$D:$AM, 10, FALSE), 1)</f>
        <v>1.3565109513024185E-5</v>
      </c>
      <c r="AA13" s="7">
        <f>$B13 * IFERROR(VLOOKUP("LULUCF|SO2|Non-fatal heart attacks", US_national_yearly!$D:$AM, 35, FALSE) / VLOOKUP("LULUCF|SO2|Non-fatal heart attacks", US_national_yearly!$D:$AM, 10, FALSE), 1)</f>
        <v>1.3619907034273527E-5</v>
      </c>
      <c r="AB13" s="7">
        <f>$B13 * IFERROR(VLOOKUP("LULUCF|SO2|Non-fatal heart attacks", US_national_yearly!$D:$AM, 36, FALSE) / VLOOKUP("LULUCF|SO2|Non-fatal heart attacks", US_national_yearly!$D:$AM, 10, FALSE), 1)</f>
        <v>1.3674704555522871E-5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9.2556522518516694E-3</v>
      </c>
      <c r="C14" s="7">
        <f>$B14 * IFERROR(VLOOKUP("LULUCF|SO2|Minor restricted activity days", US_national_yearly!$D:$AM, 11, FALSE) / VLOOKUP("LULUCF|SO2|Minor restricted activity days", US_national_yearly!$D:$AM, 10, FALSE), 1)</f>
        <v>9.2789826672663184E-3</v>
      </c>
      <c r="D14" s="7">
        <f>$B14 * IFERROR(VLOOKUP("LULUCF|SO2|Minor restricted activity days", US_national_yearly!$D:$AM, 12, FALSE) / VLOOKUP("LULUCF|SO2|Minor restricted activity days", US_national_yearly!$D:$AM, 10, FALSE), 1)</f>
        <v>9.3023130826809658E-3</v>
      </c>
      <c r="E14" s="7">
        <f>$B14 * IFERROR(VLOOKUP("LULUCF|SO2|Minor restricted activity days", US_national_yearly!$D:$AM, 13, FALSE) / VLOOKUP("LULUCF|SO2|Minor restricted activity days", US_national_yearly!$D:$AM, 10, FALSE), 1)</f>
        <v>9.3256434980956131E-3</v>
      </c>
      <c r="F14" s="7">
        <f>$B14 * IFERROR(VLOOKUP("LULUCF|SO2|Minor restricted activity days", US_national_yearly!$D:$AM, 14, FALSE) / VLOOKUP("LULUCF|SO2|Minor restricted activity days", US_national_yearly!$D:$AM, 10, FALSE), 1)</f>
        <v>9.3489739135102605E-3</v>
      </c>
      <c r="G14" s="7">
        <f>$B14 * IFERROR(VLOOKUP("LULUCF|SO2|Minor restricted activity days", US_national_yearly!$D:$AM, 15, FALSE) / VLOOKUP("LULUCF|SO2|Minor restricted activity days", US_national_yearly!$D:$AM, 10, FALSE), 1)</f>
        <v>9.3833139930078139E-3</v>
      </c>
      <c r="H14" s="7">
        <f>$B14 * IFERROR(VLOOKUP("LULUCF|SO2|Minor restricted activity days", US_national_yearly!$D:$AM, 16, FALSE) / VLOOKUP("LULUCF|SO2|Minor restricted activity days", US_national_yearly!$D:$AM, 10, FALSE), 1)</f>
        <v>9.4176540725053673E-3</v>
      </c>
      <c r="I14" s="7">
        <f>$B14 * IFERROR(VLOOKUP("LULUCF|SO2|Minor restricted activity days", US_national_yearly!$D:$AM, 17, FALSE) / VLOOKUP("LULUCF|SO2|Minor restricted activity days", US_national_yearly!$D:$AM, 10, FALSE), 1)</f>
        <v>9.4762178772180104E-3</v>
      </c>
      <c r="J14" s="7">
        <f>$B14 * IFERROR(VLOOKUP("LULUCF|SO2|Minor restricted activity days", US_national_yearly!$D:$AM, 18, FALSE) / VLOOKUP("LULUCF|SO2|Minor restricted activity days", US_national_yearly!$D:$AM, 10, FALSE), 1)</f>
        <v>9.5347816819306534E-3</v>
      </c>
      <c r="K14" s="7">
        <f>$B14 * IFERROR(VLOOKUP("LULUCF|SO2|Minor restricted activity days", US_national_yearly!$D:$AM, 19, FALSE) / VLOOKUP("LULUCF|SO2|Minor restricted activity days", US_national_yearly!$D:$AM, 10, FALSE), 1)</f>
        <v>9.5933454866432982E-3</v>
      </c>
      <c r="L14" s="7">
        <f>$B14 * IFERROR(VLOOKUP("LULUCF|SO2|Minor restricted activity days", US_national_yearly!$D:$AM, 20, FALSE) / VLOOKUP("LULUCF|SO2|Minor restricted activity days", US_national_yearly!$D:$AM, 10, FALSE), 1)</f>
        <v>9.6519092913559413E-3</v>
      </c>
      <c r="M14" s="7">
        <f>$B14 * IFERROR(VLOOKUP("LULUCF|SO2|Minor restricted activity days", US_national_yearly!$D:$AM, 21, FALSE) / VLOOKUP("LULUCF|SO2|Minor restricted activity days", US_national_yearly!$D:$AM, 10, FALSE), 1)</f>
        <v>9.7104730960685844E-3</v>
      </c>
      <c r="N14" s="7">
        <f>$B14 * IFERROR(VLOOKUP("LULUCF|SO2|Minor restricted activity days", US_national_yearly!$D:$AM, 22, FALSE) / VLOOKUP("LULUCF|SO2|Minor restricted activity days", US_national_yearly!$D:$AM, 10, FALSE), 1)</f>
        <v>9.7905789838272049E-3</v>
      </c>
      <c r="O14" s="7">
        <f>$B14 * IFERROR(VLOOKUP("LULUCF|SO2|Minor restricted activity days", US_national_yearly!$D:$AM, 23, FALSE) / VLOOKUP("LULUCF|SO2|Minor restricted activity days", US_national_yearly!$D:$AM, 10, FALSE), 1)</f>
        <v>9.8706848715858254E-3</v>
      </c>
      <c r="P14" s="7">
        <f>$B14 * IFERROR(VLOOKUP("LULUCF|SO2|Minor restricted activity days", US_national_yearly!$D:$AM, 24, FALSE) / VLOOKUP("LULUCF|SO2|Minor restricted activity days", US_national_yearly!$D:$AM, 10, FALSE), 1)</f>
        <v>9.950790759344446E-3</v>
      </c>
      <c r="Q14" s="7">
        <f>$B14 * IFERROR(VLOOKUP("LULUCF|SO2|Minor restricted activity days", US_national_yearly!$D:$AM, 25, FALSE) / VLOOKUP("LULUCF|SO2|Minor restricted activity days", US_national_yearly!$D:$AM, 10, FALSE), 1)</f>
        <v>1.0030896647103067E-2</v>
      </c>
      <c r="R14" s="7">
        <f>$B14 * IFERROR(VLOOKUP("LULUCF|SO2|Minor restricted activity days", US_national_yearly!$D:$AM, 26, FALSE) / VLOOKUP("LULUCF|SO2|Minor restricted activity days", US_national_yearly!$D:$AM, 10, FALSE), 1)</f>
        <v>1.0111002534861689E-2</v>
      </c>
      <c r="S14" s="7">
        <f>$B14 * IFERROR(VLOOKUP("LULUCF|SO2|Minor restricted activity days", US_national_yearly!$D:$AM, 27, FALSE) / VLOOKUP("LULUCF|SO2|Minor restricted activity days", US_national_yearly!$D:$AM, 10, FALSE), 1)</f>
        <v>1.0192678327709242E-2</v>
      </c>
      <c r="T14" s="7">
        <f>$B14 * IFERROR(VLOOKUP("LULUCF|SO2|Minor restricted activity days", US_national_yearly!$D:$AM, 28, FALSE) / VLOOKUP("LULUCF|SO2|Minor restricted activity days", US_national_yearly!$D:$AM, 10, FALSE), 1)</f>
        <v>1.0274354120556797E-2</v>
      </c>
      <c r="U14" s="7">
        <f>$B14 * IFERROR(VLOOKUP("LULUCF|SO2|Minor restricted activity days", US_national_yearly!$D:$AM, 29, FALSE) / VLOOKUP("LULUCF|SO2|Minor restricted activity days", US_national_yearly!$D:$AM, 10, FALSE), 1)</f>
        <v>1.0356029913404351E-2</v>
      </c>
      <c r="V14" s="7">
        <f>$B14 * IFERROR(VLOOKUP("LULUCF|SO2|Minor restricted activity days", US_national_yearly!$D:$AM, 30, FALSE) / VLOOKUP("LULUCF|SO2|Minor restricted activity days", US_national_yearly!$D:$AM, 10, FALSE), 1)</f>
        <v>1.0437705706251906E-2</v>
      </c>
      <c r="W14" s="7">
        <f>$B14 * IFERROR(VLOOKUP("LULUCF|SO2|Minor restricted activity days", US_national_yearly!$D:$AM, 31, FALSE) / VLOOKUP("LULUCF|SO2|Minor restricted activity days", US_national_yearly!$D:$AM, 10, FALSE), 1)</f>
        <v>1.0519381499099463E-2</v>
      </c>
      <c r="X14" s="7">
        <f>$B14 * IFERROR(VLOOKUP("LULUCF|SO2|Minor restricted activity days", US_national_yearly!$D:$AM, 32, FALSE) / VLOOKUP("LULUCF|SO2|Minor restricted activity days", US_national_yearly!$D:$AM, 10, FALSE), 1)</f>
        <v>1.0591208850261626E-2</v>
      </c>
      <c r="Y14" s="7">
        <f>$B14 * IFERROR(VLOOKUP("LULUCF|SO2|Minor restricted activity days", US_national_yearly!$D:$AM, 33, FALSE) / VLOOKUP("LULUCF|SO2|Minor restricted activity days", US_national_yearly!$D:$AM, 10, FALSE), 1)</f>
        <v>1.0663036201423788E-2</v>
      </c>
      <c r="Z14" s="7">
        <f>$B14 * IFERROR(VLOOKUP("LULUCF|SO2|Minor restricted activity days", US_national_yearly!$D:$AM, 34, FALSE) / VLOOKUP("LULUCF|SO2|Minor restricted activity days", US_national_yearly!$D:$AM, 10, FALSE), 1)</f>
        <v>1.0734863552585953E-2</v>
      </c>
      <c r="AA14" s="7">
        <f>$B14 * IFERROR(VLOOKUP("LULUCF|SO2|Minor restricted activity days", US_national_yearly!$D:$AM, 35, FALSE) / VLOOKUP("LULUCF|SO2|Minor restricted activity days", US_national_yearly!$D:$AM, 10, FALSE), 1)</f>
        <v>1.0806690903748117E-2</v>
      </c>
      <c r="AB14" s="7">
        <f>$B14 * IFERROR(VLOOKUP("LULUCF|SO2|Minor restricted activity days", US_national_yearly!$D:$AM, 36, FALSE) / VLOOKUP("LULUCF|SO2|Minor restricted activity days", US_national_yearly!$D:$AM, 10, FALSE), 1)</f>
        <v>1.0878518254910281E-2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1.5698178997529569E-3</v>
      </c>
      <c r="C15" s="7">
        <f>$B15 * IFERROR(VLOOKUP("LULUCF|SO2|Work loss days", US_national_yearly!$D:$AM, 11, FALSE) / VLOOKUP("LULUCF|SO2|Work loss days", US_national_yearly!$D:$AM, 10, FALSE), 1)</f>
        <v>1.5749038602476707E-3</v>
      </c>
      <c r="D15" s="7">
        <f>$B15 * IFERROR(VLOOKUP("LULUCF|SO2|Work loss days", US_national_yearly!$D:$AM, 12, FALSE) / VLOOKUP("LULUCF|SO2|Work loss days", US_national_yearly!$D:$AM, 10, FALSE), 1)</f>
        <v>1.5799898207423846E-3</v>
      </c>
      <c r="E15" s="7">
        <f>$B15 * IFERROR(VLOOKUP("LULUCF|SO2|Work loss days", US_national_yearly!$D:$AM, 13, FALSE) / VLOOKUP("LULUCF|SO2|Work loss days", US_national_yearly!$D:$AM, 10, FALSE), 1)</f>
        <v>1.5850757812370985E-3</v>
      </c>
      <c r="F15" s="7">
        <f>$B15 * IFERROR(VLOOKUP("LULUCF|SO2|Work loss days", US_national_yearly!$D:$AM, 14, FALSE) / VLOOKUP("LULUCF|SO2|Work loss days", US_national_yearly!$D:$AM, 10, FALSE), 1)</f>
        <v>1.5901617417318123E-3</v>
      </c>
      <c r="G15" s="7">
        <f>$B15 * IFERROR(VLOOKUP("LULUCF|SO2|Work loss days", US_national_yearly!$D:$AM, 15, FALSE) / VLOOKUP("LULUCF|SO2|Work loss days", US_national_yearly!$D:$AM, 10, FALSE), 1)</f>
        <v>1.5968071714251978E-3</v>
      </c>
      <c r="H15" s="7">
        <f>$B15 * IFERROR(VLOOKUP("LULUCF|SO2|Work loss days", US_national_yearly!$D:$AM, 16, FALSE) / VLOOKUP("LULUCF|SO2|Work loss days", US_national_yearly!$D:$AM, 10, FALSE), 1)</f>
        <v>1.6034526011185829E-3</v>
      </c>
      <c r="I15" s="7">
        <f>$B15 * IFERROR(VLOOKUP("LULUCF|SO2|Work loss days", US_national_yearly!$D:$AM, 17, FALSE) / VLOOKUP("LULUCF|SO2|Work loss days", US_national_yearly!$D:$AM, 10, FALSE), 1)</f>
        <v>1.6131739726754281E-3</v>
      </c>
      <c r="J15" s="7">
        <f>$B15 * IFERROR(VLOOKUP("LULUCF|SO2|Work loss days", US_national_yearly!$D:$AM, 18, FALSE) / VLOOKUP("LULUCF|SO2|Work loss days", US_national_yearly!$D:$AM, 10, FALSE), 1)</f>
        <v>1.6228953442322732E-3</v>
      </c>
      <c r="K15" s="7">
        <f>$B15 * IFERROR(VLOOKUP("LULUCF|SO2|Work loss days", US_national_yearly!$D:$AM, 19, FALSE) / VLOOKUP("LULUCF|SO2|Work loss days", US_national_yearly!$D:$AM, 10, FALSE), 1)</f>
        <v>1.6326167157891184E-3</v>
      </c>
      <c r="L15" s="7">
        <f>$B15 * IFERROR(VLOOKUP("LULUCF|SO2|Work loss days", US_national_yearly!$D:$AM, 20, FALSE) / VLOOKUP("LULUCF|SO2|Work loss days", US_national_yearly!$D:$AM, 10, FALSE), 1)</f>
        <v>1.6423380873459637E-3</v>
      </c>
      <c r="M15" s="7">
        <f>$B15 * IFERROR(VLOOKUP("LULUCF|SO2|Work loss days", US_national_yearly!$D:$AM, 21, FALSE) / VLOOKUP("LULUCF|SO2|Work loss days", US_national_yearly!$D:$AM, 10, FALSE), 1)</f>
        <v>1.652059458902809E-3</v>
      </c>
      <c r="N15" s="7">
        <f>$B15 * IFERROR(VLOOKUP("LULUCF|SO2|Work loss days", US_national_yearly!$D:$AM, 22, FALSE) / VLOOKUP("LULUCF|SO2|Work loss days", US_national_yearly!$D:$AM, 10, FALSE), 1)</f>
        <v>1.6642484834812118E-3</v>
      </c>
      <c r="O15" s="7">
        <f>$B15 * IFERROR(VLOOKUP("LULUCF|SO2|Work loss days", US_national_yearly!$D:$AM, 23, FALSE) / VLOOKUP("LULUCF|SO2|Work loss days", US_national_yearly!$D:$AM, 10, FALSE), 1)</f>
        <v>1.6764375080596146E-3</v>
      </c>
      <c r="P15" s="7">
        <f>$B15 * IFERROR(VLOOKUP("LULUCF|SO2|Work loss days", US_national_yearly!$D:$AM, 24, FALSE) / VLOOKUP("LULUCF|SO2|Work loss days", US_national_yearly!$D:$AM, 10, FALSE), 1)</f>
        <v>1.688626532638017E-3</v>
      </c>
      <c r="Q15" s="7">
        <f>$B15 * IFERROR(VLOOKUP("LULUCF|SO2|Work loss days", US_national_yearly!$D:$AM, 25, FALSE) / VLOOKUP("LULUCF|SO2|Work loss days", US_national_yearly!$D:$AM, 10, FALSE), 1)</f>
        <v>1.7008155572164198E-3</v>
      </c>
      <c r="R15" s="7">
        <f>$B15 * IFERROR(VLOOKUP("LULUCF|SO2|Work loss days", US_national_yearly!$D:$AM, 26, FALSE) / VLOOKUP("LULUCF|SO2|Work loss days", US_national_yearly!$D:$AM, 10, FALSE), 1)</f>
        <v>1.7130045817948226E-3</v>
      </c>
      <c r="S15" s="7">
        <f>$B15 * IFERROR(VLOOKUP("LULUCF|SO2|Work loss days", US_national_yearly!$D:$AM, 27, FALSE) / VLOOKUP("LULUCF|SO2|Work loss days", US_national_yearly!$D:$AM, 10, FALSE), 1)</f>
        <v>1.7266257765744869E-3</v>
      </c>
      <c r="T15" s="7">
        <f>$B15 * IFERROR(VLOOKUP("LULUCF|SO2|Work loss days", US_national_yearly!$D:$AM, 28, FALSE) / VLOOKUP("LULUCF|SO2|Work loss days", US_national_yearly!$D:$AM, 10, FALSE), 1)</f>
        <v>1.7402469713541514E-3</v>
      </c>
      <c r="U15" s="7">
        <f>$B15 * IFERROR(VLOOKUP("LULUCF|SO2|Work loss days", US_national_yearly!$D:$AM, 29, FALSE) / VLOOKUP("LULUCF|SO2|Work loss days", US_national_yearly!$D:$AM, 10, FALSE), 1)</f>
        <v>1.7538681661338157E-3</v>
      </c>
      <c r="V15" s="7">
        <f>$B15 * IFERROR(VLOOKUP("LULUCF|SO2|Work loss days", US_national_yearly!$D:$AM, 30, FALSE) / VLOOKUP("LULUCF|SO2|Work loss days", US_national_yearly!$D:$AM, 10, FALSE), 1)</f>
        <v>1.76748936091348E-3</v>
      </c>
      <c r="W15" s="7">
        <f>$B15 * IFERROR(VLOOKUP("LULUCF|SO2|Work loss days", US_national_yearly!$D:$AM, 31, FALSE) / VLOOKUP("LULUCF|SO2|Work loss days", US_national_yearly!$D:$AM, 10, FALSE), 1)</f>
        <v>1.7811105556931445E-3</v>
      </c>
      <c r="X15" s="7">
        <f>$B15 * IFERROR(VLOOKUP("LULUCF|SO2|Work loss days", US_national_yearly!$D:$AM, 32, FALSE) / VLOOKUP("LULUCF|SO2|Work loss days", US_national_yearly!$D:$AM, 10, FALSE), 1)</f>
        <v>1.7933405111058972E-3</v>
      </c>
      <c r="Y15" s="7">
        <f>$B15 * IFERROR(VLOOKUP("LULUCF|SO2|Work loss days", US_national_yearly!$D:$AM, 33, FALSE) / VLOOKUP("LULUCF|SO2|Work loss days", US_national_yearly!$D:$AM, 10, FALSE), 1)</f>
        <v>1.8055704665186504E-3</v>
      </c>
      <c r="Z15" s="7">
        <f>$B15 * IFERROR(VLOOKUP("LULUCF|SO2|Work loss days", US_national_yearly!$D:$AM, 34, FALSE) / VLOOKUP("LULUCF|SO2|Work loss days", US_national_yearly!$D:$AM, 10, FALSE), 1)</f>
        <v>1.8178004219314035E-3</v>
      </c>
      <c r="AA15" s="7">
        <f>$B15 * IFERROR(VLOOKUP("LULUCF|SO2|Work loss days", US_national_yearly!$D:$AM, 35, FALSE) / VLOOKUP("LULUCF|SO2|Work loss days", US_national_yearly!$D:$AM, 10, FALSE), 1)</f>
        <v>1.8300303773441564E-3</v>
      </c>
      <c r="AB15" s="7">
        <f>$B15 * IFERROR(VLOOKUP("LULUCF|SO2|Work loss days", US_national_yearly!$D:$AM, 36, FALSE) / VLOOKUP("LULUCF|SO2|Work loss days", US_national_yearly!$D:$AM, 10, FALSE), 1)</f>
        <v>1.8422603327569096E-3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1.9780126540792369E-6</v>
      </c>
      <c r="C17" s="7">
        <f>$B17 * IFERROR(VLOOKUP("LULUCF|SO2|Cardiovascular hospital admissions", US_national_yearly!$D:$AM, 11, FALSE) / VLOOKUP("LULUCF|SO2|Cardiovascular hospital admissions", US_national_yearly!$D:$AM, 10, FALSE), 1)</f>
        <v>2.0378353313833143E-6</v>
      </c>
      <c r="D17" s="7">
        <f>$B17 * IFERROR(VLOOKUP("LULUCF|SO2|Cardiovascular hospital admissions", US_national_yearly!$D:$AM, 12, FALSE) / VLOOKUP("LULUCF|SO2|Cardiovascular hospital admissions", US_national_yearly!$D:$AM, 10, FALSE), 1)</f>
        <v>2.0976580086873918E-6</v>
      </c>
      <c r="E17" s="7">
        <f>$B17 * IFERROR(VLOOKUP("LULUCF|SO2|Cardiovascular hospital admissions", US_national_yearly!$D:$AM, 13, FALSE) / VLOOKUP("LULUCF|SO2|Cardiovascular hospital admissions", US_national_yearly!$D:$AM, 10, FALSE), 1)</f>
        <v>2.1574806859914697E-6</v>
      </c>
      <c r="F17" s="7">
        <f>$B17 * IFERROR(VLOOKUP("LULUCF|SO2|Cardiovascular hospital admissions", US_national_yearly!$D:$AM, 14, FALSE) / VLOOKUP("LULUCF|SO2|Cardiovascular hospital admissions", US_national_yearly!$D:$AM, 10, FALSE), 1)</f>
        <v>2.2173033632955475E-6</v>
      </c>
      <c r="G17" s="7">
        <f>$B17 * IFERROR(VLOOKUP("LULUCF|SO2|Cardiovascular hospital admissions", US_national_yearly!$D:$AM, 15, FALSE) / VLOOKUP("LULUCF|SO2|Cardiovascular hospital admissions", US_national_yearly!$D:$AM, 10, FALSE), 1)</f>
        <v>2.2746077999053446E-6</v>
      </c>
      <c r="H17" s="7">
        <f>$B17 * IFERROR(VLOOKUP("LULUCF|SO2|Cardiovascular hospital admissions", US_national_yearly!$D:$AM, 16, FALSE) / VLOOKUP("LULUCF|SO2|Cardiovascular hospital admissions", US_national_yearly!$D:$AM, 10, FALSE), 1)</f>
        <v>2.3319122365151421E-6</v>
      </c>
      <c r="I17" s="7">
        <f>$B17 * IFERROR(VLOOKUP("LULUCF|SO2|Cardiovascular hospital admissions", US_national_yearly!$D:$AM, 17, FALSE) / VLOOKUP("LULUCF|SO2|Cardiovascular hospital admissions", US_national_yearly!$D:$AM, 10, FALSE), 1)</f>
        <v>2.3810109558265557E-6</v>
      </c>
      <c r="J17" s="7">
        <f>$B17 * IFERROR(VLOOKUP("LULUCF|SO2|Cardiovascular hospital admissions", US_national_yearly!$D:$AM, 18, FALSE) / VLOOKUP("LULUCF|SO2|Cardiovascular hospital admissions", US_national_yearly!$D:$AM, 10, FALSE), 1)</f>
        <v>2.4301096751379693E-6</v>
      </c>
      <c r="K17" s="7">
        <f>$B17 * IFERROR(VLOOKUP("LULUCF|SO2|Cardiovascular hospital admissions", US_national_yearly!$D:$AM, 19, FALSE) / VLOOKUP("LULUCF|SO2|Cardiovascular hospital admissions", US_national_yearly!$D:$AM, 10, FALSE), 1)</f>
        <v>2.4792083944493832E-6</v>
      </c>
      <c r="L17" s="7">
        <f>$B17 * IFERROR(VLOOKUP("LULUCF|SO2|Cardiovascular hospital admissions", US_national_yearly!$D:$AM, 20, FALSE) / VLOOKUP("LULUCF|SO2|Cardiovascular hospital admissions", US_national_yearly!$D:$AM, 10, FALSE), 1)</f>
        <v>2.5283071137607968E-6</v>
      </c>
      <c r="M17" s="7">
        <f>$B17 * IFERROR(VLOOKUP("LULUCF|SO2|Cardiovascular hospital admissions", US_national_yearly!$D:$AM, 21, FALSE) / VLOOKUP("LULUCF|SO2|Cardiovascular hospital admissions", US_national_yearly!$D:$AM, 10, FALSE), 1)</f>
        <v>2.5774058330722099E-6</v>
      </c>
      <c r="N17" s="7">
        <f>$B17 * IFERROR(VLOOKUP("LULUCF|SO2|Cardiovascular hospital admissions", US_national_yearly!$D:$AM, 22, FALSE) / VLOOKUP("LULUCF|SO2|Cardiovascular hospital admissions", US_national_yearly!$D:$AM, 10, FALSE), 1)</f>
        <v>2.610388988263425E-6</v>
      </c>
      <c r="O17" s="7">
        <f>$B17 * IFERROR(VLOOKUP("LULUCF|SO2|Cardiovascular hospital admissions", US_national_yearly!$D:$AM, 23, FALSE) / VLOOKUP("LULUCF|SO2|Cardiovascular hospital admissions", US_national_yearly!$D:$AM, 10, FALSE), 1)</f>
        <v>2.6433721434546401E-6</v>
      </c>
      <c r="P17" s="7">
        <f>$B17 * IFERROR(VLOOKUP("LULUCF|SO2|Cardiovascular hospital admissions", US_national_yearly!$D:$AM, 24, FALSE) / VLOOKUP("LULUCF|SO2|Cardiovascular hospital admissions", US_national_yearly!$D:$AM, 10, FALSE), 1)</f>
        <v>2.6763552986458552E-6</v>
      </c>
      <c r="Q17" s="7">
        <f>$B17 * IFERROR(VLOOKUP("LULUCF|SO2|Cardiovascular hospital admissions", US_national_yearly!$D:$AM, 25, FALSE) / VLOOKUP("LULUCF|SO2|Cardiovascular hospital admissions", US_national_yearly!$D:$AM, 10, FALSE), 1)</f>
        <v>2.7093384538370702E-6</v>
      </c>
      <c r="R17" s="7">
        <f>$B17 * IFERROR(VLOOKUP("LULUCF|SO2|Cardiovascular hospital admissions", US_national_yearly!$D:$AM, 26, FALSE) / VLOOKUP("LULUCF|SO2|Cardiovascular hospital admissions", US_national_yearly!$D:$AM, 10, FALSE), 1)</f>
        <v>2.7423216090282857E-6</v>
      </c>
      <c r="S17" s="7">
        <f>$B17 * IFERROR(VLOOKUP("LULUCF|SO2|Cardiovascular hospital admissions", US_national_yearly!$D:$AM, 27, FALSE) / VLOOKUP("LULUCF|SO2|Cardiovascular hospital admissions", US_national_yearly!$D:$AM, 10, FALSE), 1)</f>
        <v>2.7596684002560218E-6</v>
      </c>
      <c r="T17" s="7">
        <f>$B17 * IFERROR(VLOOKUP("LULUCF|SO2|Cardiovascular hospital admissions", US_national_yearly!$D:$AM, 28, FALSE) / VLOOKUP("LULUCF|SO2|Cardiovascular hospital admissions", US_national_yearly!$D:$AM, 10, FALSE), 1)</f>
        <v>2.7770151914837579E-6</v>
      </c>
      <c r="U17" s="7">
        <f>$B17 * IFERROR(VLOOKUP("LULUCF|SO2|Cardiovascular hospital admissions", US_national_yearly!$D:$AM, 29, FALSE) / VLOOKUP("LULUCF|SO2|Cardiovascular hospital admissions", US_national_yearly!$D:$AM, 10, FALSE), 1)</f>
        <v>2.7943619827114939E-6</v>
      </c>
      <c r="V17" s="7">
        <f>$B17 * IFERROR(VLOOKUP("LULUCF|SO2|Cardiovascular hospital admissions", US_national_yearly!$D:$AM, 30, FALSE) / VLOOKUP("LULUCF|SO2|Cardiovascular hospital admissions", US_national_yearly!$D:$AM, 10, FALSE), 1)</f>
        <v>2.81170877393923E-6</v>
      </c>
      <c r="W17" s="7">
        <f>$B17 * IFERROR(VLOOKUP("LULUCF|SO2|Cardiovascular hospital admissions", US_national_yearly!$D:$AM, 31, FALSE) / VLOOKUP("LULUCF|SO2|Cardiovascular hospital admissions", US_national_yearly!$D:$AM, 10, FALSE), 1)</f>
        <v>2.8290555651669661E-6</v>
      </c>
      <c r="X17" s="7">
        <f>$B17 * IFERROR(VLOOKUP("LULUCF|SO2|Cardiovascular hospital admissions", US_national_yearly!$D:$AM, 32, FALSE) / VLOOKUP("LULUCF|SO2|Cardiovascular hospital admissions", US_national_yearly!$D:$AM, 10, FALSE), 1)</f>
        <v>2.8407010395592516E-6</v>
      </c>
      <c r="Y17" s="7">
        <f>$B17 * IFERROR(VLOOKUP("LULUCF|SO2|Cardiovascular hospital admissions", US_national_yearly!$D:$AM, 33, FALSE) / VLOOKUP("LULUCF|SO2|Cardiovascular hospital admissions", US_national_yearly!$D:$AM, 10, FALSE), 1)</f>
        <v>2.8523465139515376E-6</v>
      </c>
      <c r="Z17" s="7">
        <f>$B17 * IFERROR(VLOOKUP("LULUCF|SO2|Cardiovascular hospital admissions", US_national_yearly!$D:$AM, 34, FALSE) / VLOOKUP("LULUCF|SO2|Cardiovascular hospital admissions", US_national_yearly!$D:$AM, 10, FALSE), 1)</f>
        <v>2.8639919883438231E-6</v>
      </c>
      <c r="AA17" s="7">
        <f>$B17 * IFERROR(VLOOKUP("LULUCF|SO2|Cardiovascular hospital admissions", US_national_yearly!$D:$AM, 35, FALSE) / VLOOKUP("LULUCF|SO2|Cardiovascular hospital admissions", US_national_yearly!$D:$AM, 10, FALSE), 1)</f>
        <v>2.8756374627361091E-6</v>
      </c>
      <c r="AB17" s="7">
        <f>$B17 * IFERROR(VLOOKUP("LULUCF|SO2|Cardiovascular hospital admissions", US_national_yearly!$D:$AM, 36, FALSE) / VLOOKUP("LULUCF|SO2|Cardiovascular hospital admissions", US_national_yearly!$D:$AM, 10, FALSE), 1)</f>
        <v>2.8872829371283946E-6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2026-06-15T17:16:14Z</dcterms:modified>
</cp:coreProperties>
</file>