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E\bldgs\CiDESCTY\"/>
    </mc:Choice>
  </mc:AlternateContent>
  <xr:revisionPtr revIDLastSave="0" documentId="8_{3DF208B8-1853-4889-B225-E3091CA7546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<sst xmlns="http://schemas.openxmlformats.org/spreadsheetml/2006/main" count="47983" uniqueCount="1352">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</sst>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99</v>
      </c>
      <c r="C1" s="15">
        <v>46260</v>
      </c>
      <c r="D1" s="2"/>
      <c r="E1" s="2"/>
      <c r="F1" s="17" t="s">
        <v>26</v>
      </c>
      <c r="G1" s="17" t="s">
        <v>26</v>
      </c>
    </row>
    <row r="2" spans="1:7" ht="14.25" customHeight="1" x14ac:dyDescent="0.25">
      <c r="A2" s="1" t="s">
        <v>27</v>
      </c>
      <c r="B2" s="16" t="str">
        <f>LOOKUP(B1,F2:G51,G2:G51)</f>
        <v>NE</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Nebraska</v>
      </c>
    </row>
    <row r="5" spans="1:3" x14ac:dyDescent="0.2">
      <c r="A5" t="s">
        <v>1324</v>
      </c>
      <c r="B5" t="str">
        <f>About!$B$2</f>
        <v>NE</v>
      </c>
    </row>
    <row r="6" spans="1:3" x14ac:dyDescent="0.2">
      <c r="A6" t="s">
        <v>1325</v>
      </c>
      <c r="B6" t="str">
        <f>UPPER($B$4)</f>
        <v>NEBRASKA</v>
      </c>
    </row>
    <row r="8" spans="1:3" x14ac:dyDescent="0.2">
      <c r="A8" t="s">
        <v>1326</v>
      </c>
      <c r="B8" s="65">
        <f>SUMIFS('Solar for All'!$F$7:$F$60,'Solar for All'!$A$7:$A$60,$B$5)</f>
        <v>37.894291520598259</v>
      </c>
      <c r="C8" t="s">
        <v>1327</v>
      </c>
    </row>
    <row r="9" spans="1:3" x14ac:dyDescent="0.2">
      <c r="A9" t="s">
        <v>1328</v>
      </c>
      <c r="B9" s="65">
        <f>SUMIFS('res v com'!$J:$J,'res v com'!$I:$I,$B$6)</f>
        <v>0.73099999999999998</v>
      </c>
    </row>
    <row r="10" spans="1:3" x14ac:dyDescent="0.2">
      <c r="A10" t="s">
        <v>1329</v>
      </c>
      <c r="B10" s="65">
        <f>SUMIFS('res v com'!$K:$K,'res v com'!$I:$I,$B$6)</f>
        <v>0.26900000000000002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5.5401454203114655</v>
      </c>
      <c r="G24" s="65">
        <f t="shared" si="1"/>
        <v>5.5401454203114655</v>
      </c>
      <c r="H24" s="65">
        <f t="shared" si="1"/>
        <v>5.5401454203114655</v>
      </c>
      <c r="I24" s="65">
        <f t="shared" si="1"/>
        <v>5.5401454203114655</v>
      </c>
      <c r="J24" s="65">
        <f t="shared" si="1"/>
        <v>5.5401454203114655</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2.0387128838081865</v>
      </c>
      <c r="G25" s="65">
        <f t="shared" si="2"/>
        <v>2.0387128838081865</v>
      </c>
      <c r="H25" s="65">
        <f t="shared" si="2"/>
        <v>2.0387128838081865</v>
      </c>
      <c r="I25" s="65">
        <f t="shared" si="2"/>
        <v>2.0387128838081865</v>
      </c>
      <c r="J25" s="65">
        <f t="shared" si="2"/>
        <v>2.0387128838081865</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7.5788583041196524</v>
      </c>
      <c r="G27" s="65">
        <f t="shared" si="3"/>
        <v>7.5788583041196524</v>
      </c>
      <c r="H27" s="65">
        <f t="shared" si="3"/>
        <v>7.5788583041196524</v>
      </c>
      <c r="I27" s="65">
        <f t="shared" si="3"/>
        <v>7.5788583041196524</v>
      </c>
      <c r="J27" s="65">
        <f t="shared" si="3"/>
        <v>7.5788583041196524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7.5788583041196524</v>
      </c>
      <c r="G28" s="65">
        <f>SUM($B$27:G27)</f>
        <v>15.157716608239305</v>
      </c>
      <c r="H28" s="65">
        <f>SUM($B$27:H27)</f>
        <v>22.736574912358957</v>
      </c>
      <c r="I28" s="65">
        <f>SUM($B$27:I27)</f>
        <v>30.31543321647861</v>
      </c>
      <c r="J28" s="65">
        <f>SUM($B$27:J27)</f>
        <v>37.894291520598259</v>
      </c>
      <c r="K28" s="65">
        <f>SUM($B$27:K27)</f>
        <v>37.894291520598259</v>
      </c>
      <c r="L28" s="65">
        <f>SUM($B$27:L27)</f>
        <v>37.894291520598259</v>
      </c>
      <c r="M28" s="65">
        <f>SUM($B$27:M27)</f>
        <v>37.894291520598259</v>
      </c>
      <c r="N28" s="65">
        <f>SUM($B$27:N27)</f>
        <v>37.894291520598259</v>
      </c>
      <c r="O28" s="65">
        <f>SUM($B$27:O27)</f>
        <v>37.894291520598259</v>
      </c>
      <c r="P28" s="65">
        <f>SUM($B$27:P27)</f>
        <v>37.894291520598259</v>
      </c>
      <c r="Q28" s="65">
        <f>SUM($B$27:Q27)</f>
        <v>37.894291520598259</v>
      </c>
      <c r="R28" s="65">
        <f>SUM($B$27:R27)</f>
        <v>37.894291520598259</v>
      </c>
      <c r="S28" s="65">
        <f>SUM($B$27:S27)</f>
        <v>37.894291520598259</v>
      </c>
      <c r="T28" s="65">
        <f>SUM($B$27:T27)</f>
        <v>37.894291520598259</v>
      </c>
      <c r="U28" s="65">
        <f>SUM($B$27:U27)</f>
        <v>37.894291520598259</v>
      </c>
      <c r="V28" s="65">
        <f>SUM($B$27:V27)</f>
        <v>37.894291520598259</v>
      </c>
      <c r="W28" s="65">
        <f>SUM($B$27:W27)</f>
        <v>37.894291520598259</v>
      </c>
      <c r="X28" s="65">
        <f>SUM($B$27:X27)</f>
        <v>37.894291520598259</v>
      </c>
      <c r="Y28" s="65">
        <f>SUM($B$27:Y27)</f>
        <v>37.894291520598259</v>
      </c>
      <c r="Z28" s="65">
        <f>SUM($B$27:Z27)</f>
        <v>37.894291520598259</v>
      </c>
      <c r="AA28" s="65">
        <f>SUM($B$27:AA27)</f>
        <v>37.894291520598259</v>
      </c>
      <c r="AB28" s="65">
        <f>SUM($B$27:AB27)</f>
        <v>37.894291520598259</v>
      </c>
      <c r="AC28" s="65">
        <f>SUM($B$27:AC27)</f>
        <v>37.894291520598259</v>
      </c>
      <c r="AD28" s="65">
        <f>SUM($B$27:AD27)</f>
        <v>37.894291520598259</v>
      </c>
      <c r="AE28" s="65">
        <f>SUM($B$27:AE27)</f>
        <v>37.894291520598259</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NEBRASKA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0.73099999999999998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0.26900000000000002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5.5401454203114655</v>
      </c>
      <c r="G8" s="59">
        <f>calcs!G24</f>
        <v>5.5401454203114655</v>
      </c>
      <c r="H8" s="59">
        <f>calcs!H24</f>
        <v>5.5401454203114655</v>
      </c>
      <c r="I8" s="59">
        <f>calcs!I24</f>
        <v>5.5401454203114655</v>
      </c>
      <c r="J8" s="59">
        <f>calcs!J24</f>
        <v>5.5401454203114655</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2.0387128838081865</v>
      </c>
      <c r="G8" s="2">
        <f>calcs!G25</f>
        <v>2.0387128838081865</v>
      </c>
      <c r="H8" s="2">
        <f>calcs!H25</f>
        <v>2.0387128838081865</v>
      </c>
      <c r="I8" s="2">
        <f>calcs!I25</f>
        <v>2.0387128838081865</v>
      </c>
      <c r="J8" s="2">
        <f>calcs!J25</f>
        <v>2.0387128838081865</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2026-08-26T19:25:24Z</dcterms:modified>
</cp:coreProperties>
</file>