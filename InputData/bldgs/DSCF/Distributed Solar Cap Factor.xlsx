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594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Solar - PV Dist. Res 2020" sheetId="3" state="visible" r:id="rId3"/>
    <sheet xmlns:r="http://schemas.openxmlformats.org/officeDocument/2006/relationships" name="DSCF" sheetId="4" state="visible" r:id="rId4"/>
  </sheets>
  <externalReferences>
    <externalReference xmlns:r="http://schemas.openxmlformats.org/officeDocument/2006/relationships" r:id="rId5"/>
  </externalReferences>
  <definedNames>
    <definedName name="cities">Calculations!$B$61:$B$65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3">
    <font>
      <name val="Arial"/>
      <color theme="1"/>
      <sz val="11"/>
    </font>
    <font>
      <name val="Calibri"/>
      <family val="2"/>
      <b val="1"/>
      <color theme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Arial"/>
      <family val="2"/>
      <color theme="10"/>
      <sz val="11"/>
      <u val="single"/>
    </font>
    <font>
      <name val="Calibri"/>
      <family val="2"/>
      <i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 style="thin">
        <color theme="0" tint="-0.1499679555650502"/>
      </left>
      <right/>
      <top style="thin">
        <color theme="0" tint="-0.1499679555650502"/>
      </top>
      <bottom/>
      <diagonal/>
    </border>
    <border>
      <left/>
      <right/>
      <top style="thin">
        <color theme="0" tint="-0.1499679555650502"/>
      </top>
      <bottom/>
      <diagonal/>
    </border>
    <border>
      <left/>
      <right/>
      <top style="thin">
        <color theme="0" tint="-0.1499679555650502"/>
      </top>
      <bottom style="thin">
        <color theme="0"/>
      </bottom>
      <diagonal/>
    </border>
    <border>
      <left style="thin">
        <color theme="0" tint="-0.1499679555650502"/>
      </left>
      <right/>
      <top/>
      <bottom/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</borders>
  <cellStyleXfs count="2">
    <xf numFmtId="0" fontId="0" fillId="0" borderId="1"/>
    <xf numFmtId="9" fontId="11" fillId="0" borderId="1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 vertical="top"/>
    </xf>
    <xf numFmtId="0" fontId="8" fillId="0" borderId="5" pivotButton="0" quotePrefix="0" xfId="0"/>
    <xf numFmtId="165" fontId="7" fillId="3" borderId="6" pivotButton="0" quotePrefix="0" xfId="1"/>
    <xf numFmtId="165" fontId="7" fillId="3" borderId="2" pivotButton="0" quotePrefix="0" xfId="1"/>
    <xf numFmtId="0" fontId="8" fillId="0" borderId="8" pivotButton="0" quotePrefix="0" xfId="0"/>
    <xf numFmtId="165" fontId="7" fillId="3" borderId="3" pivotButton="0" quotePrefix="0" xfId="1"/>
    <xf numFmtId="0" fontId="10" fillId="0" borderId="0" pivotButton="0" quotePrefix="0" xfId="0"/>
    <xf numFmtId="0" fontId="0" fillId="0" borderId="1" pivotButton="0" quotePrefix="0" xfId="0"/>
    <xf numFmtId="0" fontId="10" fillId="0" borderId="1" pivotButton="0" quotePrefix="0" xfId="0"/>
    <xf numFmtId="0" fontId="7" fillId="0" borderId="1" applyAlignment="1" pivotButton="0" quotePrefix="0" xfId="0">
      <alignment horizontal="center" vertical="top"/>
    </xf>
    <xf numFmtId="0" fontId="12" fillId="0" borderId="1" pivotButton="0" quotePrefix="0" xfId="0"/>
    <xf numFmtId="164" fontId="0" fillId="0" borderId="1" pivotButton="0" quotePrefix="0" xfId="0"/>
    <xf numFmtId="0" fontId="10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left"/>
    </xf>
    <xf numFmtId="0" fontId="9" fillId="2" borderId="4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14" fontId="0" fillId="0" borderId="0" pivotButton="0" quotePrefix="0" xfId="0"/>
    <xf numFmtId="0" fontId="9" fillId="2" borderId="1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nathaniyer/Downloads/2020-ATB-Data-Mac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face and Contents"/>
      <sheetName val="Financial Definitions"/>
      <sheetName val="Offshore Wind"/>
      <sheetName val="Land-Based Wind"/>
      <sheetName val="Solar - Utility PV"/>
      <sheetName val="Solar - PV Dist. Comm"/>
      <sheetName val="Solar - PV Dist. Res"/>
      <sheetName val="Solar - CSP"/>
      <sheetName val="Geothermal"/>
      <sheetName val="Hydropower"/>
      <sheetName val="Coal"/>
      <sheetName val="Natural Gas"/>
      <sheetName val="Nuclear"/>
      <sheetName val="Biopower"/>
      <sheetName val="Storage"/>
      <sheetName val="WACC Calc"/>
      <sheetName val="Summary"/>
      <sheetName val="Summary_CAPEX"/>
      <sheetName val="Summary_CF"/>
      <sheetName val="Summary_LCOE"/>
      <sheetName val="Summary_FOM"/>
      <sheetName val="Summary_VOM"/>
      <sheetName val="Summary_Fuel"/>
      <sheetName val="Summary_WACCNomTech"/>
      <sheetName val="LCOE Range"/>
      <sheetName val="PV OCC"/>
      <sheetName val="Program Goals"/>
      <sheetName val="2020-ATB-Data-Mac"/>
    </sheetNames>
    <definedNames>
      <definedName name="CapacityFactorDefini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H22" sqref="H22"/>
    </sheetView>
  </sheetViews>
  <sheetFormatPr baseColWidth="10" defaultColWidth="12.6640625" defaultRowHeight="15" customHeight="1"/>
  <cols>
    <col width="18.33203125" customWidth="1" min="1" max="1"/>
    <col width="7.6640625" customWidth="1" min="2" max="26"/>
  </cols>
  <sheetData>
    <row r="1">
      <c r="A1" s="1" t="inlineStr">
        <is>
          <t>DSCF Distributed Solar Capacity Factor</t>
        </is>
      </c>
      <c r="B1" s="2" t="inlineStr">
        <is>
          <t>Nebraska</t>
        </is>
      </c>
      <c r="C1" s="31" t="n">
        <v>44307</v>
      </c>
    </row>
    <row r="3">
      <c r="A3" s="1" t="inlineStr">
        <is>
          <t>Source:</t>
        </is>
      </c>
      <c r="B3" s="3" t="inlineStr">
        <is>
          <t>NREL</t>
        </is>
      </c>
    </row>
    <row r="4">
      <c r="B4" s="4" t="n">
        <v>2020</v>
      </c>
    </row>
    <row r="5">
      <c r="B5" s="3" t="inlineStr">
        <is>
          <t>Annual Technology Baseline 2020</t>
        </is>
      </c>
    </row>
    <row r="6" ht="14" customHeight="1">
      <c r="B6" t="inlineStr">
        <is>
          <t>https://atb.nrel.gov/electricity/2020/files/2020-ATB-Data-Mac.xlsm</t>
        </is>
      </c>
    </row>
    <row r="7">
      <c r="B7" s="3" t="inlineStr">
        <is>
          <t>"Solar - PV Dist. Res" tab</t>
        </is>
      </c>
    </row>
    <row r="9">
      <c r="A9" s="1" t="inlineStr">
        <is>
          <t>Source for state data</t>
        </is>
      </c>
      <c r="B9" s="27" t="inlineStr">
        <is>
          <t xml:space="preserve">Geographic center of state </t>
        </is>
      </c>
    </row>
    <row r="10">
      <c r="B10" s="27" t="inlineStr">
        <is>
          <t xml:space="preserve">Closest to representative city </t>
        </is>
      </c>
    </row>
    <row r="11">
      <c r="B11" s="4" t="n"/>
    </row>
    <row r="12" ht="14" customHeight="1">
      <c r="B12" s="5" t="n"/>
    </row>
    <row r="14">
      <c r="A14" s="1" t="inlineStr">
        <is>
          <t>Notes (ATB)</t>
        </is>
      </c>
    </row>
    <row r="15">
      <c r="A15" s="3" t="inlineStr">
        <is>
          <t>We use the "Mid" cases for each city.</t>
        </is>
      </c>
    </row>
    <row r="18">
      <c r="A18" s="1" t="n"/>
    </row>
    <row r="19">
      <c r="A19" s="3" t="n"/>
    </row>
    <row r="20">
      <c r="A20" s="3" t="n"/>
    </row>
    <row r="21" ht="15.75" customHeight="1">
      <c r="A21" s="6" t="n"/>
    </row>
    <row r="22" ht="15.75" customHeight="1">
      <c r="A22" s="3" t="n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B6" sqref="B6"/>
    </sheetView>
  </sheetViews>
  <sheetFormatPr baseColWidth="10" defaultColWidth="11" defaultRowHeight="14"/>
  <cols>
    <col width="25.33203125" customWidth="1" style="26" min="1" max="1"/>
    <col width="18" customWidth="1" style="26" min="2" max="2"/>
    <col width="21.33203125" customWidth="1" style="26" min="3" max="3"/>
    <col width="11" customWidth="1" style="26" min="4" max="16384"/>
  </cols>
  <sheetData>
    <row r="1" customFormat="1" s="26">
      <c r="B1" s="20" t="n"/>
      <c r="C1" s="21" t="n">
        <v>2018</v>
      </c>
      <c r="D1" s="21" t="n">
        <v>2019</v>
      </c>
      <c r="E1" s="21" t="n">
        <v>2020</v>
      </c>
      <c r="F1" s="21" t="n">
        <v>2021</v>
      </c>
      <c r="G1" s="21" t="n">
        <v>2022</v>
      </c>
      <c r="H1" s="21" t="n">
        <v>2023</v>
      </c>
      <c r="I1" s="21" t="n">
        <v>2024</v>
      </c>
      <c r="J1" s="21" t="n">
        <v>2025</v>
      </c>
      <c r="K1" s="21" t="n">
        <v>2026</v>
      </c>
      <c r="L1" s="21" t="n">
        <v>2027</v>
      </c>
      <c r="M1" s="21" t="n">
        <v>2028</v>
      </c>
      <c r="N1" s="21" t="n">
        <v>2029</v>
      </c>
      <c r="O1" s="21" t="n">
        <v>2030</v>
      </c>
      <c r="P1" s="21" t="n">
        <v>2031</v>
      </c>
      <c r="Q1" s="21" t="n">
        <v>2032</v>
      </c>
      <c r="R1" s="21" t="n">
        <v>2033</v>
      </c>
      <c r="S1" s="21" t="n">
        <v>2034</v>
      </c>
      <c r="T1" s="21" t="n">
        <v>2035</v>
      </c>
      <c r="U1" s="21" t="n">
        <v>2036</v>
      </c>
      <c r="V1" s="21" t="n">
        <v>2037</v>
      </c>
      <c r="W1" s="21" t="n">
        <v>2038</v>
      </c>
      <c r="X1" s="21" t="n">
        <v>2039</v>
      </c>
      <c r="Y1" s="21" t="n">
        <v>2040</v>
      </c>
      <c r="Z1" s="21" t="n">
        <v>2041</v>
      </c>
      <c r="AA1" s="21" t="n">
        <v>2042</v>
      </c>
      <c r="AB1" s="21" t="n">
        <v>2043</v>
      </c>
      <c r="AC1" s="21" t="n">
        <v>2044</v>
      </c>
      <c r="AD1" s="21" t="n">
        <v>2045</v>
      </c>
      <c r="AE1" s="21" t="n">
        <v>2046</v>
      </c>
      <c r="AF1" s="21" t="n">
        <v>2047</v>
      </c>
      <c r="AG1" s="21" t="n">
        <v>2048</v>
      </c>
      <c r="AH1" s="21" t="n">
        <v>2049</v>
      </c>
      <c r="AI1" s="21" t="n">
        <v>2050</v>
      </c>
    </row>
    <row r="2" customFormat="1" s="26">
      <c r="A2" s="22" t="inlineStr">
        <is>
          <t>State</t>
        </is>
      </c>
      <c r="B2" s="26">
        <f>About!B1</f>
        <v/>
      </c>
    </row>
    <row r="3" customFormat="1" s="26">
      <c r="A3" s="22" t="inlineStr">
        <is>
          <t>Closest Rep City (Latitude)</t>
        </is>
      </c>
      <c r="B3" s="26">
        <f>LOOKUP(B2,A8:C58,C8:C58)</f>
        <v/>
      </c>
      <c r="C3" s="26">
        <f>SUMIFS(B75:B79,$A75:$A79,$B3)</f>
        <v/>
      </c>
      <c r="D3" s="26">
        <f>SUMIFS(C75:C79,$A75:$A79,$B3)</f>
        <v/>
      </c>
      <c r="E3" s="26">
        <f>SUMIFS(D75:D79,$A75:$A79,$B3)</f>
        <v/>
      </c>
      <c r="F3" s="26">
        <f>SUMIFS(E75:E79,$A75:$A79,$B3)</f>
        <v/>
      </c>
      <c r="G3" s="26">
        <f>SUMIFS(F75:F79,$A75:$A79,$B3)</f>
        <v/>
      </c>
      <c r="H3" s="26">
        <f>SUMIFS(G75:G79,$A75:$A79,$B3)</f>
        <v/>
      </c>
      <c r="I3" s="26">
        <f>SUMIFS(H75:H79,$A75:$A79,$B3)</f>
        <v/>
      </c>
      <c r="J3" s="26">
        <f>SUMIFS(I75:I79,$A75:$A79,$B3)</f>
        <v/>
      </c>
      <c r="K3" s="26">
        <f>SUMIFS(J75:J79,$A75:$A79,$B3)</f>
        <v/>
      </c>
      <c r="L3" s="26">
        <f>SUMIFS(K75:K79,$A75:$A79,$B3)</f>
        <v/>
      </c>
      <c r="M3" s="26">
        <f>SUMIFS(L75:L79,$A75:$A79,$B3)</f>
        <v/>
      </c>
      <c r="N3" s="26">
        <f>SUMIFS(M75:M79,$A75:$A79,$B3)</f>
        <v/>
      </c>
      <c r="O3" s="26">
        <f>SUMIFS(N75:N79,$A75:$A79,$B3)</f>
        <v/>
      </c>
      <c r="P3" s="26">
        <f>SUMIFS(O75:O79,$A75:$A79,$B3)</f>
        <v/>
      </c>
      <c r="Q3" s="26">
        <f>SUMIFS(P75:P79,$A75:$A79,$B3)</f>
        <v/>
      </c>
      <c r="R3" s="26">
        <f>SUMIFS(Q75:Q79,$A75:$A79,$B3)</f>
        <v/>
      </c>
      <c r="S3" s="26">
        <f>SUMIFS(R75:R79,$A75:$A79,$B3)</f>
        <v/>
      </c>
      <c r="T3" s="26">
        <f>SUMIFS(S75:S79,$A75:$A79,$B3)</f>
        <v/>
      </c>
      <c r="U3" s="26">
        <f>SUMIFS(T75:T79,$A75:$A79,$B3)</f>
        <v/>
      </c>
      <c r="V3" s="26">
        <f>SUMIFS(U75:U79,$A75:$A79,$B3)</f>
        <v/>
      </c>
      <c r="W3" s="26">
        <f>SUMIFS(V75:V79,$A75:$A79,$B3)</f>
        <v/>
      </c>
      <c r="X3" s="26">
        <f>SUMIFS(W75:W79,$A75:$A79,$B3)</f>
        <v/>
      </c>
      <c r="Y3" s="26">
        <f>SUMIFS(X75:X79,$A75:$A79,$B3)</f>
        <v/>
      </c>
      <c r="Z3" s="26">
        <f>SUMIFS(Y75:Y79,$A75:$A79,$B3)</f>
        <v/>
      </c>
      <c r="AA3" s="26">
        <f>SUMIFS(Z75:Z79,$A75:$A79,$B3)</f>
        <v/>
      </c>
      <c r="AB3" s="26">
        <f>SUMIFS(AA75:AA79,$A75:$A79,$B3)</f>
        <v/>
      </c>
      <c r="AC3" s="26">
        <f>SUMIFS(AB75:AB79,$A75:$A79,$B3)</f>
        <v/>
      </c>
      <c r="AD3" s="26">
        <f>SUMIFS(AC75:AC79,$A75:$A79,$B3)</f>
        <v/>
      </c>
      <c r="AE3" s="26">
        <f>SUMIFS(AD75:AD79,$A75:$A79,$B3)</f>
        <v/>
      </c>
      <c r="AF3" s="26">
        <f>SUMIFS(AE75:AE79,$A75:$A79,$B3)</f>
        <v/>
      </c>
      <c r="AG3" s="26">
        <f>SUMIFS(AF75:AF79,$A75:$A79,$B3)</f>
        <v/>
      </c>
      <c r="AH3" s="26">
        <f>SUMIFS(AG75:AG79,$A75:$A79,$B3)</f>
        <v/>
      </c>
      <c r="AI3" s="26">
        <f>SUMIFS(AH75:AH79,$A75:$A79,$B3)</f>
        <v/>
      </c>
    </row>
    <row r="4" customFormat="1" s="26">
      <c r="F4" s="20" t="n"/>
    </row>
    <row r="5" customFormat="1" s="26"/>
    <row r="6" customFormat="1" s="26"/>
    <row r="7" customFormat="1" s="26">
      <c r="A7" s="20" t="inlineStr">
        <is>
          <t>State or federal district</t>
        </is>
      </c>
      <c r="B7" s="20" t="inlineStr">
        <is>
          <t>Location (N) (Center)</t>
        </is>
      </c>
      <c r="E7" s="20" t="n"/>
    </row>
    <row r="8" customFormat="1" s="26">
      <c r="A8" s="26" t="inlineStr">
        <is>
          <t>Alabama</t>
        </is>
      </c>
      <c r="B8" s="26" t="n">
        <v>32.7794</v>
      </c>
      <c r="C8" s="26">
        <f t="array" ref="C8">INDEX(A$61:A$65,MATCH(MIN(ABS(cities-B8)),ABS(cities-B8),0))</f>
        <v/>
      </c>
    </row>
    <row r="9" customFormat="1" s="26">
      <c r="A9" s="26" t="inlineStr">
        <is>
          <t>Alaska</t>
        </is>
      </c>
      <c r="B9" s="26" t="n">
        <v>64.0685</v>
      </c>
      <c r="C9" s="26">
        <f t="array" ref="C9">INDEX(A$61:A$65,MATCH(MIN(ABS(cities-B9)),ABS(cities-B9),0))</f>
        <v/>
      </c>
    </row>
    <row r="10" customFormat="1" s="26">
      <c r="A10" s="26" t="inlineStr">
        <is>
          <t>Arizona</t>
        </is>
      </c>
      <c r="B10" s="26" t="n">
        <v>34.2744</v>
      </c>
      <c r="C10" s="26">
        <f t="array" ref="C10">INDEX(A$61:A$65,MATCH(MIN(ABS(cities-B10)),ABS(cities-B10),0))</f>
        <v/>
      </c>
    </row>
    <row r="11" customFormat="1" s="26">
      <c r="A11" s="26" t="inlineStr">
        <is>
          <t>Arkansas</t>
        </is>
      </c>
      <c r="B11" s="23" t="n">
        <v>34.8938</v>
      </c>
      <c r="C11" s="26">
        <f t="array" ref="C11">INDEX(A$61:A$65,MATCH(MIN(ABS(cities-B11)),ABS(cities-B11),0))</f>
        <v/>
      </c>
    </row>
    <row r="12" customFormat="1" s="26">
      <c r="A12" s="26" t="inlineStr">
        <is>
          <t>California</t>
        </is>
      </c>
      <c r="B12" s="26" t="n">
        <v>37.1841</v>
      </c>
      <c r="C12" s="26">
        <f t="array" ref="C12">INDEX(A$61:A$65,MATCH(MIN(ABS(cities-B12)),ABS(cities-B12),0))</f>
        <v/>
      </c>
    </row>
    <row r="13" customFormat="1" s="26">
      <c r="A13" s="26" t="inlineStr">
        <is>
          <t>Colorado</t>
        </is>
      </c>
      <c r="B13" s="26" t="n">
        <v>38.9972</v>
      </c>
      <c r="C13" s="26">
        <f t="array" ref="C13">INDEX(A$61:A$65,MATCH(MIN(ABS(cities-B13)),ABS(cities-B13),0))</f>
        <v/>
      </c>
    </row>
    <row r="14" customFormat="1" s="26">
      <c r="A14" s="26" t="inlineStr">
        <is>
          <t>Connecticut</t>
        </is>
      </c>
      <c r="B14" s="26" t="n">
        <v>41.6219</v>
      </c>
      <c r="C14" s="26">
        <f t="array" ref="C14">INDEX(A$61:A$65,MATCH(MIN(ABS(cities-B14)),ABS(cities-B14),0))</f>
        <v/>
      </c>
    </row>
    <row r="15" customFormat="1" s="26">
      <c r="A15" s="26" t="inlineStr">
        <is>
          <t>Delaware</t>
        </is>
      </c>
      <c r="B15" s="26" t="n">
        <v>38.9896</v>
      </c>
      <c r="C15" s="26">
        <f t="array" ref="C15">INDEX(A$61:A$65,MATCH(MIN(ABS(cities-B15)),ABS(cities-B15),0))</f>
        <v/>
      </c>
    </row>
    <row r="16" customFormat="1" s="26">
      <c r="A16" s="26" t="inlineStr">
        <is>
          <t>District of Columbia</t>
        </is>
      </c>
      <c r="B16" s="26" t="n">
        <v>38.9101</v>
      </c>
      <c r="C16" s="26">
        <f t="array" ref="C16">INDEX(A$61:A$65,MATCH(MIN(ABS(cities-B16)),ABS(cities-B16),0))</f>
        <v/>
      </c>
    </row>
    <row r="17" customFormat="1" s="26">
      <c r="A17" s="26" t="inlineStr">
        <is>
          <t>Florida</t>
        </is>
      </c>
      <c r="B17" s="26" t="n">
        <v>28.6305</v>
      </c>
      <c r="C17" s="26">
        <f t="array" ref="C17">INDEX(A$61:A$65,MATCH(MIN(ABS(cities-B17)),ABS(cities-B17),0))</f>
        <v/>
      </c>
    </row>
    <row r="18" customFormat="1" s="26">
      <c r="A18" s="26" t="inlineStr">
        <is>
          <t>Georgia</t>
        </is>
      </c>
      <c r="B18" s="26" t="n">
        <v>32.6415</v>
      </c>
      <c r="C18" s="26">
        <f t="array" ref="C18">INDEX(A$61:A$65,MATCH(MIN(ABS(cities-B18)),ABS(cities-B18),0))</f>
        <v/>
      </c>
    </row>
    <row r="19" customFormat="1" s="26">
      <c r="A19" s="26" t="inlineStr">
        <is>
          <t>Hawaii</t>
        </is>
      </c>
      <c r="B19" s="26" t="n">
        <v>20.2927</v>
      </c>
      <c r="C19" s="26">
        <f t="array" ref="C19">INDEX(A$61:A$65,MATCH(MIN(ABS(cities-B19)),ABS(cities-B19),0))</f>
        <v/>
      </c>
    </row>
    <row r="20" customFormat="1" s="26">
      <c r="A20" s="26" t="inlineStr">
        <is>
          <t>Idaho</t>
        </is>
      </c>
      <c r="B20" s="26" t="n">
        <v>44.3509</v>
      </c>
      <c r="C20" s="26">
        <f t="array" ref="C20">INDEX(A$61:A$65,MATCH(MIN(ABS(cities-B20)),ABS(cities-B20),0))</f>
        <v/>
      </c>
    </row>
    <row r="21" customFormat="1" s="26">
      <c r="A21" s="26" t="inlineStr">
        <is>
          <t>Illinois</t>
        </is>
      </c>
      <c r="B21" s="26" t="n">
        <v>40.0417</v>
      </c>
      <c r="C21" s="26">
        <f t="array" ref="C21">INDEX(A$61:A$65,MATCH(MIN(ABS(cities-B21)),ABS(cities-B21),0))</f>
        <v/>
      </c>
    </row>
    <row r="22" customFormat="1" s="26">
      <c r="A22" s="26" t="inlineStr">
        <is>
          <t>Indiana</t>
        </is>
      </c>
      <c r="B22" s="26" t="n">
        <v>39.8942</v>
      </c>
      <c r="C22" s="26">
        <f t="array" ref="C22">INDEX(A$61:A$65,MATCH(MIN(ABS(cities-B22)),ABS(cities-B22),0))</f>
        <v/>
      </c>
    </row>
    <row r="23" customFormat="1" s="26">
      <c r="A23" s="26" t="inlineStr">
        <is>
          <t>Iowa</t>
        </is>
      </c>
      <c r="B23" s="26" t="n">
        <v>42.0751</v>
      </c>
      <c r="C23" s="26">
        <f t="array" ref="C23">INDEX(A$61:A$65,MATCH(MIN(ABS(cities-B23)),ABS(cities-B23),0))</f>
        <v/>
      </c>
    </row>
    <row r="24" customFormat="1" s="26">
      <c r="A24" s="26" t="inlineStr">
        <is>
          <t>Kansas</t>
        </is>
      </c>
      <c r="B24" s="26" t="n">
        <v>38.4937</v>
      </c>
      <c r="C24" s="26">
        <f t="array" ref="C24">INDEX(A$61:A$65,MATCH(MIN(ABS(cities-B24)),ABS(cities-B24),0))</f>
        <v/>
      </c>
    </row>
    <row r="25" customFormat="1" s="26">
      <c r="A25" s="26" t="inlineStr">
        <is>
          <t>Kentucky</t>
        </is>
      </c>
      <c r="B25" s="26" t="n">
        <v>37.5347</v>
      </c>
      <c r="C25" s="26">
        <f t="array" ref="C25">INDEX(A$61:A$65,MATCH(MIN(ABS(cities-B25)),ABS(cities-B25),0))</f>
        <v/>
      </c>
    </row>
    <row r="26" customFormat="1" s="26">
      <c r="A26" s="26" t="inlineStr">
        <is>
          <t>Louisiana</t>
        </is>
      </c>
      <c r="B26" s="26" t="n">
        <v>31.0689</v>
      </c>
      <c r="C26" s="26">
        <f t="array" ref="C26">INDEX(A$61:A$65,MATCH(MIN(ABS(cities-B26)),ABS(cities-B26),0))</f>
        <v/>
      </c>
    </row>
    <row r="27" customFormat="1" s="26">
      <c r="A27" s="26" t="inlineStr">
        <is>
          <t>Maine</t>
        </is>
      </c>
      <c r="B27" s="26" t="n">
        <v>45.3695</v>
      </c>
      <c r="C27" s="26">
        <f t="array" ref="C27">INDEX(A$61:A$65,MATCH(MIN(ABS(cities-B27)),ABS(cities-B27),0))</f>
        <v/>
      </c>
    </row>
    <row r="28" customFormat="1" s="26">
      <c r="A28" s="26" t="inlineStr">
        <is>
          <t>Maryland</t>
        </is>
      </c>
      <c r="B28" s="26" t="n">
        <v>39.055</v>
      </c>
      <c r="C28" s="26">
        <f t="array" ref="C28">INDEX(A$61:A$65,MATCH(MIN(ABS(cities-B28)),ABS(cities-B28),0))</f>
        <v/>
      </c>
    </row>
    <row r="29" customFormat="1" s="26">
      <c r="A29" s="26" t="inlineStr">
        <is>
          <t>Massachusetts</t>
        </is>
      </c>
      <c r="B29" s="26" t="n">
        <v>42.2596</v>
      </c>
      <c r="C29" s="26">
        <f t="array" ref="C29">INDEX(A$61:A$65,MATCH(MIN(ABS(cities-B29)),ABS(cities-B29),0))</f>
        <v/>
      </c>
    </row>
    <row r="30" customFormat="1" s="26">
      <c r="A30" s="26" t="inlineStr">
        <is>
          <t>Michigan</t>
        </is>
      </c>
      <c r="B30" s="26" t="n">
        <v>44.3467</v>
      </c>
      <c r="C30" s="26">
        <f t="array" ref="C30">INDEX(A$61:A$65,MATCH(MIN(ABS(cities-B30)),ABS(cities-B30),0))</f>
        <v/>
      </c>
    </row>
    <row r="31" customFormat="1" s="26">
      <c r="A31" s="26" t="inlineStr">
        <is>
          <t>Minnesota</t>
        </is>
      </c>
      <c r="B31" s="26" t="n">
        <v>46.2807</v>
      </c>
      <c r="C31" s="26">
        <f t="array" ref="C31">INDEX(A$61:A$65,MATCH(MIN(ABS(cities-B31)),ABS(cities-B31),0))</f>
        <v/>
      </c>
    </row>
    <row r="32" customFormat="1" s="26">
      <c r="A32" s="26" t="inlineStr">
        <is>
          <t>Mississippi</t>
        </is>
      </c>
      <c r="B32" s="26" t="n">
        <v>32.7364</v>
      </c>
      <c r="C32" s="26">
        <f t="array" ref="C32">INDEX(A$61:A$65,MATCH(MIN(ABS(cities-B32)),ABS(cities-B32),0))</f>
        <v/>
      </c>
    </row>
    <row r="33" customFormat="1" s="26">
      <c r="A33" s="26" t="inlineStr">
        <is>
          <t>Missouri</t>
        </is>
      </c>
      <c r="B33" s="26" t="n">
        <v>38.3566</v>
      </c>
      <c r="C33" s="26">
        <f t="array" ref="C33">INDEX(A$61:A$65,MATCH(MIN(ABS(cities-B33)),ABS(cities-B33),0))</f>
        <v/>
      </c>
    </row>
    <row r="34" customFormat="1" s="26">
      <c r="A34" s="26" t="inlineStr">
        <is>
          <t>Montana</t>
        </is>
      </c>
      <c r="B34" s="26" t="n">
        <v>47.0527</v>
      </c>
      <c r="C34" s="26">
        <f t="array" ref="C34">INDEX(A$61:A$65,MATCH(MIN(ABS(cities-B34)),ABS(cities-B34),0))</f>
        <v/>
      </c>
    </row>
    <row r="35" customFormat="1" s="26">
      <c r="A35" s="26" t="inlineStr">
        <is>
          <t>Nebraska</t>
        </is>
      </c>
      <c r="B35" s="26" t="n">
        <v>41.5378</v>
      </c>
      <c r="C35" s="26">
        <f t="array" ref="C35">INDEX(A$61:A$65,MATCH(MIN(ABS(cities-B35)),ABS(cities-B35),0))</f>
        <v/>
      </c>
    </row>
    <row r="36" customFormat="1" s="26">
      <c r="A36" s="26" t="inlineStr">
        <is>
          <t>Nevada</t>
        </is>
      </c>
      <c r="B36" s="26" t="n">
        <v>39.3289</v>
      </c>
      <c r="C36" s="26">
        <f t="array" ref="C36">INDEX(A$61:A$65,MATCH(MIN(ABS(cities-B36)),ABS(cities-B36),0))</f>
        <v/>
      </c>
    </row>
    <row r="37" customFormat="1" s="26">
      <c r="A37" s="26" t="inlineStr">
        <is>
          <t>New Hampshire</t>
        </is>
      </c>
      <c r="B37" s="26" t="n">
        <v>43.6805</v>
      </c>
      <c r="C37" s="26">
        <f t="array" ref="C37">INDEX(A$61:A$65,MATCH(MIN(ABS(cities-B37)),ABS(cities-B37),0))</f>
        <v/>
      </c>
    </row>
    <row r="38" customFormat="1" s="26">
      <c r="A38" s="26" t="inlineStr">
        <is>
          <t>New Jersey</t>
        </is>
      </c>
      <c r="B38" s="26" t="n">
        <v>40.1907</v>
      </c>
      <c r="C38" s="26">
        <f t="array" ref="C38">INDEX(A$61:A$65,MATCH(MIN(ABS(cities-B38)),ABS(cities-B38),0))</f>
        <v/>
      </c>
    </row>
    <row r="39" customFormat="1" s="26">
      <c r="A39" s="26" t="inlineStr">
        <is>
          <t>New Mexico</t>
        </is>
      </c>
      <c r="B39" s="26" t="n">
        <v>34.4071</v>
      </c>
      <c r="C39" s="26">
        <f t="array" ref="C39">INDEX(A$61:A$65,MATCH(MIN(ABS(cities-B39)),ABS(cities-B39),0))</f>
        <v/>
      </c>
    </row>
    <row r="40" customFormat="1" s="26">
      <c r="A40" s="26" t="inlineStr">
        <is>
          <t>New York</t>
        </is>
      </c>
      <c r="B40" s="26" t="n">
        <v>42.9538</v>
      </c>
      <c r="C40" s="26">
        <f t="array" ref="C40">INDEX(A$61:A$65,MATCH(MIN(ABS(cities-B40)),ABS(cities-B40),0))</f>
        <v/>
      </c>
    </row>
    <row r="41" customFormat="1" s="26">
      <c r="A41" s="26" t="inlineStr">
        <is>
          <t>North Carolina</t>
        </is>
      </c>
      <c r="B41" s="26" t="n">
        <v>35.5557</v>
      </c>
      <c r="C41" s="26">
        <f t="array" ref="C41">INDEX(A$61:A$65,MATCH(MIN(ABS(cities-B41)),ABS(cities-B41),0))</f>
        <v/>
      </c>
    </row>
    <row r="42" customFormat="1" s="26">
      <c r="A42" s="26" t="inlineStr">
        <is>
          <t>North Dakota</t>
        </is>
      </c>
      <c r="B42" s="26" t="n">
        <v>47.4501</v>
      </c>
      <c r="C42" s="26">
        <f t="array" ref="C42">INDEX(A$61:A$65,MATCH(MIN(ABS(cities-B42)),ABS(cities-B42),0))</f>
        <v/>
      </c>
    </row>
    <row r="43" customFormat="1" s="26">
      <c r="A43" s="26" t="inlineStr">
        <is>
          <t>Ohio</t>
        </is>
      </c>
      <c r="B43" s="26" t="n">
        <v>40.2862</v>
      </c>
      <c r="C43" s="26">
        <f t="array" ref="C43">INDEX(A$61:A$65,MATCH(MIN(ABS(cities-B43)),ABS(cities-B43),0))</f>
        <v/>
      </c>
    </row>
    <row r="44" customFormat="1" s="26">
      <c r="A44" s="26" t="inlineStr">
        <is>
          <t>Oklahoma</t>
        </is>
      </c>
      <c r="B44" s="26" t="n">
        <v>35.5889</v>
      </c>
      <c r="C44" s="26">
        <f t="array" ref="C44">INDEX(A$61:A$65,MATCH(MIN(ABS(cities-B44)),ABS(cities-B44),0))</f>
        <v/>
      </c>
    </row>
    <row r="45" customFormat="1" s="26">
      <c r="A45" s="26" t="inlineStr">
        <is>
          <t>Oregon</t>
        </is>
      </c>
      <c r="B45" s="26" t="n">
        <v>43.9336</v>
      </c>
      <c r="C45" s="26">
        <f t="array" ref="C45">INDEX(A$61:A$65,MATCH(MIN(ABS(cities-B45)),ABS(cities-B45),0))</f>
        <v/>
      </c>
    </row>
    <row r="46" customFormat="1" s="26">
      <c r="A46" s="26" t="inlineStr">
        <is>
          <t>Pennsylvania</t>
        </is>
      </c>
      <c r="B46" s="26" t="n">
        <v>40.8781</v>
      </c>
      <c r="C46" s="26">
        <f t="array" ref="C46">INDEX(A$61:A$65,MATCH(MIN(ABS(cities-B46)),ABS(cities-B46),0))</f>
        <v/>
      </c>
    </row>
    <row r="47" customFormat="1" s="26">
      <c r="A47" s="26" t="inlineStr">
        <is>
          <t>Rhode Island</t>
        </is>
      </c>
      <c r="B47" s="26" t="n">
        <v>41.6762</v>
      </c>
      <c r="C47" s="26">
        <f t="array" ref="C47">INDEX(A$61:A$65,MATCH(MIN(ABS(cities-B47)),ABS(cities-B47),0))</f>
        <v/>
      </c>
    </row>
    <row r="48" customFormat="1" s="26">
      <c r="A48" s="26" t="inlineStr">
        <is>
          <t>South Carolina</t>
        </is>
      </c>
      <c r="B48" s="26" t="n">
        <v>33.9169</v>
      </c>
      <c r="C48" s="26">
        <f t="array" ref="C48">INDEX(A$61:A$65,MATCH(MIN(ABS(cities-B48)),ABS(cities-B48),0))</f>
        <v/>
      </c>
    </row>
    <row r="49" customFormat="1" s="26">
      <c r="A49" s="26" t="inlineStr">
        <is>
          <t>South Dakota</t>
        </is>
      </c>
      <c r="B49" s="26" t="n">
        <v>44.4443</v>
      </c>
      <c r="C49" s="26">
        <f t="array" ref="C49">INDEX(A$61:A$65,MATCH(MIN(ABS(cities-B49)),ABS(cities-B49),0))</f>
        <v/>
      </c>
    </row>
    <row r="50" customFormat="1" s="26">
      <c r="A50" s="26" t="inlineStr">
        <is>
          <t>Tennessee</t>
        </is>
      </c>
      <c r="B50" s="26" t="n">
        <v>35.858</v>
      </c>
      <c r="C50" s="26">
        <f t="array" ref="C50">INDEX(A$61:A$65,MATCH(MIN(ABS(cities-B50)),ABS(cities-B50),0))</f>
        <v/>
      </c>
    </row>
    <row r="51" customFormat="1" s="26">
      <c r="A51" s="26" t="inlineStr">
        <is>
          <t>Texas</t>
        </is>
      </c>
      <c r="B51" s="26" t="n">
        <v>31.4757</v>
      </c>
      <c r="C51" s="26">
        <f t="array" ref="C51">INDEX(A$61:A$65,MATCH(MIN(ABS(cities-B51)),ABS(cities-B51),0))</f>
        <v/>
      </c>
    </row>
    <row r="52" customFormat="1" s="26">
      <c r="A52" s="26" t="inlineStr">
        <is>
          <t>Utah</t>
        </is>
      </c>
      <c r="B52" s="26" t="n">
        <v>39.3055</v>
      </c>
      <c r="C52" s="26">
        <f t="array" ref="C52">INDEX(A$61:A$65,MATCH(MIN(ABS(cities-B52)),ABS(cities-B52),0))</f>
        <v/>
      </c>
    </row>
    <row r="53" customFormat="1" s="26">
      <c r="A53" s="26" t="inlineStr">
        <is>
          <t>Vermont</t>
        </is>
      </c>
      <c r="B53" s="26" t="n">
        <v>44.0687</v>
      </c>
      <c r="C53" s="26">
        <f t="array" ref="C53">INDEX(A$61:A$65,MATCH(MIN(ABS(cities-B53)),ABS(cities-B53),0))</f>
        <v/>
      </c>
    </row>
    <row r="54" customFormat="1" s="26">
      <c r="A54" s="26" t="inlineStr">
        <is>
          <t>Virginia</t>
        </is>
      </c>
      <c r="B54" s="26" t="n">
        <v>37.5215</v>
      </c>
      <c r="C54" s="26">
        <f t="array" ref="C54">INDEX(A$61:A$65,MATCH(MIN(ABS(cities-B54)),ABS(cities-B54),0))</f>
        <v/>
      </c>
    </row>
    <row r="55" customFormat="1" s="26">
      <c r="A55" s="26" t="inlineStr">
        <is>
          <t>Washington</t>
        </is>
      </c>
      <c r="B55" s="26" t="n">
        <v>47.3826</v>
      </c>
      <c r="C55" s="26">
        <f t="array" ref="C55">INDEX(A$61:A$65,MATCH(MIN(ABS(cities-B55)),ABS(cities-B55),0))</f>
        <v/>
      </c>
    </row>
    <row r="56" customFormat="1" s="26">
      <c r="A56" s="26" t="inlineStr">
        <is>
          <t>West Virginia</t>
        </is>
      </c>
      <c r="B56" s="23" t="n">
        <v>38.6409</v>
      </c>
      <c r="C56" s="26">
        <f t="array" ref="C56">INDEX(A$61:A$65,MATCH(MIN(ABS(cities-B56)),ABS(cities-B56),0))</f>
        <v/>
      </c>
    </row>
    <row r="57" customFormat="1" s="26">
      <c r="A57" s="26" t="inlineStr">
        <is>
          <t>Wisconsin</t>
        </is>
      </c>
      <c r="B57" s="26" t="n">
        <v>44.6243</v>
      </c>
      <c r="C57" s="26">
        <f t="array" ref="C57">INDEX(A$61:A$65,MATCH(MIN(ABS(cities-B57)),ABS(cities-B57),0))</f>
        <v/>
      </c>
    </row>
    <row r="58" customFormat="1" s="26">
      <c r="A58" s="26" t="inlineStr">
        <is>
          <t>Wyoming</t>
        </is>
      </c>
      <c r="B58" s="26" t="n">
        <v>42.9957</v>
      </c>
      <c r="C58" s="26">
        <f t="array" ref="C58">INDEX(A$61:A$65,MATCH(MIN(ABS(cities-B58)),ABS(cities-B58),0))</f>
        <v/>
      </c>
    </row>
    <row r="59" customFormat="1" s="26"/>
    <row r="60" customFormat="1" s="26">
      <c r="B60" s="20" t="inlineStr">
        <is>
          <t>Latitude (N)</t>
        </is>
      </c>
    </row>
    <row r="61" customFormat="1" s="26">
      <c r="A61" s="20" t="inlineStr">
        <is>
          <t>Seattle</t>
        </is>
      </c>
      <c r="B61" s="26" t="n">
        <v>47.6062</v>
      </c>
    </row>
    <row r="62" customFormat="1" s="26">
      <c r="A62" s="20" t="inlineStr">
        <is>
          <t>Chicago</t>
        </is>
      </c>
      <c r="B62" s="26" t="n">
        <v>41.8781</v>
      </c>
    </row>
    <row r="63" customFormat="1" s="26">
      <c r="A63" s="20" t="inlineStr">
        <is>
          <t>Kansas City</t>
        </is>
      </c>
      <c r="B63" s="26" t="n">
        <v>39.0997</v>
      </c>
    </row>
    <row r="64" customFormat="1" s="26">
      <c r="A64" s="24" t="inlineStr">
        <is>
          <t>Los Angeles</t>
        </is>
      </c>
      <c r="B64" s="26" t="n">
        <v>34.0522</v>
      </c>
    </row>
    <row r="65" customFormat="1" s="26">
      <c r="A65" s="24" t="inlineStr">
        <is>
          <t>Daggett</t>
        </is>
      </c>
      <c r="B65" s="26" t="n">
        <v>34.864</v>
      </c>
    </row>
    <row r="66" customFormat="1" s="26"/>
    <row r="67" customFormat="1" s="26"/>
    <row r="68" customFormat="1" s="26"/>
    <row r="69" customFormat="1" s="26"/>
    <row r="70" customFormat="1" s="26"/>
    <row r="71" customFormat="1" s="26"/>
    <row r="72" customFormat="1" s="26"/>
    <row r="73" customFormat="1" s="26"/>
    <row r="74" customFormat="1" s="26">
      <c r="A74" s="25" t="n"/>
      <c r="B74" s="21" t="n">
        <v>2018</v>
      </c>
      <c r="C74" s="21" t="n">
        <v>2019</v>
      </c>
      <c r="D74" s="21" t="n">
        <v>2020</v>
      </c>
      <c r="E74" s="21" t="n">
        <v>2021</v>
      </c>
      <c r="F74" s="21" t="n">
        <v>2022</v>
      </c>
      <c r="G74" s="21" t="n">
        <v>2023</v>
      </c>
      <c r="H74" s="21" t="n">
        <v>2024</v>
      </c>
      <c r="I74" s="21" t="n">
        <v>2025</v>
      </c>
      <c r="J74" s="21" t="n">
        <v>2026</v>
      </c>
      <c r="K74" s="21" t="n">
        <v>2027</v>
      </c>
      <c r="L74" s="21" t="n">
        <v>2028</v>
      </c>
      <c r="M74" s="21" t="n">
        <v>2029</v>
      </c>
      <c r="N74" s="21" t="n">
        <v>2030</v>
      </c>
      <c r="O74" s="21" t="n">
        <v>2031</v>
      </c>
      <c r="P74" s="21" t="n">
        <v>2032</v>
      </c>
      <c r="Q74" s="21" t="n">
        <v>2033</v>
      </c>
      <c r="R74" s="21" t="n">
        <v>2034</v>
      </c>
      <c r="S74" s="21" t="n">
        <v>2035</v>
      </c>
      <c r="T74" s="21" t="n">
        <v>2036</v>
      </c>
      <c r="U74" s="21" t="n">
        <v>2037</v>
      </c>
      <c r="V74" s="21" t="n">
        <v>2038</v>
      </c>
      <c r="W74" s="21" t="n">
        <v>2039</v>
      </c>
      <c r="X74" s="21" t="n">
        <v>2040</v>
      </c>
      <c r="Y74" s="21" t="n">
        <v>2041</v>
      </c>
      <c r="Z74" s="21" t="n">
        <v>2042</v>
      </c>
      <c r="AA74" s="21" t="n">
        <v>2043</v>
      </c>
      <c r="AB74" s="21" t="n">
        <v>2044</v>
      </c>
      <c r="AC74" s="21" t="n">
        <v>2045</v>
      </c>
      <c r="AD74" s="21" t="n">
        <v>2046</v>
      </c>
      <c r="AE74" s="21" t="n">
        <v>2047</v>
      </c>
      <c r="AF74" s="21" t="n">
        <v>2048</v>
      </c>
      <c r="AG74" s="21" t="n">
        <v>2049</v>
      </c>
      <c r="AH74" s="21" t="n">
        <v>2050</v>
      </c>
    </row>
    <row r="75" customFormat="1" s="26">
      <c r="A75" s="20" t="inlineStr">
        <is>
          <t>Seattle</t>
        </is>
      </c>
      <c r="B75" s="15" t="n">
        <v>0.1336912772131114</v>
      </c>
      <c r="C75" s="15" t="n">
        <v>0.1338808835583753</v>
      </c>
      <c r="D75" s="15" t="n">
        <v>0.1340704899036393</v>
      </c>
      <c r="E75" s="15" t="n">
        <v>0.1342600962489032</v>
      </c>
      <c r="F75" s="15" t="n">
        <v>0.1344497025941671</v>
      </c>
      <c r="G75" s="15" t="n">
        <v>0.1346393089394311</v>
      </c>
      <c r="H75" s="15" t="n">
        <v>0.134828915284695</v>
      </c>
      <c r="I75" s="15" t="n">
        <v>0.1350185216299589</v>
      </c>
      <c r="J75" s="15" t="n">
        <v>0.1352081279752229</v>
      </c>
      <c r="K75" s="15" t="n">
        <v>0.1353977343204868</v>
      </c>
      <c r="L75" s="15" t="n">
        <v>0.1355873406657508</v>
      </c>
      <c r="M75" s="15" t="n">
        <v>0.1357769470110147</v>
      </c>
      <c r="N75" s="15" t="n">
        <v>0.1359665533562786</v>
      </c>
      <c r="O75" s="15" t="n">
        <v>0.1361421134922348</v>
      </c>
      <c r="P75" s="15" t="n">
        <v>0.136317673628191</v>
      </c>
      <c r="Q75" s="15" t="n">
        <v>0.1364932337641472</v>
      </c>
      <c r="R75" s="15" t="n">
        <v>0.1366687939001034</v>
      </c>
      <c r="S75" s="15" t="n">
        <v>0.1368443540360595</v>
      </c>
      <c r="T75" s="15" t="n">
        <v>0.1370199141720157</v>
      </c>
      <c r="U75" s="15" t="n">
        <v>0.1371954743079719</v>
      </c>
      <c r="V75" s="15" t="n">
        <v>0.1373710344439281</v>
      </c>
      <c r="W75" s="15" t="n">
        <v>0.1375465945798843</v>
      </c>
      <c r="X75" s="15" t="n">
        <v>0.1377221547158405</v>
      </c>
      <c r="Y75" s="15" t="n">
        <v>0.1378977148517966</v>
      </c>
      <c r="Z75" s="15" t="n">
        <v>0.1380732749877528</v>
      </c>
      <c r="AA75" s="15" t="n">
        <v>0.138248835123709</v>
      </c>
      <c r="AB75" s="15" t="n">
        <v>0.1384243952596652</v>
      </c>
      <c r="AC75" s="15" t="n">
        <v>0.1385999553956214</v>
      </c>
      <c r="AD75" s="15" t="n">
        <v>0.1387755155315775</v>
      </c>
      <c r="AE75" s="15" t="n">
        <v>0.1389510756675337</v>
      </c>
      <c r="AF75" s="15" t="n">
        <v>0.1391266358034899</v>
      </c>
      <c r="AG75" s="15" t="n">
        <v>0.1393021959394461</v>
      </c>
      <c r="AH75" s="15" t="n">
        <v>0.1394777560754024</v>
      </c>
    </row>
    <row r="76" customFormat="1" s="26">
      <c r="A76" s="20" t="inlineStr">
        <is>
          <t>Chicago</t>
        </is>
      </c>
      <c r="B76" s="15" t="n">
        <v>0.1543565795814772</v>
      </c>
      <c r="C76" s="15" t="n">
        <v>0.1545754942895418</v>
      </c>
      <c r="D76" s="15" t="n">
        <v>0.1547944089976063</v>
      </c>
      <c r="E76" s="15" t="n">
        <v>0.1550133237056709</v>
      </c>
      <c r="F76" s="15" t="n">
        <v>0.1552322384137355</v>
      </c>
      <c r="G76" s="15" t="n">
        <v>0.1554511531218</v>
      </c>
      <c r="H76" s="15" t="n">
        <v>0.1556700678298646</v>
      </c>
      <c r="I76" s="15" t="n">
        <v>0.1558889825379292</v>
      </c>
      <c r="J76" s="15" t="n">
        <v>0.1561078972459937</v>
      </c>
      <c r="K76" s="15" t="n">
        <v>0.1563268119540583</v>
      </c>
      <c r="L76" s="15" t="n">
        <v>0.1565457266621229</v>
      </c>
      <c r="M76" s="15" t="n">
        <v>0.1567646413701874</v>
      </c>
      <c r="N76" s="15" t="n">
        <v>0.156983556078252</v>
      </c>
      <c r="O76" s="15" t="n">
        <v>0.1571862533870215</v>
      </c>
      <c r="P76" s="15" t="n">
        <v>0.157388950695791</v>
      </c>
      <c r="Q76" s="15" t="n">
        <v>0.1575916480045605</v>
      </c>
      <c r="R76" s="15" t="n">
        <v>0.15779434531333</v>
      </c>
      <c r="S76" s="15" t="n">
        <v>0.1579970426220995</v>
      </c>
      <c r="T76" s="15" t="n">
        <v>0.1581997399308691</v>
      </c>
      <c r="U76" s="15" t="n">
        <v>0.1584024372396386</v>
      </c>
      <c r="V76" s="15" t="n">
        <v>0.1586051345484081</v>
      </c>
      <c r="W76" s="15" t="n">
        <v>0.1588078318571776</v>
      </c>
      <c r="X76" s="15" t="n">
        <v>0.1590105291659471</v>
      </c>
      <c r="Y76" s="15" t="n">
        <v>0.1592132264747166</v>
      </c>
      <c r="Z76" s="15" t="n">
        <v>0.1594159237834861</v>
      </c>
      <c r="AA76" s="15" t="n">
        <v>0.1596186210922556</v>
      </c>
      <c r="AB76" s="15" t="n">
        <v>0.1598213184010251</v>
      </c>
      <c r="AC76" s="15" t="n">
        <v>0.1600240157097947</v>
      </c>
      <c r="AD76" s="15" t="n">
        <v>0.1602267130185642</v>
      </c>
      <c r="AE76" s="15" t="n">
        <v>0.1604294103273337</v>
      </c>
      <c r="AF76" s="15" t="n">
        <v>0.1606321076361032</v>
      </c>
      <c r="AG76" s="15" t="n">
        <v>0.1608348049448727</v>
      </c>
      <c r="AH76" s="15" t="n">
        <v>0.1610375022536423</v>
      </c>
    </row>
    <row r="77" customFormat="1" s="26">
      <c r="A77" s="20" t="inlineStr">
        <is>
          <t>Kansas City</t>
        </is>
      </c>
      <c r="B77" s="15" t="n">
        <v>0.1651914469868137</v>
      </c>
      <c r="C77" s="15" t="n">
        <v>0.1654257281395183</v>
      </c>
      <c r="D77" s="15" t="n">
        <v>0.1656600092922228</v>
      </c>
      <c r="E77" s="15" t="n">
        <v>0.1658942904449273</v>
      </c>
      <c r="F77" s="15" t="n">
        <v>0.1661285715976319</v>
      </c>
      <c r="G77" s="15" t="n">
        <v>0.1663628527503364</v>
      </c>
      <c r="H77" s="15" t="n">
        <v>0.166597133903041</v>
      </c>
      <c r="I77" s="15" t="n">
        <v>0.1668314150557455</v>
      </c>
      <c r="J77" s="15" t="n">
        <v>0.1670656962084501</v>
      </c>
      <c r="K77" s="15" t="n">
        <v>0.1672999773611546</v>
      </c>
      <c r="L77" s="15" t="n">
        <v>0.1675342585138592</v>
      </c>
      <c r="M77" s="15" t="n">
        <v>0.1677685396665637</v>
      </c>
      <c r="N77" s="15" t="n">
        <v>0.1680028208192683</v>
      </c>
      <c r="O77" s="15" t="n">
        <v>0.1682197462125801</v>
      </c>
      <c r="P77" s="15" t="n">
        <v>0.1684366716058918</v>
      </c>
      <c r="Q77" s="15" t="n">
        <v>0.1686535969992036</v>
      </c>
      <c r="R77" s="15" t="n">
        <v>0.1688705223925153</v>
      </c>
      <c r="S77" s="15" t="n">
        <v>0.1690874477858271</v>
      </c>
      <c r="T77" s="15" t="n">
        <v>0.1693043731791389</v>
      </c>
      <c r="U77" s="15" t="n">
        <v>0.1695212985724506</v>
      </c>
      <c r="V77" s="15" t="n">
        <v>0.1697382239657624</v>
      </c>
      <c r="W77" s="15" t="n">
        <v>0.1699551493590741</v>
      </c>
      <c r="X77" s="15" t="n">
        <v>0.1701720747523859</v>
      </c>
      <c r="Y77" s="15" t="n">
        <v>0.1703890001456976</v>
      </c>
      <c r="Z77" s="15" t="n">
        <v>0.1706059255390094</v>
      </c>
      <c r="AA77" s="15" t="n">
        <v>0.1708228509323211</v>
      </c>
      <c r="AB77" s="15" t="n">
        <v>0.1710397763256329</v>
      </c>
      <c r="AC77" s="15" t="n">
        <v>0.1712567017189446</v>
      </c>
      <c r="AD77" s="15" t="n">
        <v>0.1714736271122564</v>
      </c>
      <c r="AE77" s="15" t="n">
        <v>0.1716905525055681</v>
      </c>
      <c r="AF77" s="15" t="n">
        <v>0.1719074778988799</v>
      </c>
      <c r="AG77" s="15" t="n">
        <v>0.1721244032921916</v>
      </c>
      <c r="AH77" s="15" t="n">
        <v>0.1723413286855034</v>
      </c>
    </row>
    <row r="78" customFormat="1" s="26">
      <c r="A78" s="24" t="inlineStr">
        <is>
          <t>Los Angeles</t>
        </is>
      </c>
      <c r="B78" s="15" t="n">
        <v>0.1899649345788744</v>
      </c>
      <c r="C78" s="15" t="n">
        <v>0.1902343504878599</v>
      </c>
      <c r="D78" s="15" t="n">
        <v>0.1905037663968454</v>
      </c>
      <c r="E78" s="15" t="n">
        <v>0.1907731823058309</v>
      </c>
      <c r="F78" s="15" t="n">
        <v>0.1910425982148164</v>
      </c>
      <c r="G78" s="15" t="n">
        <v>0.1913120141238019</v>
      </c>
      <c r="H78" s="15" t="n">
        <v>0.1915814300327874</v>
      </c>
      <c r="I78" s="15" t="n">
        <v>0.1918508459417728</v>
      </c>
      <c r="J78" s="15" t="n">
        <v>0.1921202618507583</v>
      </c>
      <c r="K78" s="15" t="n">
        <v>0.1923896777597438</v>
      </c>
      <c r="L78" s="15" t="n">
        <v>0.1926590936687293</v>
      </c>
      <c r="M78" s="15" t="n">
        <v>0.1929285095777148</v>
      </c>
      <c r="N78" s="15" t="n">
        <v>0.1931979254867005</v>
      </c>
      <c r="O78" s="15" t="n">
        <v>0.1934473828218145</v>
      </c>
      <c r="P78" s="15" t="n">
        <v>0.1936968401569286</v>
      </c>
      <c r="Q78" s="15" t="n">
        <v>0.1939462974920426</v>
      </c>
      <c r="R78" s="15" t="n">
        <v>0.1941957548271567</v>
      </c>
      <c r="S78" s="15" t="n">
        <v>0.1944452121622707</v>
      </c>
      <c r="T78" s="15" t="n">
        <v>0.1946946694973848</v>
      </c>
      <c r="U78" s="15" t="n">
        <v>0.1949441268324988</v>
      </c>
      <c r="V78" s="15" t="n">
        <v>0.1951935841676129</v>
      </c>
      <c r="W78" s="15" t="n">
        <v>0.195443041502727</v>
      </c>
      <c r="X78" s="15" t="n">
        <v>0.195692498837841</v>
      </c>
      <c r="Y78" s="15" t="n">
        <v>0.1959419561729551</v>
      </c>
      <c r="Z78" s="15" t="n">
        <v>0.1961914135080691</v>
      </c>
      <c r="AA78" s="15" t="n">
        <v>0.1964408708431832</v>
      </c>
      <c r="AB78" s="15" t="n">
        <v>0.1966903281782972</v>
      </c>
      <c r="AC78" s="15" t="n">
        <v>0.1969397855134113</v>
      </c>
      <c r="AD78" s="15" t="n">
        <v>0.1971892428485253</v>
      </c>
      <c r="AE78" s="15" t="n">
        <v>0.1974387001836394</v>
      </c>
      <c r="AF78" s="15" t="n">
        <v>0.1976881575187535</v>
      </c>
      <c r="AG78" s="15" t="n">
        <v>0.1979376148538675</v>
      </c>
      <c r="AH78" s="15" t="n">
        <v>0.1981870721889814</v>
      </c>
    </row>
    <row r="79" customFormat="1" s="26">
      <c r="A79" s="24" t="inlineStr">
        <is>
          <t>Daggett</t>
        </is>
      </c>
      <c r="B79" s="15" t="n">
        <v>0.20750952376814</v>
      </c>
      <c r="C79" s="15" t="n">
        <v>0.2078038221190071</v>
      </c>
      <c r="D79" s="15" t="n">
        <v>0.2080981204698742</v>
      </c>
      <c r="E79" s="15" t="n">
        <v>0.2083924188207413</v>
      </c>
      <c r="F79" s="15" t="n">
        <v>0.2086867171716084</v>
      </c>
      <c r="G79" s="15" t="n">
        <v>0.2089810155224756</v>
      </c>
      <c r="H79" s="15" t="n">
        <v>0.2092753138733427</v>
      </c>
      <c r="I79" s="15" t="n">
        <v>0.2095696122242098</v>
      </c>
      <c r="J79" s="15" t="n">
        <v>0.2098639105750769</v>
      </c>
      <c r="K79" s="15" t="n">
        <v>0.210158208925944</v>
      </c>
      <c r="L79" s="15" t="n">
        <v>0.2104525072768111</v>
      </c>
      <c r="M79" s="15" t="n">
        <v>0.2107468056276782</v>
      </c>
      <c r="N79" s="15" t="n">
        <v>0.2110411039785454</v>
      </c>
      <c r="O79" s="15" t="n">
        <v>0.2113136004417729</v>
      </c>
      <c r="P79" s="15" t="n">
        <v>0.2115860969050004</v>
      </c>
      <c r="Q79" s="15" t="n">
        <v>0.2118585933682279</v>
      </c>
      <c r="R79" s="15" t="n">
        <v>0.2121310898314554</v>
      </c>
      <c r="S79" s="15" t="n">
        <v>0.2124035862946829</v>
      </c>
      <c r="T79" s="15" t="n">
        <v>0.2126760827579104</v>
      </c>
      <c r="U79" s="15" t="n">
        <v>0.2129485792211379</v>
      </c>
      <c r="V79" s="15" t="n">
        <v>0.2132210756843654</v>
      </c>
      <c r="W79" s="15" t="n">
        <v>0.2134935721475929</v>
      </c>
      <c r="X79" s="15" t="n">
        <v>0.2137660686108204</v>
      </c>
      <c r="Y79" s="15" t="n">
        <v>0.2140385650740479</v>
      </c>
      <c r="Z79" s="15" t="n">
        <v>0.2143110615372754</v>
      </c>
      <c r="AA79" s="15" t="n">
        <v>0.2145835580005029</v>
      </c>
      <c r="AB79" s="15" t="n">
        <v>0.2148560544637304</v>
      </c>
      <c r="AC79" s="15" t="n">
        <v>0.2151285509269579</v>
      </c>
      <c r="AD79" s="15" t="n">
        <v>0.2154010473901854</v>
      </c>
      <c r="AE79" s="15" t="n">
        <v>0.2156735438534129</v>
      </c>
      <c r="AF79" s="15" t="n">
        <v>0.2159460403166404</v>
      </c>
      <c r="AG79" s="15" t="n">
        <v>0.2162185367798679</v>
      </c>
      <c r="AH79" s="15" t="n">
        <v>0.2164910332430953</v>
      </c>
    </row>
    <row r="80" customFormat="1" s="26"/>
    <row r="81" customFormat="1" s="26"/>
    <row r="84" hidden="1"/>
    <row r="85" hidden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B1" sqref="B1"/>
    </sheetView>
  </sheetViews>
  <sheetFormatPr baseColWidth="10" defaultRowHeight="14"/>
  <sheetData>
    <row r="1">
      <c r="A1" s="24" t="inlineStr">
        <is>
          <t>Link</t>
        </is>
      </c>
      <c r="B1" t="inlineStr">
        <is>
          <t>https://atb.nrel.gov/electricity/2020/files/2020-ATB-Data-Mac.xlsm</t>
        </is>
      </c>
    </row>
    <row r="2">
      <c r="A2" s="24" t="inlineStr">
        <is>
          <t>Tab</t>
        </is>
      </c>
      <c r="B2" t="inlineStr">
        <is>
          <t>Solar - PV Dist. Res</t>
        </is>
      </c>
    </row>
    <row r="7">
      <c r="A7" s="10" t="n"/>
      <c r="B7" s="10" t="n"/>
      <c r="C7" s="12" t="n">
        <v>2018</v>
      </c>
      <c r="D7" s="12" t="n">
        <v>2019</v>
      </c>
      <c r="E7" s="12" t="n">
        <v>2020</v>
      </c>
      <c r="F7" s="12" t="n">
        <v>2021</v>
      </c>
      <c r="G7" s="12" t="n">
        <v>2022</v>
      </c>
      <c r="H7" s="12" t="n">
        <v>2023</v>
      </c>
      <c r="I7" s="12" t="n">
        <v>2024</v>
      </c>
      <c r="J7" s="12" t="n">
        <v>2025</v>
      </c>
      <c r="K7" s="12" t="n">
        <v>2026</v>
      </c>
      <c r="L7" s="12" t="n">
        <v>2027</v>
      </c>
      <c r="M7" s="12" t="n">
        <v>2028</v>
      </c>
      <c r="N7" s="12" t="n">
        <v>2029</v>
      </c>
      <c r="O7" s="12" t="n">
        <v>2030</v>
      </c>
      <c r="P7" s="12" t="n">
        <v>2031</v>
      </c>
      <c r="Q7" s="12" t="n">
        <v>2032</v>
      </c>
      <c r="R7" s="12" t="n">
        <v>2033</v>
      </c>
      <c r="S7" s="12" t="n">
        <v>2034</v>
      </c>
      <c r="T7" s="12" t="n">
        <v>2035</v>
      </c>
      <c r="U7" s="12" t="n">
        <v>2036</v>
      </c>
      <c r="V7" s="12" t="n">
        <v>2037</v>
      </c>
      <c r="W7" s="12" t="n">
        <v>2038</v>
      </c>
      <c r="X7" s="12" t="n">
        <v>2039</v>
      </c>
      <c r="Y7" s="12" t="n">
        <v>2040</v>
      </c>
      <c r="Z7" s="12" t="n">
        <v>2041</v>
      </c>
      <c r="AA7" s="12" t="n">
        <v>2042</v>
      </c>
      <c r="AB7" s="12" t="n">
        <v>2043</v>
      </c>
      <c r="AC7" s="12" t="n">
        <v>2044</v>
      </c>
      <c r="AD7" s="12" t="n">
        <v>2045</v>
      </c>
      <c r="AE7" s="12" t="n">
        <v>2046</v>
      </c>
      <c r="AF7" s="12" t="n">
        <v>2047</v>
      </c>
      <c r="AG7" s="12" t="n">
        <v>2048</v>
      </c>
      <c r="AH7" s="12" t="n">
        <v>2049</v>
      </c>
      <c r="AI7" s="12" t="n">
        <v>2050</v>
      </c>
    </row>
    <row r="8">
      <c r="A8" s="32" t="inlineStr">
        <is>
          <t>Net Capacity Factor (%)</t>
        </is>
      </c>
      <c r="B8" s="13" t="inlineStr">
        <is>
          <t>Res PV - Seattle - Advanced</t>
        </is>
      </c>
      <c r="C8" s="14" t="n">
        <v>0.1336912772131114</v>
      </c>
      <c r="D8" s="14" t="n">
        <v>0.134173483784969</v>
      </c>
      <c r="E8" s="14" t="n">
        <v>0.1346556903568266</v>
      </c>
      <c r="F8" s="14" t="n">
        <v>0.1351378969286842</v>
      </c>
      <c r="G8" s="14" t="n">
        <v>0.1356201035005418</v>
      </c>
      <c r="H8" s="14" t="n">
        <v>0.1361023100723994</v>
      </c>
      <c r="I8" s="14" t="n">
        <v>0.136584516644257</v>
      </c>
      <c r="J8" s="14" t="n">
        <v>0.1370667232161146</v>
      </c>
      <c r="K8" s="14" t="n">
        <v>0.1375489297879722</v>
      </c>
      <c r="L8" s="14" t="n">
        <v>0.1380311363598298</v>
      </c>
      <c r="M8" s="14" t="n">
        <v>0.1385133429316874</v>
      </c>
      <c r="N8" s="14" t="n">
        <v>0.138995549503545</v>
      </c>
      <c r="O8" s="14" t="n">
        <v>0.1394777560754024</v>
      </c>
      <c r="P8" s="14" t="n">
        <v>0.1394777560754024</v>
      </c>
      <c r="Q8" s="14" t="n">
        <v>0.1394777560754024</v>
      </c>
      <c r="R8" s="14" t="n">
        <v>0.1394777560754024</v>
      </c>
      <c r="S8" s="14" t="n">
        <v>0.1394777560754024</v>
      </c>
      <c r="T8" s="14" t="n">
        <v>0.1394777560754024</v>
      </c>
      <c r="U8" s="14" t="n">
        <v>0.1394777560754024</v>
      </c>
      <c r="V8" s="14" t="n">
        <v>0.1394777560754024</v>
      </c>
      <c r="W8" s="14" t="n">
        <v>0.1394777560754024</v>
      </c>
      <c r="X8" s="14" t="n">
        <v>0.1394777560754024</v>
      </c>
      <c r="Y8" s="14" t="n">
        <v>0.1394777560754024</v>
      </c>
      <c r="Z8" s="14" t="n">
        <v>0.1394777560754024</v>
      </c>
      <c r="AA8" s="14" t="n">
        <v>0.1394777560754024</v>
      </c>
      <c r="AB8" s="14" t="n">
        <v>0.1394777560754024</v>
      </c>
      <c r="AC8" s="14" t="n">
        <v>0.1394777560754024</v>
      </c>
      <c r="AD8" s="14" t="n">
        <v>0.1394777560754024</v>
      </c>
      <c r="AE8" s="14" t="n">
        <v>0.1394777560754024</v>
      </c>
      <c r="AF8" s="14" t="n">
        <v>0.1394777560754024</v>
      </c>
      <c r="AG8" s="14" t="n">
        <v>0.1394777560754024</v>
      </c>
      <c r="AH8" s="14" t="n">
        <v>0.1394777560754024</v>
      </c>
      <c r="AI8" s="14" t="n">
        <v>0.1394777560754024</v>
      </c>
    </row>
    <row r="9">
      <c r="A9" s="33" t="n"/>
      <c r="B9" s="11" t="inlineStr">
        <is>
          <t>Res PV - Seattle - Moderate</t>
        </is>
      </c>
      <c r="C9" s="15" t="n">
        <v>0.1336912772131114</v>
      </c>
      <c r="D9" s="15" t="n">
        <v>0.1338808835583753</v>
      </c>
      <c r="E9" s="15" t="n">
        <v>0.1340704899036393</v>
      </c>
      <c r="F9" s="15" t="n">
        <v>0.1342600962489032</v>
      </c>
      <c r="G9" s="15" t="n">
        <v>0.1344497025941671</v>
      </c>
      <c r="H9" s="15" t="n">
        <v>0.1346393089394311</v>
      </c>
      <c r="I9" s="15" t="n">
        <v>0.134828915284695</v>
      </c>
      <c r="J9" s="15" t="n">
        <v>0.1350185216299589</v>
      </c>
      <c r="K9" s="15" t="n">
        <v>0.1352081279752229</v>
      </c>
      <c r="L9" s="15" t="n">
        <v>0.1353977343204868</v>
      </c>
      <c r="M9" s="15" t="n">
        <v>0.1355873406657508</v>
      </c>
      <c r="N9" s="15" t="n">
        <v>0.1357769470110147</v>
      </c>
      <c r="O9" s="15" t="n">
        <v>0.1359665533562786</v>
      </c>
      <c r="P9" s="15" t="n">
        <v>0.1361421134922348</v>
      </c>
      <c r="Q9" s="15" t="n">
        <v>0.136317673628191</v>
      </c>
      <c r="R9" s="15" t="n">
        <v>0.1364932337641472</v>
      </c>
      <c r="S9" s="15" t="n">
        <v>0.1366687939001034</v>
      </c>
      <c r="T9" s="15" t="n">
        <v>0.1368443540360595</v>
      </c>
      <c r="U9" s="15" t="n">
        <v>0.1370199141720157</v>
      </c>
      <c r="V9" s="15" t="n">
        <v>0.1371954743079719</v>
      </c>
      <c r="W9" s="15" t="n">
        <v>0.1373710344439281</v>
      </c>
      <c r="X9" s="15" t="n">
        <v>0.1375465945798843</v>
      </c>
      <c r="Y9" s="15" t="n">
        <v>0.1377221547158405</v>
      </c>
      <c r="Z9" s="15" t="n">
        <v>0.1378977148517966</v>
      </c>
      <c r="AA9" s="15" t="n">
        <v>0.1380732749877528</v>
      </c>
      <c r="AB9" s="15" t="n">
        <v>0.138248835123709</v>
      </c>
      <c r="AC9" s="15" t="n">
        <v>0.1384243952596652</v>
      </c>
      <c r="AD9" s="15" t="n">
        <v>0.1385999553956214</v>
      </c>
      <c r="AE9" s="15" t="n">
        <v>0.1387755155315775</v>
      </c>
      <c r="AF9" s="15" t="n">
        <v>0.1389510756675337</v>
      </c>
      <c r="AG9" s="15" t="n">
        <v>0.1391266358034899</v>
      </c>
      <c r="AH9" s="15" t="n">
        <v>0.1393021959394461</v>
      </c>
      <c r="AI9" s="15" t="n">
        <v>0.1394777560754024</v>
      </c>
    </row>
    <row r="10" ht="15" customHeight="1" thickBot="1">
      <c r="A10" s="33" t="n"/>
      <c r="B10" s="16" t="inlineStr">
        <is>
          <t>Res PV - Seattle - Conservative</t>
        </is>
      </c>
      <c r="C10" s="17" t="n">
        <v>0.1336912772131114</v>
      </c>
      <c r="D10" s="17" t="n">
        <v>0.1336912772131114</v>
      </c>
      <c r="E10" s="17" t="n">
        <v>0.1336912772131114</v>
      </c>
      <c r="F10" s="17" t="n">
        <v>0.1336912772131114</v>
      </c>
      <c r="G10" s="17" t="n">
        <v>0.1336912772131114</v>
      </c>
      <c r="H10" s="17" t="n">
        <v>0.1336912772131114</v>
      </c>
      <c r="I10" s="17" t="n">
        <v>0.1336912772131114</v>
      </c>
      <c r="J10" s="17" t="n">
        <v>0.1336912772131114</v>
      </c>
      <c r="K10" s="17" t="n">
        <v>0.1336912772131114</v>
      </c>
      <c r="L10" s="17" t="n">
        <v>0.1336912772131114</v>
      </c>
      <c r="M10" s="17" t="n">
        <v>0.1336912772131114</v>
      </c>
      <c r="N10" s="17" t="n">
        <v>0.1336912772131114</v>
      </c>
      <c r="O10" s="17" t="n">
        <v>0.1336912772131114</v>
      </c>
      <c r="P10" s="17" t="n">
        <v>0.1338050410202697</v>
      </c>
      <c r="Q10" s="17" t="n">
        <v>0.1339188048274281</v>
      </c>
      <c r="R10" s="17" t="n">
        <v>0.1340325686345865</v>
      </c>
      <c r="S10" s="17" t="n">
        <v>0.1341463324417448</v>
      </c>
      <c r="T10" s="17" t="n">
        <v>0.1342600962489032</v>
      </c>
      <c r="U10" s="17" t="n">
        <v>0.1343738600560615</v>
      </c>
      <c r="V10" s="17" t="n">
        <v>0.1344876238632199</v>
      </c>
      <c r="W10" s="17" t="n">
        <v>0.1346013876703782</v>
      </c>
      <c r="X10" s="17" t="n">
        <v>0.1347151514775366</v>
      </c>
      <c r="Y10" s="17" t="n">
        <v>0.134828915284695</v>
      </c>
      <c r="Z10" s="17" t="n">
        <v>0.1349426790918533</v>
      </c>
      <c r="AA10" s="17" t="n">
        <v>0.1350564428990117</v>
      </c>
      <c r="AB10" s="17" t="n">
        <v>0.13517020670617</v>
      </c>
      <c r="AC10" s="17" t="n">
        <v>0.1352839705133284</v>
      </c>
      <c r="AD10" s="17" t="n">
        <v>0.1353977343204867</v>
      </c>
      <c r="AE10" s="17" t="n">
        <v>0.1355114981276451</v>
      </c>
      <c r="AF10" s="17" t="n">
        <v>0.1356252619348035</v>
      </c>
      <c r="AG10" s="17" t="n">
        <v>0.1357390257419618</v>
      </c>
      <c r="AH10" s="17" t="n">
        <v>0.1358527895491202</v>
      </c>
      <c r="AI10" s="17" t="n">
        <v>0.1359665533562786</v>
      </c>
    </row>
    <row r="11" ht="15" customHeight="1" thickTop="1">
      <c r="A11" s="33" t="n"/>
      <c r="B11" s="13" t="inlineStr">
        <is>
          <t>Res PV - Chicago - Advanced</t>
        </is>
      </c>
      <c r="C11" s="14" t="n">
        <v>0.1543565795814772</v>
      </c>
      <c r="D11" s="14" t="n">
        <v>0.154913323137491</v>
      </c>
      <c r="E11" s="14" t="n">
        <v>0.1554700666935047</v>
      </c>
      <c r="F11" s="14" t="n">
        <v>0.1560268102495185</v>
      </c>
      <c r="G11" s="14" t="n">
        <v>0.1565835538055322</v>
      </c>
      <c r="H11" s="14" t="n">
        <v>0.157140297361546</v>
      </c>
      <c r="I11" s="14" t="n">
        <v>0.1576970409175598</v>
      </c>
      <c r="J11" s="14" t="n">
        <v>0.1582537844735735</v>
      </c>
      <c r="K11" s="14" t="n">
        <v>0.1588105280295873</v>
      </c>
      <c r="L11" s="14" t="n">
        <v>0.159367271585601</v>
      </c>
      <c r="M11" s="14" t="n">
        <v>0.1599240151416148</v>
      </c>
      <c r="N11" s="14" t="n">
        <v>0.1604807586976286</v>
      </c>
      <c r="O11" s="14" t="n">
        <v>0.1610375022536423</v>
      </c>
      <c r="P11" s="14" t="n">
        <v>0.1610375022536423</v>
      </c>
      <c r="Q11" s="14" t="n">
        <v>0.1610375022536423</v>
      </c>
      <c r="R11" s="14" t="n">
        <v>0.1610375022536423</v>
      </c>
      <c r="S11" s="14" t="n">
        <v>0.1610375022536423</v>
      </c>
      <c r="T11" s="14" t="n">
        <v>0.1610375022536423</v>
      </c>
      <c r="U11" s="14" t="n">
        <v>0.1610375022536423</v>
      </c>
      <c r="V11" s="14" t="n">
        <v>0.1610375022536423</v>
      </c>
      <c r="W11" s="14" t="n">
        <v>0.1610375022536423</v>
      </c>
      <c r="X11" s="14" t="n">
        <v>0.1610375022536423</v>
      </c>
      <c r="Y11" s="14" t="n">
        <v>0.1610375022536423</v>
      </c>
      <c r="Z11" s="14" t="n">
        <v>0.1610375022536423</v>
      </c>
      <c r="AA11" s="14" t="n">
        <v>0.1610375022536423</v>
      </c>
      <c r="AB11" s="14" t="n">
        <v>0.1610375022536423</v>
      </c>
      <c r="AC11" s="14" t="n">
        <v>0.1610375022536423</v>
      </c>
      <c r="AD11" s="14" t="n">
        <v>0.1610375022536423</v>
      </c>
      <c r="AE11" s="14" t="n">
        <v>0.1610375022536423</v>
      </c>
      <c r="AF11" s="14" t="n">
        <v>0.1610375022536423</v>
      </c>
      <c r="AG11" s="14" t="n">
        <v>0.1610375022536423</v>
      </c>
      <c r="AH11" s="14" t="n">
        <v>0.1610375022536423</v>
      </c>
      <c r="AI11" s="14" t="n">
        <v>0.1610375022536423</v>
      </c>
    </row>
    <row r="12">
      <c r="A12" s="33" t="n"/>
      <c r="B12" s="11" t="inlineStr">
        <is>
          <t>Res PV - Chicago - Moderate</t>
        </is>
      </c>
      <c r="C12" s="15" t="n">
        <v>0.1543565795814772</v>
      </c>
      <c r="D12" s="15" t="n">
        <v>0.1545754942895418</v>
      </c>
      <c r="E12" s="15" t="n">
        <v>0.1547944089976063</v>
      </c>
      <c r="F12" s="15" t="n">
        <v>0.1550133237056709</v>
      </c>
      <c r="G12" s="15" t="n">
        <v>0.1552322384137355</v>
      </c>
      <c r="H12" s="15" t="n">
        <v>0.1554511531218</v>
      </c>
      <c r="I12" s="15" t="n">
        <v>0.1556700678298646</v>
      </c>
      <c r="J12" s="15" t="n">
        <v>0.1558889825379292</v>
      </c>
      <c r="K12" s="15" t="n">
        <v>0.1561078972459937</v>
      </c>
      <c r="L12" s="15" t="n">
        <v>0.1563268119540583</v>
      </c>
      <c r="M12" s="15" t="n">
        <v>0.1565457266621229</v>
      </c>
      <c r="N12" s="15" t="n">
        <v>0.1567646413701874</v>
      </c>
      <c r="O12" s="15" t="n">
        <v>0.156983556078252</v>
      </c>
      <c r="P12" s="15" t="n">
        <v>0.1571862533870215</v>
      </c>
      <c r="Q12" s="15" t="n">
        <v>0.157388950695791</v>
      </c>
      <c r="R12" s="15" t="n">
        <v>0.1575916480045605</v>
      </c>
      <c r="S12" s="15" t="n">
        <v>0.15779434531333</v>
      </c>
      <c r="T12" s="15" t="n">
        <v>0.1579970426220995</v>
      </c>
      <c r="U12" s="15" t="n">
        <v>0.1581997399308691</v>
      </c>
      <c r="V12" s="15" t="n">
        <v>0.1584024372396386</v>
      </c>
      <c r="W12" s="15" t="n">
        <v>0.1586051345484081</v>
      </c>
      <c r="X12" s="15" t="n">
        <v>0.1588078318571776</v>
      </c>
      <c r="Y12" s="15" t="n">
        <v>0.1590105291659471</v>
      </c>
      <c r="Z12" s="15" t="n">
        <v>0.1592132264747166</v>
      </c>
      <c r="AA12" s="15" t="n">
        <v>0.1594159237834861</v>
      </c>
      <c r="AB12" s="15" t="n">
        <v>0.1596186210922556</v>
      </c>
      <c r="AC12" s="15" t="n">
        <v>0.1598213184010251</v>
      </c>
      <c r="AD12" s="15" t="n">
        <v>0.1600240157097947</v>
      </c>
      <c r="AE12" s="15" t="n">
        <v>0.1602267130185642</v>
      </c>
      <c r="AF12" s="15" t="n">
        <v>0.1604294103273337</v>
      </c>
      <c r="AG12" s="15" t="n">
        <v>0.1606321076361032</v>
      </c>
      <c r="AH12" s="15" t="n">
        <v>0.1608348049448727</v>
      </c>
      <c r="AI12" s="15" t="n">
        <v>0.1610375022536423</v>
      </c>
    </row>
    <row r="13" ht="15" customHeight="1" thickBot="1">
      <c r="A13" s="33" t="n"/>
      <c r="B13" s="16" t="inlineStr">
        <is>
          <t>Res PV - Chicago - Conservative</t>
        </is>
      </c>
      <c r="C13" s="17" t="n">
        <v>0.1543565795814772</v>
      </c>
      <c r="D13" s="17" t="n">
        <v>0.1543565795814772</v>
      </c>
      <c r="E13" s="17" t="n">
        <v>0.1543565795814772</v>
      </c>
      <c r="F13" s="17" t="n">
        <v>0.1543565795814772</v>
      </c>
      <c r="G13" s="17" t="n">
        <v>0.1543565795814772</v>
      </c>
      <c r="H13" s="17" t="n">
        <v>0.1543565795814772</v>
      </c>
      <c r="I13" s="17" t="n">
        <v>0.1543565795814772</v>
      </c>
      <c r="J13" s="17" t="n">
        <v>0.1543565795814772</v>
      </c>
      <c r="K13" s="17" t="n">
        <v>0.1543565795814772</v>
      </c>
      <c r="L13" s="17" t="n">
        <v>0.1543565795814772</v>
      </c>
      <c r="M13" s="17" t="n">
        <v>0.1543565795814772</v>
      </c>
      <c r="N13" s="17" t="n">
        <v>0.1543565795814772</v>
      </c>
      <c r="O13" s="17" t="n">
        <v>0.1543565795814772</v>
      </c>
      <c r="P13" s="17" t="n">
        <v>0.1544879284063159</v>
      </c>
      <c r="Q13" s="17" t="n">
        <v>0.1546192772311547</v>
      </c>
      <c r="R13" s="17" t="n">
        <v>0.1547506260559934</v>
      </c>
      <c r="S13" s="17" t="n">
        <v>0.1548819748808321</v>
      </c>
      <c r="T13" s="17" t="n">
        <v>0.1550133237056708</v>
      </c>
      <c r="U13" s="17" t="n">
        <v>0.1551446725305096</v>
      </c>
      <c r="V13" s="17" t="n">
        <v>0.1552760213553483</v>
      </c>
      <c r="W13" s="17" t="n">
        <v>0.155407370180187</v>
      </c>
      <c r="X13" s="17" t="n">
        <v>0.1555387190050257</v>
      </c>
      <c r="Y13" s="17" t="n">
        <v>0.1556700678298645</v>
      </c>
      <c r="Z13" s="17" t="n">
        <v>0.1558014166547032</v>
      </c>
      <c r="AA13" s="17" t="n">
        <v>0.1559327654795419</v>
      </c>
      <c r="AB13" s="17" t="n">
        <v>0.1560641143043807</v>
      </c>
      <c r="AC13" s="17" t="n">
        <v>0.1561954631292194</v>
      </c>
      <c r="AD13" s="17" t="n">
        <v>0.1563268119540581</v>
      </c>
      <c r="AE13" s="17" t="n">
        <v>0.1564581607788968</v>
      </c>
      <c r="AF13" s="17" t="n">
        <v>0.1565895096037356</v>
      </c>
      <c r="AG13" s="17" t="n">
        <v>0.1567208584285743</v>
      </c>
      <c r="AH13" s="17" t="n">
        <v>0.156852207253413</v>
      </c>
      <c r="AI13" s="17" t="n">
        <v>0.156983556078252</v>
      </c>
    </row>
    <row r="14" ht="15" customHeight="1" thickTop="1">
      <c r="A14" s="33" t="n"/>
      <c r="B14" s="13" t="inlineStr">
        <is>
          <t>Res PV - Kansas City - Advanced</t>
        </is>
      </c>
      <c r="C14" s="14" t="n">
        <v>0.1651914469868137</v>
      </c>
      <c r="D14" s="14" t="n">
        <v>0.1657872704617045</v>
      </c>
      <c r="E14" s="14" t="n">
        <v>0.1663830939365953</v>
      </c>
      <c r="F14" s="14" t="n">
        <v>0.1669789174114862</v>
      </c>
      <c r="G14" s="14" t="n">
        <v>0.167574740886377</v>
      </c>
      <c r="H14" s="14" t="n">
        <v>0.1681705643612678</v>
      </c>
      <c r="I14" s="14" t="n">
        <v>0.1687663878361586</v>
      </c>
      <c r="J14" s="14" t="n">
        <v>0.1693622113110494</v>
      </c>
      <c r="K14" s="14" t="n">
        <v>0.1699580347859402</v>
      </c>
      <c r="L14" s="14" t="n">
        <v>0.1705538582608311</v>
      </c>
      <c r="M14" s="14" t="n">
        <v>0.1711496817357219</v>
      </c>
      <c r="N14" s="14" t="n">
        <v>0.1717455052106127</v>
      </c>
      <c r="O14" s="14" t="n">
        <v>0.1723413286855034</v>
      </c>
      <c r="P14" s="14" t="n">
        <v>0.1723413286855034</v>
      </c>
      <c r="Q14" s="14" t="n">
        <v>0.1723413286855034</v>
      </c>
      <c r="R14" s="14" t="n">
        <v>0.1723413286855034</v>
      </c>
      <c r="S14" s="14" t="n">
        <v>0.1723413286855034</v>
      </c>
      <c r="T14" s="14" t="n">
        <v>0.1723413286855034</v>
      </c>
      <c r="U14" s="14" t="n">
        <v>0.1723413286855034</v>
      </c>
      <c r="V14" s="14" t="n">
        <v>0.1723413286855034</v>
      </c>
      <c r="W14" s="14" t="n">
        <v>0.1723413286855034</v>
      </c>
      <c r="X14" s="14" t="n">
        <v>0.1723413286855034</v>
      </c>
      <c r="Y14" s="14" t="n">
        <v>0.1723413286855034</v>
      </c>
      <c r="Z14" s="14" t="n">
        <v>0.1723413286855034</v>
      </c>
      <c r="AA14" s="14" t="n">
        <v>0.1723413286855034</v>
      </c>
      <c r="AB14" s="14" t="n">
        <v>0.1723413286855034</v>
      </c>
      <c r="AC14" s="14" t="n">
        <v>0.1723413286855034</v>
      </c>
      <c r="AD14" s="14" t="n">
        <v>0.1723413286855034</v>
      </c>
      <c r="AE14" s="14" t="n">
        <v>0.1723413286855034</v>
      </c>
      <c r="AF14" s="14" t="n">
        <v>0.1723413286855034</v>
      </c>
      <c r="AG14" s="14" t="n">
        <v>0.1723413286855034</v>
      </c>
      <c r="AH14" s="14" t="n">
        <v>0.1723413286855034</v>
      </c>
      <c r="AI14" s="14" t="n">
        <v>0.1723413286855034</v>
      </c>
    </row>
    <row r="15">
      <c r="A15" s="33" t="n"/>
      <c r="B15" s="11" t="inlineStr">
        <is>
          <t>Res PV - Kansas City - Moderate</t>
        </is>
      </c>
      <c r="C15" s="15" t="n">
        <v>0.1651914469868137</v>
      </c>
      <c r="D15" s="15" t="n">
        <v>0.1654257281395183</v>
      </c>
      <c r="E15" s="15" t="n">
        <v>0.1656600092922228</v>
      </c>
      <c r="F15" s="15" t="n">
        <v>0.1658942904449273</v>
      </c>
      <c r="G15" s="15" t="n">
        <v>0.1661285715976319</v>
      </c>
      <c r="H15" s="15" t="n">
        <v>0.1663628527503364</v>
      </c>
      <c r="I15" s="15" t="n">
        <v>0.166597133903041</v>
      </c>
      <c r="J15" s="15" t="n">
        <v>0.1668314150557455</v>
      </c>
      <c r="K15" s="15" t="n">
        <v>0.1670656962084501</v>
      </c>
      <c r="L15" s="15" t="n">
        <v>0.1672999773611546</v>
      </c>
      <c r="M15" s="15" t="n">
        <v>0.1675342585138592</v>
      </c>
      <c r="N15" s="15" t="n">
        <v>0.1677685396665637</v>
      </c>
      <c r="O15" s="15" t="n">
        <v>0.1680028208192683</v>
      </c>
      <c r="P15" s="15" t="n">
        <v>0.1682197462125801</v>
      </c>
      <c r="Q15" s="15" t="n">
        <v>0.1684366716058918</v>
      </c>
      <c r="R15" s="15" t="n">
        <v>0.1686535969992036</v>
      </c>
      <c r="S15" s="15" t="n">
        <v>0.1688705223925153</v>
      </c>
      <c r="T15" s="15" t="n">
        <v>0.1690874477858271</v>
      </c>
      <c r="U15" s="15" t="n">
        <v>0.1693043731791389</v>
      </c>
      <c r="V15" s="15" t="n">
        <v>0.1695212985724506</v>
      </c>
      <c r="W15" s="15" t="n">
        <v>0.1697382239657624</v>
      </c>
      <c r="X15" s="15" t="n">
        <v>0.1699551493590741</v>
      </c>
      <c r="Y15" s="15" t="n">
        <v>0.1701720747523859</v>
      </c>
      <c r="Z15" s="15" t="n">
        <v>0.1703890001456976</v>
      </c>
      <c r="AA15" s="15" t="n">
        <v>0.1706059255390094</v>
      </c>
      <c r="AB15" s="15" t="n">
        <v>0.1708228509323211</v>
      </c>
      <c r="AC15" s="15" t="n">
        <v>0.1710397763256329</v>
      </c>
      <c r="AD15" s="15" t="n">
        <v>0.1712567017189446</v>
      </c>
      <c r="AE15" s="15" t="n">
        <v>0.1714736271122564</v>
      </c>
      <c r="AF15" s="15" t="n">
        <v>0.1716905525055681</v>
      </c>
      <c r="AG15" s="15" t="n">
        <v>0.1719074778988799</v>
      </c>
      <c r="AH15" s="15" t="n">
        <v>0.1721244032921916</v>
      </c>
      <c r="AI15" s="15" t="n">
        <v>0.1723413286855034</v>
      </c>
    </row>
    <row r="16" ht="15" customHeight="1" thickBot="1">
      <c r="A16" s="33" t="n"/>
      <c r="B16" s="16" t="inlineStr">
        <is>
          <t>Res PV - Kansas City - Conservative</t>
        </is>
      </c>
      <c r="C16" s="17" t="n">
        <v>0.1651914469868137</v>
      </c>
      <c r="D16" s="17" t="n">
        <v>0.1651914469868137</v>
      </c>
      <c r="E16" s="17" t="n">
        <v>0.1651914469868137</v>
      </c>
      <c r="F16" s="17" t="n">
        <v>0.1651914469868137</v>
      </c>
      <c r="G16" s="17" t="n">
        <v>0.1651914469868137</v>
      </c>
      <c r="H16" s="17" t="n">
        <v>0.1651914469868137</v>
      </c>
      <c r="I16" s="17" t="n">
        <v>0.1651914469868137</v>
      </c>
      <c r="J16" s="17" t="n">
        <v>0.1651914469868137</v>
      </c>
      <c r="K16" s="17" t="n">
        <v>0.1651914469868137</v>
      </c>
      <c r="L16" s="17" t="n">
        <v>0.1651914469868137</v>
      </c>
      <c r="M16" s="17" t="n">
        <v>0.1651914469868137</v>
      </c>
      <c r="N16" s="17" t="n">
        <v>0.1651914469868137</v>
      </c>
      <c r="O16" s="17" t="n">
        <v>0.1651914469868137</v>
      </c>
      <c r="P16" s="17" t="n">
        <v>0.1653320156784364</v>
      </c>
      <c r="Q16" s="17" t="n">
        <v>0.1654725843700592</v>
      </c>
      <c r="R16" s="17" t="n">
        <v>0.1656131530616819</v>
      </c>
      <c r="S16" s="17" t="n">
        <v>0.1657537217533047</v>
      </c>
      <c r="T16" s="17" t="n">
        <v>0.1658942904449274</v>
      </c>
      <c r="U16" s="17" t="n">
        <v>0.1660348591365501</v>
      </c>
      <c r="V16" s="17" t="n">
        <v>0.1661754278281729</v>
      </c>
      <c r="W16" s="17" t="n">
        <v>0.1663159965197956</v>
      </c>
      <c r="X16" s="17" t="n">
        <v>0.1664565652114184</v>
      </c>
      <c r="Y16" s="17" t="n">
        <v>0.1665971339030411</v>
      </c>
      <c r="Z16" s="17" t="n">
        <v>0.1667377025946638</v>
      </c>
      <c r="AA16" s="17" t="n">
        <v>0.1668782712862866</v>
      </c>
      <c r="AB16" s="17" t="n">
        <v>0.1670188399779093</v>
      </c>
      <c r="AC16" s="17" t="n">
        <v>0.1671594086695321</v>
      </c>
      <c r="AD16" s="17" t="n">
        <v>0.1672999773611548</v>
      </c>
      <c r="AE16" s="17" t="n">
        <v>0.1674405460527775</v>
      </c>
      <c r="AF16" s="17" t="n">
        <v>0.1675811147444003</v>
      </c>
      <c r="AG16" s="17" t="n">
        <v>0.167721683436023</v>
      </c>
      <c r="AH16" s="17" t="n">
        <v>0.1678622521276457</v>
      </c>
      <c r="AI16" s="17" t="n">
        <v>0.1680028208192683</v>
      </c>
    </row>
    <row r="17" ht="15" customHeight="1" thickTop="1">
      <c r="A17" s="33" t="n"/>
      <c r="B17" s="13" t="inlineStr">
        <is>
          <t>Res PV - Los Angeles - Advanced</t>
        </is>
      </c>
      <c r="C17" s="14" t="n">
        <v>0.1899649345788744</v>
      </c>
      <c r="D17" s="14" t="n">
        <v>0.19065011271305</v>
      </c>
      <c r="E17" s="14" t="n">
        <v>0.1913352908472256</v>
      </c>
      <c r="F17" s="14" t="n">
        <v>0.1920204689814012</v>
      </c>
      <c r="G17" s="14" t="n">
        <v>0.1927056471155768</v>
      </c>
      <c r="H17" s="14" t="n">
        <v>0.1933908252497524</v>
      </c>
      <c r="I17" s="14" t="n">
        <v>0.194076003383928</v>
      </c>
      <c r="J17" s="14" t="n">
        <v>0.1947611815181036</v>
      </c>
      <c r="K17" s="14" t="n">
        <v>0.1954463596522792</v>
      </c>
      <c r="L17" s="14" t="n">
        <v>0.1961315377864548</v>
      </c>
      <c r="M17" s="14" t="n">
        <v>0.1968167159206304</v>
      </c>
      <c r="N17" s="14" t="n">
        <v>0.1975018940548059</v>
      </c>
      <c r="O17" s="14" t="n">
        <v>0.1981870721889814</v>
      </c>
      <c r="P17" s="14" t="n">
        <v>0.1981870721889814</v>
      </c>
      <c r="Q17" s="14" t="n">
        <v>0.1981870721889814</v>
      </c>
      <c r="R17" s="14" t="n">
        <v>0.1981870721889814</v>
      </c>
      <c r="S17" s="14" t="n">
        <v>0.1981870721889814</v>
      </c>
      <c r="T17" s="14" t="n">
        <v>0.1981870721889814</v>
      </c>
      <c r="U17" s="14" t="n">
        <v>0.1981870721889814</v>
      </c>
      <c r="V17" s="14" t="n">
        <v>0.1981870721889814</v>
      </c>
      <c r="W17" s="14" t="n">
        <v>0.1981870721889814</v>
      </c>
      <c r="X17" s="14" t="n">
        <v>0.1981870721889814</v>
      </c>
      <c r="Y17" s="14" t="n">
        <v>0.1981870721889814</v>
      </c>
      <c r="Z17" s="14" t="n">
        <v>0.1981870721889814</v>
      </c>
      <c r="AA17" s="14" t="n">
        <v>0.1981870721889814</v>
      </c>
      <c r="AB17" s="14" t="n">
        <v>0.1981870721889814</v>
      </c>
      <c r="AC17" s="14" t="n">
        <v>0.1981870721889814</v>
      </c>
      <c r="AD17" s="14" t="n">
        <v>0.1981870721889814</v>
      </c>
      <c r="AE17" s="14" t="n">
        <v>0.1981870721889814</v>
      </c>
      <c r="AF17" s="14" t="n">
        <v>0.1981870721889814</v>
      </c>
      <c r="AG17" s="14" t="n">
        <v>0.1981870721889814</v>
      </c>
      <c r="AH17" s="14" t="n">
        <v>0.1981870721889814</v>
      </c>
      <c r="AI17" s="14" t="n">
        <v>0.1981870721889814</v>
      </c>
    </row>
    <row r="18">
      <c r="A18" s="33" t="n"/>
      <c r="B18" s="11" t="inlineStr">
        <is>
          <t>Res PV - Los Angeles - Moderate</t>
        </is>
      </c>
      <c r="C18" s="15" t="n">
        <v>0.1899649345788744</v>
      </c>
      <c r="D18" s="15" t="n">
        <v>0.1902343504878599</v>
      </c>
      <c r="E18" s="15" t="n">
        <v>0.1905037663968454</v>
      </c>
      <c r="F18" s="15" t="n">
        <v>0.1907731823058309</v>
      </c>
      <c r="G18" s="15" t="n">
        <v>0.1910425982148164</v>
      </c>
      <c r="H18" s="15" t="n">
        <v>0.1913120141238019</v>
      </c>
      <c r="I18" s="15" t="n">
        <v>0.1915814300327874</v>
      </c>
      <c r="J18" s="15" t="n">
        <v>0.1918508459417728</v>
      </c>
      <c r="K18" s="15" t="n">
        <v>0.1921202618507583</v>
      </c>
      <c r="L18" s="15" t="n">
        <v>0.1923896777597438</v>
      </c>
      <c r="M18" s="15" t="n">
        <v>0.1926590936687293</v>
      </c>
      <c r="N18" s="15" t="n">
        <v>0.1929285095777148</v>
      </c>
      <c r="O18" s="15" t="n">
        <v>0.1931979254867005</v>
      </c>
      <c r="P18" s="15" t="n">
        <v>0.1934473828218145</v>
      </c>
      <c r="Q18" s="15" t="n">
        <v>0.1936968401569286</v>
      </c>
      <c r="R18" s="15" t="n">
        <v>0.1939462974920426</v>
      </c>
      <c r="S18" s="15" t="n">
        <v>0.1941957548271567</v>
      </c>
      <c r="T18" s="15" t="n">
        <v>0.1944452121622707</v>
      </c>
      <c r="U18" s="15" t="n">
        <v>0.1946946694973848</v>
      </c>
      <c r="V18" s="15" t="n">
        <v>0.1949441268324988</v>
      </c>
      <c r="W18" s="15" t="n">
        <v>0.1951935841676129</v>
      </c>
      <c r="X18" s="15" t="n">
        <v>0.195443041502727</v>
      </c>
      <c r="Y18" s="15" t="n">
        <v>0.195692498837841</v>
      </c>
      <c r="Z18" s="15" t="n">
        <v>0.1959419561729551</v>
      </c>
      <c r="AA18" s="15" t="n">
        <v>0.1961914135080691</v>
      </c>
      <c r="AB18" s="15" t="n">
        <v>0.1964408708431832</v>
      </c>
      <c r="AC18" s="15" t="n">
        <v>0.1966903281782972</v>
      </c>
      <c r="AD18" s="15" t="n">
        <v>0.1969397855134113</v>
      </c>
      <c r="AE18" s="15" t="n">
        <v>0.1971892428485253</v>
      </c>
      <c r="AF18" s="15" t="n">
        <v>0.1974387001836394</v>
      </c>
      <c r="AG18" s="15" t="n">
        <v>0.1976881575187535</v>
      </c>
      <c r="AH18" s="15" t="n">
        <v>0.1979376148538675</v>
      </c>
      <c r="AI18" s="15" t="n">
        <v>0.1981870721889814</v>
      </c>
    </row>
    <row r="19" ht="15" customHeight="1" thickBot="1">
      <c r="A19" s="33" t="n"/>
      <c r="B19" s="16" t="inlineStr">
        <is>
          <t>Res PV - Los Angeles - Conservative</t>
        </is>
      </c>
      <c r="C19" s="17" t="n">
        <v>0.1899649345788744</v>
      </c>
      <c r="D19" s="17" t="n">
        <v>0.1899649345788744</v>
      </c>
      <c r="E19" s="17" t="n">
        <v>0.1899649345788744</v>
      </c>
      <c r="F19" s="17" t="n">
        <v>0.1899649345788744</v>
      </c>
      <c r="G19" s="17" t="n">
        <v>0.1899649345788744</v>
      </c>
      <c r="H19" s="17" t="n">
        <v>0.1899649345788744</v>
      </c>
      <c r="I19" s="17" t="n">
        <v>0.1899649345788744</v>
      </c>
      <c r="J19" s="17" t="n">
        <v>0.1899649345788744</v>
      </c>
      <c r="K19" s="17" t="n">
        <v>0.1899649345788744</v>
      </c>
      <c r="L19" s="17" t="n">
        <v>0.1899649345788744</v>
      </c>
      <c r="M19" s="17" t="n">
        <v>0.1899649345788744</v>
      </c>
      <c r="N19" s="17" t="n">
        <v>0.1899649345788744</v>
      </c>
      <c r="O19" s="17" t="n">
        <v>0.1899649345788744</v>
      </c>
      <c r="P19" s="17" t="n">
        <v>0.1901265841242657</v>
      </c>
      <c r="Q19" s="17" t="n">
        <v>0.190288233669657</v>
      </c>
      <c r="R19" s="17" t="n">
        <v>0.1904498832150483</v>
      </c>
      <c r="S19" s="17" t="n">
        <v>0.1906115327604396</v>
      </c>
      <c r="T19" s="17" t="n">
        <v>0.1907731823058309</v>
      </c>
      <c r="U19" s="17" t="n">
        <v>0.1909348318512222</v>
      </c>
      <c r="V19" s="17" t="n">
        <v>0.1910964813966135</v>
      </c>
      <c r="W19" s="17" t="n">
        <v>0.1912581309420048</v>
      </c>
      <c r="X19" s="17" t="n">
        <v>0.1914197804873961</v>
      </c>
      <c r="Y19" s="17" t="n">
        <v>0.1915814300327874</v>
      </c>
      <c r="Z19" s="17" t="n">
        <v>0.1917430795781787</v>
      </c>
      <c r="AA19" s="17" t="n">
        <v>0.19190472912357</v>
      </c>
      <c r="AB19" s="17" t="n">
        <v>0.1920663786689613</v>
      </c>
      <c r="AC19" s="17" t="n">
        <v>0.1922280282143526</v>
      </c>
      <c r="AD19" s="17" t="n">
        <v>0.1923896777597439</v>
      </c>
      <c r="AE19" s="17" t="n">
        <v>0.1925513273051352</v>
      </c>
      <c r="AF19" s="17" t="n">
        <v>0.1927129768505265</v>
      </c>
      <c r="AG19" s="17" t="n">
        <v>0.1928746263959178</v>
      </c>
      <c r="AH19" s="17" t="n">
        <v>0.1930362759413091</v>
      </c>
      <c r="AI19" s="17" t="n">
        <v>0.1931979254867005</v>
      </c>
    </row>
    <row r="20" ht="15" customHeight="1" thickTop="1">
      <c r="A20" s="33" t="n"/>
      <c r="B20" s="13" t="inlineStr">
        <is>
          <t>Res PV - Daggett, CA - Advanced</t>
        </is>
      </c>
      <c r="C20" s="14" t="n">
        <v>0.20750952376814</v>
      </c>
      <c r="D20" s="14" t="n">
        <v>0.2082579828910529</v>
      </c>
      <c r="E20" s="14" t="n">
        <v>0.2090064420139659</v>
      </c>
      <c r="F20" s="14" t="n">
        <v>0.2097549011368788</v>
      </c>
      <c r="G20" s="14" t="n">
        <v>0.2105033602597917</v>
      </c>
      <c r="H20" s="14" t="n">
        <v>0.2112518193827047</v>
      </c>
      <c r="I20" s="14" t="n">
        <v>0.2120002785056176</v>
      </c>
      <c r="J20" s="14" t="n">
        <v>0.2127487376285306</v>
      </c>
      <c r="K20" s="14" t="n">
        <v>0.2134971967514435</v>
      </c>
      <c r="L20" s="14" t="n">
        <v>0.2142456558743564</v>
      </c>
      <c r="M20" s="14" t="n">
        <v>0.2149941149972694</v>
      </c>
      <c r="N20" s="14" t="n">
        <v>0.2157425741201823</v>
      </c>
      <c r="O20" s="14" t="n">
        <v>0.2164910332430953</v>
      </c>
      <c r="P20" s="14" t="n">
        <v>0.2164910332430953</v>
      </c>
      <c r="Q20" s="14" t="n">
        <v>0.2164910332430953</v>
      </c>
      <c r="R20" s="14" t="n">
        <v>0.2164910332430953</v>
      </c>
      <c r="S20" s="14" t="n">
        <v>0.2164910332430953</v>
      </c>
      <c r="T20" s="14" t="n">
        <v>0.2164910332430953</v>
      </c>
      <c r="U20" s="14" t="n">
        <v>0.2164910332430953</v>
      </c>
      <c r="V20" s="14" t="n">
        <v>0.2164910332430953</v>
      </c>
      <c r="W20" s="14" t="n">
        <v>0.2164910332430953</v>
      </c>
      <c r="X20" s="14" t="n">
        <v>0.2164910332430953</v>
      </c>
      <c r="Y20" s="14" t="n">
        <v>0.2164910332430953</v>
      </c>
      <c r="Z20" s="14" t="n">
        <v>0.2164910332430953</v>
      </c>
      <c r="AA20" s="14" t="n">
        <v>0.2164910332430953</v>
      </c>
      <c r="AB20" s="14" t="n">
        <v>0.2164910332430953</v>
      </c>
      <c r="AC20" s="14" t="n">
        <v>0.2164910332430953</v>
      </c>
      <c r="AD20" s="14" t="n">
        <v>0.2164910332430953</v>
      </c>
      <c r="AE20" s="14" t="n">
        <v>0.2164910332430953</v>
      </c>
      <c r="AF20" s="14" t="n">
        <v>0.2164910332430953</v>
      </c>
      <c r="AG20" s="14" t="n">
        <v>0.2164910332430953</v>
      </c>
      <c r="AH20" s="14" t="n">
        <v>0.2164910332430953</v>
      </c>
      <c r="AI20" s="14" t="n">
        <v>0.2164910332430953</v>
      </c>
    </row>
    <row r="21">
      <c r="A21" s="33" t="n"/>
      <c r="B21" s="11" t="inlineStr">
        <is>
          <t>Res PV - Daggett, CA - Moderate</t>
        </is>
      </c>
      <c r="C21" s="15" t="n">
        <v>0.20750952376814</v>
      </c>
      <c r="D21" s="15" t="n">
        <v>0.2078038221190071</v>
      </c>
      <c r="E21" s="15" t="n">
        <v>0.2080981204698742</v>
      </c>
      <c r="F21" s="15" t="n">
        <v>0.2083924188207413</v>
      </c>
      <c r="G21" s="15" t="n">
        <v>0.2086867171716084</v>
      </c>
      <c r="H21" s="15" t="n">
        <v>0.2089810155224756</v>
      </c>
      <c r="I21" s="15" t="n">
        <v>0.2092753138733427</v>
      </c>
      <c r="J21" s="15" t="n">
        <v>0.2095696122242098</v>
      </c>
      <c r="K21" s="15" t="n">
        <v>0.2098639105750769</v>
      </c>
      <c r="L21" s="15" t="n">
        <v>0.210158208925944</v>
      </c>
      <c r="M21" s="15" t="n">
        <v>0.2104525072768111</v>
      </c>
      <c r="N21" s="15" t="n">
        <v>0.2107468056276782</v>
      </c>
      <c r="O21" s="15" t="n">
        <v>0.2110411039785454</v>
      </c>
      <c r="P21" s="15" t="n">
        <v>0.2113136004417729</v>
      </c>
      <c r="Q21" s="15" t="n">
        <v>0.2115860969050004</v>
      </c>
      <c r="R21" s="15" t="n">
        <v>0.2118585933682279</v>
      </c>
      <c r="S21" s="15" t="n">
        <v>0.2121310898314554</v>
      </c>
      <c r="T21" s="15" t="n">
        <v>0.2124035862946829</v>
      </c>
      <c r="U21" s="15" t="n">
        <v>0.2126760827579104</v>
      </c>
      <c r="V21" s="15" t="n">
        <v>0.2129485792211379</v>
      </c>
      <c r="W21" s="15" t="n">
        <v>0.2132210756843654</v>
      </c>
      <c r="X21" s="15" t="n">
        <v>0.2134935721475929</v>
      </c>
      <c r="Y21" s="15" t="n">
        <v>0.2137660686108204</v>
      </c>
      <c r="Z21" s="15" t="n">
        <v>0.2140385650740479</v>
      </c>
      <c r="AA21" s="15" t="n">
        <v>0.2143110615372754</v>
      </c>
      <c r="AB21" s="15" t="n">
        <v>0.2145835580005029</v>
      </c>
      <c r="AC21" s="15" t="n">
        <v>0.2148560544637304</v>
      </c>
      <c r="AD21" s="15" t="n">
        <v>0.2151285509269579</v>
      </c>
      <c r="AE21" s="15" t="n">
        <v>0.2154010473901854</v>
      </c>
      <c r="AF21" s="15" t="n">
        <v>0.2156735438534129</v>
      </c>
      <c r="AG21" s="15" t="n">
        <v>0.2159460403166404</v>
      </c>
      <c r="AH21" s="15" t="n">
        <v>0.2162185367798679</v>
      </c>
      <c r="AI21" s="15" t="n">
        <v>0.2164910332430953</v>
      </c>
    </row>
    <row r="22" ht="15" customHeight="1" thickBot="1">
      <c r="A22" s="34" t="n"/>
      <c r="B22" s="16" t="inlineStr">
        <is>
          <t>Res PV - Daggett, CA - Conservative</t>
        </is>
      </c>
      <c r="C22" s="17" t="n">
        <v>0.20750952376814</v>
      </c>
      <c r="D22" s="17" t="n">
        <v>0.20750952376814</v>
      </c>
      <c r="E22" s="17" t="n">
        <v>0.20750952376814</v>
      </c>
      <c r="F22" s="17" t="n">
        <v>0.20750952376814</v>
      </c>
      <c r="G22" s="17" t="n">
        <v>0.20750952376814</v>
      </c>
      <c r="H22" s="17" t="n">
        <v>0.20750952376814</v>
      </c>
      <c r="I22" s="17" t="n">
        <v>0.20750952376814</v>
      </c>
      <c r="J22" s="17" t="n">
        <v>0.20750952376814</v>
      </c>
      <c r="K22" s="17" t="n">
        <v>0.20750952376814</v>
      </c>
      <c r="L22" s="17" t="n">
        <v>0.20750952376814</v>
      </c>
      <c r="M22" s="17" t="n">
        <v>0.20750952376814</v>
      </c>
      <c r="N22" s="17" t="n">
        <v>0.20750952376814</v>
      </c>
      <c r="O22" s="17" t="n">
        <v>0.20750952376814</v>
      </c>
      <c r="P22" s="17" t="n">
        <v>0.2076861027786603</v>
      </c>
      <c r="Q22" s="17" t="n">
        <v>0.2078626817891805</v>
      </c>
      <c r="R22" s="17" t="n">
        <v>0.2080392607997008</v>
      </c>
      <c r="S22" s="17" t="n">
        <v>0.208215839810221</v>
      </c>
      <c r="T22" s="17" t="n">
        <v>0.2083924188207413</v>
      </c>
      <c r="U22" s="17" t="n">
        <v>0.2085689978312616</v>
      </c>
      <c r="V22" s="17" t="n">
        <v>0.2087455768417818</v>
      </c>
      <c r="W22" s="17" t="n">
        <v>0.2089221558523021</v>
      </c>
      <c r="X22" s="17" t="n">
        <v>0.2090987348628223</v>
      </c>
      <c r="Y22" s="17" t="n">
        <v>0.2092753138733426</v>
      </c>
      <c r="Z22" s="17" t="n">
        <v>0.2094518928838629</v>
      </c>
      <c r="AA22" s="17" t="n">
        <v>0.2096284718943831</v>
      </c>
      <c r="AB22" s="17" t="n">
        <v>0.2098050509049034</v>
      </c>
      <c r="AC22" s="17" t="n">
        <v>0.2099816299154237</v>
      </c>
      <c r="AD22" s="17" t="n">
        <v>0.2101582089259439</v>
      </c>
      <c r="AE22" s="17" t="n">
        <v>0.2103347879364642</v>
      </c>
      <c r="AF22" s="17" t="n">
        <v>0.2105113669469844</v>
      </c>
      <c r="AG22" s="17" t="n">
        <v>0.2106879459575047</v>
      </c>
      <c r="AH22" s="17" t="n">
        <v>0.210864524968025</v>
      </c>
      <c r="AI22" s="17" t="n">
        <v>0.2110411039785454</v>
      </c>
    </row>
    <row r="23" ht="15" customHeight="1" thickTop="1"/>
  </sheetData>
  <mergeCells count="1">
    <mergeCell ref="A8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F497D"/>
    <outlinePr summaryBelow="1" summaryRight="1"/>
    <pageSetUpPr/>
  </sheetPr>
  <dimension ref="A1:AI2"/>
  <sheetViews>
    <sheetView workbookViewId="0">
      <selection activeCell="D23" sqref="D23"/>
    </sheetView>
  </sheetViews>
  <sheetFormatPr baseColWidth="10" defaultColWidth="12.6640625" defaultRowHeight="15" customHeight="1"/>
  <cols>
    <col width="14.6640625" customWidth="1" min="1" max="1"/>
    <col width="8" customWidth="1" min="2" max="2"/>
    <col width="7.6640625" customWidth="1" min="3" max="35"/>
  </cols>
  <sheetData>
    <row r="1">
      <c r="B1" s="7" t="n">
        <v>2017</v>
      </c>
      <c r="C1" s="3" t="n">
        <v>2018</v>
      </c>
      <c r="D1" s="7" t="n">
        <v>2019</v>
      </c>
      <c r="E1" s="3" t="n">
        <v>2020</v>
      </c>
      <c r="F1" s="7" t="n">
        <v>2021</v>
      </c>
      <c r="G1" s="3" t="n">
        <v>2022</v>
      </c>
      <c r="H1" s="7" t="n">
        <v>2023</v>
      </c>
      <c r="I1" s="3" t="n">
        <v>2024</v>
      </c>
      <c r="J1" s="7" t="n">
        <v>2025</v>
      </c>
      <c r="K1" s="3" t="n">
        <v>2026</v>
      </c>
      <c r="L1" s="7" t="n">
        <v>2027</v>
      </c>
      <c r="M1" s="3" t="n">
        <v>2028</v>
      </c>
      <c r="N1" s="7" t="n">
        <v>2029</v>
      </c>
      <c r="O1" s="3" t="n">
        <v>2030</v>
      </c>
      <c r="P1" s="7" t="n">
        <v>2031</v>
      </c>
      <c r="Q1" s="3" t="n">
        <v>2032</v>
      </c>
      <c r="R1" s="7" t="n">
        <v>2033</v>
      </c>
      <c r="S1" s="3" t="n">
        <v>2034</v>
      </c>
      <c r="T1" s="7" t="n">
        <v>2035</v>
      </c>
      <c r="U1" s="3" t="n">
        <v>2036</v>
      </c>
      <c r="V1" s="7" t="n">
        <v>2037</v>
      </c>
      <c r="W1" s="3" t="n">
        <v>2038</v>
      </c>
      <c r="X1" s="7" t="n">
        <v>2039</v>
      </c>
      <c r="Y1" s="3" t="n">
        <v>2040</v>
      </c>
      <c r="Z1" s="7" t="n">
        <v>2041</v>
      </c>
      <c r="AA1" s="3" t="n">
        <v>2042</v>
      </c>
      <c r="AB1" s="7" t="n">
        <v>2043</v>
      </c>
      <c r="AC1" s="3" t="n">
        <v>2044</v>
      </c>
      <c r="AD1" s="7" t="n">
        <v>2045</v>
      </c>
      <c r="AE1" s="3" t="n">
        <v>2046</v>
      </c>
      <c r="AF1" s="7" t="n">
        <v>2047</v>
      </c>
      <c r="AG1" s="3" t="n">
        <v>2048</v>
      </c>
      <c r="AH1" s="7" t="n">
        <v>2049</v>
      </c>
      <c r="AI1" s="3" t="n">
        <v>2050</v>
      </c>
    </row>
    <row r="2" ht="30" customHeight="1">
      <c r="A2" s="8" t="inlineStr">
        <is>
          <t>Capacity Factor (dimensionless)</t>
        </is>
      </c>
      <c r="B2" s="9">
        <f>C2</f>
        <v/>
      </c>
      <c r="C2" s="9">
        <f>Calculations!C3</f>
        <v/>
      </c>
      <c r="D2" s="9">
        <f>Calculations!D3</f>
        <v/>
      </c>
      <c r="E2" s="9">
        <f>Calculations!E3</f>
        <v/>
      </c>
      <c r="F2" s="9">
        <f>Calculations!F3</f>
        <v/>
      </c>
      <c r="G2" s="9">
        <f>Calculations!G3</f>
        <v/>
      </c>
      <c r="H2" s="9">
        <f>Calculations!H3</f>
        <v/>
      </c>
      <c r="I2" s="9">
        <f>Calculations!I3</f>
        <v/>
      </c>
      <c r="J2" s="9">
        <f>Calculations!J3</f>
        <v/>
      </c>
      <c r="K2" s="9">
        <f>Calculations!K3</f>
        <v/>
      </c>
      <c r="L2" s="9">
        <f>Calculations!L3</f>
        <v/>
      </c>
      <c r="M2" s="9">
        <f>Calculations!M3</f>
        <v/>
      </c>
      <c r="N2" s="9">
        <f>Calculations!N3</f>
        <v/>
      </c>
      <c r="O2" s="9">
        <f>Calculations!O3</f>
        <v/>
      </c>
      <c r="P2" s="9">
        <f>Calculations!P3</f>
        <v/>
      </c>
      <c r="Q2" s="9">
        <f>Calculations!Q3</f>
        <v/>
      </c>
      <c r="R2" s="9">
        <f>Calculations!R3</f>
        <v/>
      </c>
      <c r="S2" s="9">
        <f>Calculations!S3</f>
        <v/>
      </c>
      <c r="T2" s="9">
        <f>Calculations!T3</f>
        <v/>
      </c>
      <c r="U2" s="9">
        <f>Calculations!U3</f>
        <v/>
      </c>
      <c r="V2" s="9">
        <f>Calculations!V3</f>
        <v/>
      </c>
      <c r="W2" s="9">
        <f>Calculations!W3</f>
        <v/>
      </c>
      <c r="X2" s="9">
        <f>Calculations!X3</f>
        <v/>
      </c>
      <c r="Y2" s="9">
        <f>Calculations!Y3</f>
        <v/>
      </c>
      <c r="Z2" s="9">
        <f>Calculations!Z3</f>
        <v/>
      </c>
      <c r="AA2" s="9">
        <f>Calculations!AA3</f>
        <v/>
      </c>
      <c r="AB2" s="9">
        <f>Calculations!AB3</f>
        <v/>
      </c>
      <c r="AC2" s="9">
        <f>Calculations!AC3</f>
        <v/>
      </c>
      <c r="AD2" s="9">
        <f>Calculations!AD3</f>
        <v/>
      </c>
      <c r="AE2" s="9">
        <f>Calculations!AE3</f>
        <v/>
      </c>
      <c r="AF2" s="9">
        <f>Calculations!AF3</f>
        <v/>
      </c>
      <c r="AG2" s="9">
        <f>Calculations!AG3</f>
        <v/>
      </c>
      <c r="AH2" s="9">
        <f>Calculations!AH3</f>
        <v/>
      </c>
      <c r="AI2" s="9">
        <f>Calculations!AI3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Jeffrey Rissman</dc:creator>
  <dcterms:created xmlns:dcterms="http://purl.org/dc/terms/" xmlns:xsi="http://www.w3.org/2001/XMLSchema-instance" xsi:type="dcterms:W3CDTF">2016-01-27T18:45:33Z</dcterms:created>
  <dcterms:modified xmlns:dcterms="http://purl.org/dc/terms/" xmlns:xsi="http://www.w3.org/2001/XMLSchema-instance" xsi:type="dcterms:W3CDTF">2021-04-22T00:01:23Z</dcterms:modified>
  <cp:lastModifiedBy>Nathan Iyer</cp:lastModifiedBy>
</cp:coreProperties>
</file>